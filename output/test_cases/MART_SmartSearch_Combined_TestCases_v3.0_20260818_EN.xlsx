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UI Test Scenarios" sheetId="2" state="visible" r:id="rId2"/>
    <sheet xmlns:r="http://schemas.openxmlformats.org/officeDocument/2006/relationships" name="UI Test Cases" sheetId="3" state="visible" r:id="rId3"/>
    <sheet xmlns:r="http://schemas.openxmlformats.org/officeDocument/2006/relationships" name="Functional Test Scenarios" sheetId="4" state="visible" r:id="rId4"/>
    <sheet xmlns:r="http://schemas.openxmlformats.org/officeDocument/2006/relationships" name="Functional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 xmlns:r="http://schemas.openxmlformats.org/officeDocument/2006/relationships" name="Test Data"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sz val="12"/>
    </font>
    <font>
      <name val="Arial"/>
      <charset val="1"/>
      <family val="0"/>
      <i val="1"/>
      <sz val="10"/>
    </font>
    <font>
      <name val="Arial"/>
      <charset val="1"/>
      <family val="0"/>
      <b val="1"/>
      <sz val="10"/>
    </font>
    <font>
      <name val="Arial"/>
      <charset val="1"/>
      <family val="0"/>
      <sz val="10"/>
    </font>
    <font>
      <name val="Arial"/>
      <charset val="1"/>
      <family val="0"/>
      <b val="1"/>
      <color rgb="FFFFFFFF"/>
      <sz val="10"/>
    </font>
    <font>
      <name val="Arial"/>
      <charset val="1"/>
      <family val="0"/>
      <i val="1"/>
      <color rgb="FFC00000"/>
      <sz val="10"/>
    </font>
    <font>
      <name val="Arial"/>
      <charset val="1"/>
      <family val="0"/>
      <i val="1"/>
      <color rgb="FF808080"/>
      <sz val="10"/>
    </font>
  </fonts>
  <fills count="7">
    <fill>
      <patternFill/>
    </fill>
    <fill>
      <patternFill patternType="gray125"/>
    </fill>
    <fill>
      <patternFill patternType="solid">
        <fgColor rgb="FF1F4E78"/>
        <bgColor rgb="FF2E5E4E"/>
      </patternFill>
    </fill>
    <fill>
      <patternFill patternType="solid">
        <fgColor rgb="FFFFF2CC"/>
        <bgColor rgb="FFFCE4D6"/>
      </patternFill>
    </fill>
    <fill>
      <patternFill patternType="solid">
        <fgColor rgb="FFFCE4D6"/>
        <bgColor rgb="FFFFF2CC"/>
      </patternFill>
    </fill>
    <fill>
      <patternFill patternType="solid">
        <fgColor rgb="FF2E5E4E"/>
        <bgColor rgb="FF1F4E78"/>
      </patternFill>
    </fill>
    <fill>
      <patternFill patternType="solid">
        <fgColor rgb="FFFCE4D6"/>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6">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4" fillId="5" borderId="0" applyAlignment="1" pivotButton="0" quotePrefix="0" xfId="0">
      <alignment horizontal="general" vertical="top" wrapText="1"/>
    </xf>
    <xf numFmtId="0" fontId="9" fillId="5" borderId="1" applyAlignment="1" pivotButton="0" quotePrefix="0" xfId="0">
      <alignment horizontal="center" vertical="center" wrapText="1"/>
    </xf>
    <xf numFmtId="0" fontId="8"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0"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4" fillId="5" borderId="0" applyAlignment="1" pivotButton="0" quotePrefix="0" xfId="0">
      <alignment horizontal="general" vertical="top" wrapText="1"/>
    </xf>
    <xf numFmtId="0" fontId="9" fillId="5" borderId="1" applyAlignment="1" pivotButton="0" quotePrefix="0" xfId="0">
      <alignment horizontal="center" vertical="center" wrapText="1"/>
    </xf>
    <xf numFmtId="0" fontId="8"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0" fillId="3" borderId="1" applyAlignment="1" pivotButton="0" quotePrefix="0" xfId="0">
      <alignment horizontal="general" vertical="bottom"/>
    </xf>
    <xf numFmtId="0" fontId="8"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31"/>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6" min="1" max="1"/>
    <col width="100" customWidth="1" style="16" min="2" max="2"/>
  </cols>
  <sheetData>
    <row r="1" ht="24" customHeight="1" s="17">
      <c r="A1" s="18" t="inlineStr">
        <is>
          <t>MART VN ONLINE RENEWAL 2026 PROJECT</t>
        </is>
      </c>
    </row>
    <row r="3" ht="15" customHeight="1" s="17">
      <c r="A3" s="19" t="inlineStr">
        <is>
          <t>Smart Search — Combined Test Suite: UI-Detailed + Functional/Behavior/System Integration</t>
        </is>
      </c>
    </row>
    <row r="4" ht="15" customHeight="1" s="17">
      <c r="A4" s="20" t="inlineStr">
        <is>
          <t>English version — combines the UI-level test suite and the Functional/Integration (backend business logic &amp; system integration) test suite into 1 file</t>
        </is>
      </c>
    </row>
    <row r="6" ht="15" customHeight="1" s="17">
      <c r="A6" s="21" t="inlineStr">
        <is>
          <t>Document</t>
        </is>
      </c>
      <c r="B6" s="22" t="inlineStr">
        <is>
          <t>MART-AI-SmartSearch Combined Test Suite — v3.0 — 18 Aug 2026 (English version)</t>
        </is>
      </c>
    </row>
    <row r="7" ht="15" customHeight="1" s="17">
      <c r="A7" s="21" t="inlineStr">
        <is>
          <t>Prepared for</t>
        </is>
      </c>
      <c r="B7" s="22" t="inlineStr">
        <is>
          <t>Mart Online Division</t>
        </is>
      </c>
    </row>
    <row r="8" ht="15" customHeight="1" s="17">
      <c r="A8" s="21" t="inlineStr">
        <is>
          <t>Prepared by</t>
        </is>
      </c>
      <c r="B8" s="22" t="inlineStr">
        <is>
          <t>QC/BA Team</t>
        </is>
      </c>
    </row>
    <row r="9" ht="15" customHeight="1" s="17">
      <c r="A9" s="21" t="inlineStr">
        <is>
          <t>Date</t>
        </is>
      </c>
      <c r="B9" s="22" t="inlineStr">
        <is>
          <t>18 August 2026</t>
        </is>
      </c>
    </row>
    <row r="10" ht="15" customHeight="1" s="17">
      <c r="A10" s="21" t="inlineStr">
        <is>
          <t>Source — REQ</t>
        </is>
      </c>
      <c r="B10" s="22" t="inlineStr">
        <is>
          <t>BRD_AI_Search_VI_v0_0_3_20260812.docx (original document is in Vietnamese)</t>
        </is>
      </c>
    </row>
    <row r="11" ht="23.85" customHeight="1" s="17">
      <c r="A11" s="21" t="inlineStr">
        <is>
          <t>Merged from</t>
        </is>
      </c>
      <c r="B11" s="22" t="inlineStr">
        <is>
          <t>MART_SmartSearch_UI_TestCases_v2.2_20260817_EN.xlsx (68 scenarios/102 TC) + MART_SmartSearch_Functional_Integration_TestCases_v1.0_20260817_EN.xlsx (20 scenarios/29 TC)</t>
        </is>
      </c>
    </row>
    <row r="12" ht="46.25" customHeight="1" s="17">
      <c r="A12" s="21" t="inlineStr">
        <is>
          <t>Structure</t>
        </is>
      </c>
      <c r="B12" s="22" t="inlineStr">
        <is>
          <t>4 test case sheets: 'UI Test Scenarios', 'UI Test Cases' (interface-level testing, following each Figma screen) and 'Functional Test Scenarios', 'Functional Test Cases' (backend business logic &amp; system integration testing: OMS, Retail Media, Computer Vision, Speech-to-Text, Cart, Analytics, Security). The 'Summary' sheet aggregates both sets. 'Integration Points' and 'Test Data' sheets support execution.</t>
        </is>
      </c>
    </row>
    <row r="13" ht="23.85" customHeight="1" s="17">
      <c r="A13" s="21" t="inlineStr">
        <is>
          <t>Related file — QnA Log</t>
        </is>
      </c>
      <c r="B13" s="22" t="inlineStr">
        <is>
          <t>MART_SmartSearch_QnA_Log_v1.1_20260817_EN.xlsx (26 items — shared by both the UI and Functional sets, kept as a separate file to avoid duplication when several BAs/Devs update it at once).</t>
        </is>
      </c>
    </row>
    <row r="14" ht="15" customHeight="1" s="17">
      <c r="A14" s="21" t="inlineStr">
        <is>
          <t>Confidentiality</t>
        </is>
      </c>
      <c r="B14" s="22" t="inlineStr">
        <is>
          <t>Confidential</t>
        </is>
      </c>
    </row>
    <row r="16" ht="15" customHeight="1" s="17">
      <c r="A16" s="21" t="inlineStr">
        <is>
          <t>Legend</t>
        </is>
      </c>
    </row>
    <row r="17" ht="15" customHeight="1" s="17">
      <c r="A17" s="21" t="inlineStr">
        <is>
          <t>UI Scenario/Test Case Type</t>
        </is>
      </c>
      <c r="B17" s="22" t="inlineStr">
        <is>
          <t>Normal, Boundary, Edge, Exception, No-result, Typo, Ranking, Sort, Filter, Sponsored, Functional, Performance</t>
        </is>
      </c>
    </row>
    <row r="18" ht="15" customHeight="1" s="17">
      <c r="A18" s="21" t="inlineStr">
        <is>
          <t>Functional Test Case Type</t>
        </is>
      </c>
      <c r="B18" s="22" t="inlineStr">
        <is>
          <t>Functional, Behavior, Integration, Boundary, Negative, Performance, Security</t>
        </is>
      </c>
    </row>
    <row r="19" ht="15" customHeight="1" s="17">
      <c r="A19" s="21" t="inlineStr">
        <is>
          <t>Test Result (Summary sheet)</t>
        </is>
      </c>
      <c r="B19" s="22" t="inlineStr">
        <is>
          <t>Pass / Fail / Blocked / N/A</t>
        </is>
      </c>
    </row>
    <row r="20" ht="15" customHeight="1" s="17">
      <c r="A20" s="21" t="inlineStr">
        <is>
          <t>Yellow columns</t>
        </is>
      </c>
      <c r="B20" s="22" t="inlineStr">
        <is>
          <t>Execution-tracking fields for QA to fill in (Actual Result, Pass/Fail Status, Tester, Test Date)</t>
        </is>
      </c>
    </row>
    <row r="21" ht="15" customHeight="1" s="17">
      <c r="A21" s="21" t="inlineStr">
        <is>
          <t>QnA Ref column</t>
        </is>
      </c>
      <c r="B21" s="22" t="inlineStr">
        <is>
          <t>Reference code to the QnA log file when a test case touches on an open question (Expected Result may say TBD).</t>
        </is>
      </c>
    </row>
    <row r="23" ht="90" customHeight="1" s="17">
      <c r="A23" s="21" t="inlineStr">
        <is>
          <t>Revision Note (v3.0)</t>
        </is>
      </c>
      <c r="B23" s="22" t="inlineStr">
        <is>
          <t>v3.0 (18-Aug-2026, English version): Merges MART_SmartSearch_UI_TestCases_v2.2 and MART_SmartSearch_Functional_Integration_TestCases_v1.0 into a single workbook as requested, so QC/BA/PM only need to manage 1 file for the whole Smart Search test scope (UI + Backend/Integration). The content of each set is unchanged from the original — only the file organization changed. The Summary sheet was rewritten to aggregate numbers from both sets.</t>
        </is>
      </c>
    </row>
    <row r="25" ht="15" customHeight="1" s="17">
      <c r="A25" s="21" t="inlineStr">
        <is>
          <t>Change History</t>
        </is>
      </c>
    </row>
    <row r="26" ht="15" customHeight="1" s="17">
      <c r="A26" s="16" t="inlineStr">
        <is>
          <t>Version</t>
        </is>
      </c>
      <c r="B26" s="16" t="inlineStr">
        <is>
          <t>Date</t>
        </is>
      </c>
      <c r="C26" s="16" t="inlineStr">
        <is>
          <t>Author</t>
        </is>
      </c>
      <c r="D26" s="16" t="inlineStr">
        <is>
          <t>Change</t>
        </is>
      </c>
    </row>
    <row r="27" ht="102.2" customHeight="1" s="17">
      <c r="A27" s="22" t="inlineStr">
        <is>
          <t>v1.0-v1.2</t>
        </is>
      </c>
      <c r="B27" s="22" t="inlineStr">
        <is>
          <t>19 Jul - 04 Aug 2026</t>
        </is>
      </c>
      <c r="C27" s="22" t="inlineStr">
        <is>
          <t>BA/QC Team</t>
        </is>
      </c>
      <c r="D27" s="22" t="inlineStr">
        <is>
          <t>Original business-logic level test case set (96 scenarios/142 TC), per BRD v0.0.2.</t>
        </is>
      </c>
    </row>
    <row r="28" ht="169.4" customHeight="1" s="17">
      <c r="A28" s="22" t="inlineStr">
        <is>
          <t>v2.0-v2.2</t>
        </is>
      </c>
      <c r="B28" s="22" t="inlineStr">
        <is>
          <t>17 Aug 2026</t>
        </is>
      </c>
      <c r="C28" s="22" t="inlineStr">
        <is>
          <t>QC Team</t>
        </is>
      </c>
      <c r="D28" s="22" t="inlineStr">
        <is>
          <t>New UI Test Cases set per BRD v0.0.3 + Figma Storyboard v0.1, expanded over 3 review passes (68 scenarios/102 TC).</t>
        </is>
      </c>
    </row>
    <row r="29" ht="135.8" customHeight="1" s="17">
      <c r="A29" s="22" t="inlineStr">
        <is>
          <t>Functional v1.0</t>
        </is>
      </c>
      <c r="B29" s="22" t="inlineStr">
        <is>
          <t>17 Aug 2026</t>
        </is>
      </c>
      <c r="C29" s="22" t="inlineStr">
        <is>
          <t>QC Team</t>
        </is>
      </c>
      <c r="D29" s="22" t="inlineStr">
        <is>
          <t>New Functional/Behavior/System Integration Test Cases set (20 scenarios/29 TC, 14 modules).</t>
        </is>
      </c>
    </row>
    <row r="30" ht="135.8" customHeight="1" s="17">
      <c r="A30" s="22" t="inlineStr">
        <is>
          <t>v3.0</t>
        </is>
      </c>
      <c r="B30" s="22" t="inlineStr">
        <is>
          <t>18 Aug 2026</t>
        </is>
      </c>
      <c r="C30" s="22" t="inlineStr">
        <is>
          <t>QC Team</t>
        </is>
      </c>
      <c r="D30" s="22" t="inlineStr">
        <is>
          <t>Merged UI Test Cases + Functional/Integration Test Cases into a single workbook — this file.</t>
        </is>
      </c>
    </row>
    <row r="31" ht="113.4" customHeight="1" s="17">
      <c r="A31" s="22" t="inlineStr">
        <is>
          <t>v3.0 EN</t>
        </is>
      </c>
      <c r="B31" s="22" t="inlineStr">
        <is>
          <t>18 Aug 2026</t>
        </is>
      </c>
      <c r="C31" s="22" t="inlineStr">
        <is>
          <t>QC Team</t>
        </is>
      </c>
      <c r="D31" s="22" t="inlineStr">
        <is>
          <t>Simple-English translation of the v3.0 Vietnamese combined workbook.</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8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16" customWidth="1" style="16" min="2" max="2"/>
    <col width="12" customWidth="1" style="16" min="3" max="3"/>
    <col width="26" customWidth="1" style="16" min="4" max="5"/>
    <col width="12" customWidth="1" style="16" min="6" max="6"/>
    <col width="30" customWidth="1" style="16" min="7" max="7"/>
    <col width="22" customWidth="1" style="16" min="8" max="8"/>
    <col width="24" customWidth="1" style="16" min="9" max="9"/>
    <col width="40" customWidth="1" style="16" min="10" max="10"/>
    <col width="34" customWidth="1" style="16" min="11" max="11"/>
    <col width="10" customWidth="1" style="16" min="12" max="14"/>
    <col width="12" customWidth="1" style="16" min="15" max="15"/>
    <col width="42" customWidth="1" style="16" min="16" max="16"/>
  </cols>
  <sheetData>
    <row r="1" ht="21.75" customHeight="1" s="17">
      <c r="A1" s="18" t="inlineStr">
        <is>
          <t>Smart Search — UI Test Scenario Register</t>
        </is>
      </c>
    </row>
    <row r="2" ht="23.85" customHeight="1" s="17">
      <c r="A2" s="23" t="inlineStr">
        <is>
          <t>No</t>
        </is>
      </c>
      <c r="B2" s="23" t="inlineStr">
        <is>
          <t>Scenario ID</t>
        </is>
      </c>
      <c r="C2" s="23" t="inlineStr">
        <is>
          <t>Screen ID</t>
        </is>
      </c>
      <c r="D2" s="23" t="inlineStr">
        <is>
          <t>Capability Area</t>
        </is>
      </c>
      <c r="E2" s="23" t="inlineStr">
        <is>
          <t>REQ ID (BRD/Storyboard)</t>
        </is>
      </c>
      <c r="F2" s="23" t="inlineStr">
        <is>
          <t>Scenario Type</t>
        </is>
      </c>
      <c r="G2" s="23" t="inlineStr">
        <is>
          <t>User Action</t>
        </is>
      </c>
      <c r="H2" s="23" t="inlineStr">
        <is>
          <t>Input</t>
        </is>
      </c>
      <c r="I2" s="23" t="inlineStr">
        <is>
          <t>Preconditions</t>
        </is>
      </c>
      <c r="J2" s="23" t="inlineStr">
        <is>
          <t>Expected Output</t>
        </is>
      </c>
      <c r="K2" s="23" t="inlineStr">
        <is>
          <t>Acceptance Criteria</t>
        </is>
      </c>
      <c r="L2" s="23" t="inlineStr">
        <is>
          <t>QnA Ref</t>
        </is>
      </c>
      <c r="M2" s="23" t="inlineStr">
        <is>
          <t>Test Result</t>
        </is>
      </c>
      <c r="N2" s="23" t="inlineStr">
        <is>
          <t>Tester</t>
        </is>
      </c>
      <c r="O2" s="23" t="inlineStr">
        <is>
          <t>Test Date</t>
        </is>
      </c>
      <c r="P2" s="23" t="inlineStr">
        <is>
          <t>Comments</t>
        </is>
      </c>
    </row>
    <row r="3" ht="57.45" customHeight="1" s="17">
      <c r="A3" s="27" t="n">
        <v>1</v>
      </c>
      <c r="B3" s="27" t="inlineStr">
        <is>
          <t>SS-SCR-001-SC1</t>
        </is>
      </c>
      <c r="C3" s="27" t="inlineStr">
        <is>
          <t>SS-SCR-001</t>
        </is>
      </c>
      <c r="D3" s="27" t="inlineStr">
        <is>
          <t>A. Search Bar &amp; Pre-search</t>
        </is>
      </c>
      <c r="E3" s="27" t="inlineStr">
        <is>
          <t>FR-SP-02, FR-IS-02, FR-VS-02, FR-PS-01, FR-PS-02, FR-PS-03, FR-PS-04</t>
        </is>
      </c>
      <c r="F3" s="27" t="inlineStr">
        <is>
          <t>Normal</t>
        </is>
      </c>
      <c r="G3" s="27" t="inlineStr">
        <is>
          <t>Tap the Search Bar, the Mic icon, the Camera icon, or the Cart icon on the header.</t>
        </is>
      </c>
      <c r="H3" s="27" t="inlineStr">
        <is>
          <t>Tap each: Search Bar, Mic, Camera, Cart</t>
        </is>
      </c>
      <c r="I3" s="27" t="inlineStr">
        <is>
          <t>App is open, any screen with the header bar.</t>
        </is>
      </c>
      <c r="J3" s="27" t="inlineStr">
        <is>
          <t>Tap Search Bar opens Autocomplete (SS-SCR-002). Tap Mic opens Voice Listening (SS-SCR-017). Tap Camera opens Camera Capture (SS-SCR-013). Tap Cart opens the Cart page, with the correct item count badge.</t>
        </is>
      </c>
      <c r="K3" s="27" t="inlineStr">
        <is>
          <t>All 4 taps go to the right screen, with less than 300ms delay.</t>
        </is>
      </c>
      <c r="L3" s="27" t="n"/>
      <c r="M3" s="28" t="n"/>
      <c r="N3" s="28" t="n"/>
      <c r="O3" s="28" t="n"/>
      <c r="P3" s="27" t="n"/>
    </row>
    <row r="4" ht="46.25" customHeight="1" s="17">
      <c r="A4" s="27" t="n">
        <v>2</v>
      </c>
      <c r="B4" s="27" t="inlineStr">
        <is>
          <t>SS-SCR-001-SC2</t>
        </is>
      </c>
      <c r="C4" s="27" t="inlineStr">
        <is>
          <t>SS-SCR-001</t>
        </is>
      </c>
      <c r="D4" s="27" t="inlineStr">
        <is>
          <t>A. Search Bar &amp; Pre-search</t>
        </is>
      </c>
      <c r="E4" s="27" t="inlineStr">
        <is>
          <t>FR-SP-02, FR-IS-02, FR-VS-02, FR-PS-01, FR-PS-02, FR-PS-03, FR-PS-04</t>
        </is>
      </c>
      <c r="F4" s="27" t="inlineStr">
        <is>
          <t>Boundary</t>
        </is>
      </c>
      <c r="G4" s="27" t="inlineStr">
        <is>
          <t>Check the "Recent Searches" block at different keyword counts.</t>
        </is>
      </c>
      <c r="H4" s="27" t="inlineStr">
        <is>
          <t>0 keywords / 10 keywords / 11 keywords (adding a new one)</t>
        </is>
      </c>
      <c r="I4" s="27" t="inlineStr">
        <is>
          <t>The device's local storage has search history saved.</t>
        </is>
      </c>
      <c r="J4" s="27" t="inlineStr">
        <is>
          <t>0 keywords: the whole block (including its header) is hidden. 10 keywords: shows all 10, newest first. Adding an 11th keyword: the oldest one (FIFO) drops off, keeping the total at 10.</t>
        </is>
      </c>
      <c r="K4" s="27" t="inlineStr">
        <is>
          <t>List is always 10 or fewer items, newest to oldest, correct FIFO behavior when the limit is passed.</t>
        </is>
      </c>
      <c r="L4" s="27" t="n"/>
      <c r="M4" s="28" t="n"/>
      <c r="N4" s="28" t="n"/>
      <c r="O4" s="28" t="n"/>
      <c r="P4" s="27" t="n"/>
    </row>
    <row r="5" ht="46.25" customHeight="1" s="17">
      <c r="A5" s="27" t="n">
        <v>3</v>
      </c>
      <c r="B5" s="27" t="inlineStr">
        <is>
          <t>SS-SCR-001-SC3</t>
        </is>
      </c>
      <c r="C5" s="27" t="inlineStr">
        <is>
          <t>SS-SCR-001</t>
        </is>
      </c>
      <c r="D5" s="27" t="inlineStr">
        <is>
          <t>A. Search Bar &amp; Pre-search</t>
        </is>
      </c>
      <c r="E5" s="27" t="inlineStr">
        <is>
          <t>FR-SP-02, FR-IS-02, FR-VS-02, FR-PS-01, FR-PS-02, FR-PS-03, FR-PS-04</t>
        </is>
      </c>
      <c r="F5" s="27" t="inlineStr">
        <is>
          <t>Normal</t>
        </is>
      </c>
      <c r="G5" s="27" t="inlineStr">
        <is>
          <t>Check the "Trending Searches" block.</t>
        </is>
      </c>
      <c r="H5" s="27" t="inlineStr">
        <is>
          <t>Top 10 trending keywords queried; Top 5 shown</t>
        </is>
      </c>
      <c r="I5" s="27" t="inlineStr">
        <is>
          <t>7-day query data is available. One raw keyword in the data violates the profanity filter.</t>
        </is>
      </c>
      <c r="J5" s="27" t="inlineStr">
        <is>
          <t>The list shows exactly the Top 5 keywords (confirmed via QnA-17), #1-3 have a red fire icon, #4-5 have a grey trend icon. No keyword with 0 results is shown. No keyword that violates the profanity filter is shown. The system still queries the Top 10 internally — ranks #6-10 feed the Search Bar's rotating placeholder (FR-PS-04, see SS-SCR-001-SC5).</t>
        </is>
      </c>
      <c r="K5" s="27" t="inlineStr">
        <is>
          <t>Correct ranking by Trending Score (Volume + Velocity). 100% of shown keywords have results &gt; 0. 0% violate the banned-word filter.</t>
        </is>
      </c>
      <c r="L5" s="27" t="n"/>
      <c r="M5" s="28" t="n"/>
      <c r="N5" s="28" t="n"/>
      <c r="O5" s="28" t="n"/>
      <c r="P5" s="27" t="n"/>
    </row>
    <row r="6" ht="68.65000000000001" customHeight="1" s="17">
      <c r="A6" s="26" t="n">
        <v>4</v>
      </c>
      <c r="B6" s="26" t="inlineStr">
        <is>
          <t>SS-SCR-001-SC4</t>
        </is>
      </c>
      <c r="C6" s="26" t="inlineStr">
        <is>
          <t>SS-SCR-001</t>
        </is>
      </c>
      <c r="D6" s="26" t="inlineStr">
        <is>
          <t>A. Search Bar &amp; Pre-search</t>
        </is>
      </c>
      <c r="E6" s="26" t="inlineStr">
        <is>
          <t>FR-SP-02, FR-IS-02, FR-VS-02, FR-PS-01, FR-PS-02, FR-PS-03, FR-PS-04</t>
        </is>
      </c>
      <c r="F6" s="26" t="inlineStr">
        <is>
          <t>Ranking</t>
        </is>
      </c>
      <c r="G6" s="26" t="inlineStr">
        <is>
          <t>Check the "Frequently Purchased" block for Members vs Guests.</t>
        </is>
      </c>
      <c r="H6" s="26" t="inlineStr">
        <is>
          <t>A Member account with COMPLETED orders in the last 90 days / a Guest (not logged in)</t>
        </is>
      </c>
      <c r="I6" s="26" t="inlineStr">
        <is>
          <t>OMS has order-history data. Some SKUs are out of stock (stock=0).</t>
        </is>
      </c>
      <c r="J6" s="26" t="inlineStr">
        <is>
          <t>Member: shows the top in-stock SKUs (stock&gt;0), sorted by Order Count (NOT item quantity), descending. Out-of-stock SKUs don't appear in the first batch; the system loads more once the shopper scrolls past the first batch. Guest: behavior is currently TBD — see QnA-01.</t>
        </is>
      </c>
      <c r="K6" s="26" t="inlineStr">
        <is>
          <t>Correct order by Order Count. Out-of-stock SKUs are excluded from the first batch shown. The block never shows any raw personal data beyond Product_ID.</t>
        </is>
      </c>
      <c r="L6" s="26" t="inlineStr">
        <is>
          <t>QnA-01</t>
        </is>
      </c>
      <c r="M6" s="28" t="n"/>
      <c r="N6" s="28" t="n"/>
      <c r="O6" s="28" t="n"/>
      <c r="P6" s="26" t="inlineStr">
        <is>
          <t>OPEN — QnA-01: xem chi tiết trong file QnA log.</t>
        </is>
      </c>
    </row>
    <row r="7" ht="57.45" customHeight="1" s="17">
      <c r="A7" s="27" t="n">
        <v>5</v>
      </c>
      <c r="B7" s="27" t="inlineStr">
        <is>
          <t>SS-SCR-001-SC5</t>
        </is>
      </c>
      <c r="C7" s="27" t="inlineStr">
        <is>
          <t>SS-SCR-001</t>
        </is>
      </c>
      <c r="D7" s="27" t="inlineStr">
        <is>
          <t>A. Search Bar &amp; Pre-search</t>
        </is>
      </c>
      <c r="E7" s="27" t="inlineStr">
        <is>
          <t>FR-SP-02, FR-IS-02, FR-VS-02, FR-PS-01, FR-PS-02, FR-PS-03, FR-PS-04</t>
        </is>
      </c>
      <c r="F7" s="27" t="inlineStr">
        <is>
          <t>Normal</t>
        </is>
      </c>
      <c r="G7" s="27" t="inlineStr">
        <is>
          <t>Check the rotating placeholder text in the Search Bar input when it's empty.</t>
        </is>
      </c>
      <c r="H7" s="27" t="inlineStr">
        <is>
          <t>No text entered yet</t>
        </is>
      </c>
      <c r="I7" s="27" t="inlineStr">
        <is>
          <t>Pre-search screen, Search Bar is empty and not focused.</t>
        </is>
      </c>
      <c r="J7" s="27" t="inlineStr">
        <is>
          <t>The placeholder text rotates through a set of sample keywords every 3 seconds (per FR-PS-04), fading smoothly instead of jumping abruptly, and stops rotating once the shopper starts typing.</t>
        </is>
      </c>
      <c r="K7" s="27" t="inlineStr">
        <is>
          <t>Rotation interval is exactly 3 seconds. Rotation stops immediately once the shopper types.</t>
        </is>
      </c>
      <c r="L7" s="27" t="n"/>
      <c r="M7" s="28" t="n"/>
      <c r="N7" s="28" t="n"/>
      <c r="O7" s="28" t="n"/>
      <c r="P7" s="27" t="n"/>
    </row>
    <row r="8" ht="46.25" customHeight="1" s="17">
      <c r="A8" s="26" t="n">
        <v>6</v>
      </c>
      <c r="B8" s="26" t="inlineStr">
        <is>
          <t>SS-SCR-001-SC6</t>
        </is>
      </c>
      <c r="C8" s="26" t="inlineStr">
        <is>
          <t>SS-SCR-001</t>
        </is>
      </c>
      <c r="D8" s="26" t="inlineStr">
        <is>
          <t>A. Search Bar &amp; Pre-search</t>
        </is>
      </c>
      <c r="E8" s="26" t="inlineStr">
        <is>
          <t>FR-SP-02, FR-IS-02, FR-VS-02, FR-PS-01, FR-PS-02, FR-PS-03, FR-PS-04</t>
        </is>
      </c>
      <c r="F8" s="26" t="inlineStr">
        <is>
          <t>Boundary</t>
        </is>
      </c>
      <c r="G8" s="26" t="inlineStr">
        <is>
          <t>Check the Cart badge count at 0 / 1-98 / 99+.</t>
        </is>
      </c>
      <c r="H8" s="26" t="inlineStr">
        <is>
          <t>0 products / 45 products / 130 products in the cart</t>
        </is>
      </c>
      <c r="I8" s="26" t="inlineStr">
        <is>
          <t>The header bar shows on every screen.</t>
        </is>
      </c>
      <c r="J8" s="26" t="inlineStr">
        <is>
          <t>0 products: badge fully hidden. 1-98: shows the exact number. 99+: shows a shortened format — the exact format is not confirmed in the BRD/storyboard yet.</t>
        </is>
      </c>
      <c r="K8" s="26" t="inlineStr">
        <is>
          <t>Badge never shows 0. It never overflows the UI at large numbers.</t>
        </is>
      </c>
      <c r="L8" s="26" t="inlineStr">
        <is>
          <t>QnA-25</t>
        </is>
      </c>
      <c r="M8" s="28" t="n"/>
      <c r="N8" s="28" t="n"/>
      <c r="O8" s="28" t="n"/>
      <c r="P8" s="26" t="inlineStr">
        <is>
          <t>OPEN — QnA-25: xem chi tiết trong file QnA log.</t>
        </is>
      </c>
    </row>
    <row r="9" ht="46.25" customHeight="1" s="17">
      <c r="A9" s="27" t="n">
        <v>7</v>
      </c>
      <c r="B9" s="27" t="inlineStr">
        <is>
          <t>SS-SCR-001-SC7</t>
        </is>
      </c>
      <c r="C9" s="27" t="inlineStr">
        <is>
          <t>SS-SCR-001</t>
        </is>
      </c>
      <c r="D9" s="27" t="inlineStr">
        <is>
          <t>A. Search Bar &amp; Pre-search</t>
        </is>
      </c>
      <c r="E9" s="27" t="inlineStr">
        <is>
          <t>FR-SP-02, FR-IS-02, FR-VS-02, FR-PS-01, FR-PS-02, FR-PS-03, FR-PS-04</t>
        </is>
      </c>
      <c r="F9" s="27" t="inlineStr">
        <is>
          <t>Functional</t>
        </is>
      </c>
      <c r="G9" s="27" t="inlineStr">
        <is>
          <t>Interact with a Product Card in "Frequently Purchased": tap the card to open the PDP, tap (+) to quick-add.</t>
        </is>
      </c>
      <c r="H9" s="27" t="inlineStr">
        <is>
          <t>Tap the product card / tap the (+) button</t>
        </is>
      </c>
      <c r="I9" s="27" t="inlineStr">
        <is>
          <t>Logged in, "Frequently Purchased" block shows 1 or more products.</t>
        </is>
      </c>
      <c r="J9" s="27" t="inlineStr">
        <is>
          <t>Tapping the card opens that product's PDP page. Tapping (+) adds 1 unit to the cart and shows a Toast (SS-SCR-011), without leaving Pre-search.</t>
        </is>
      </c>
      <c r="K9" s="27" t="inlineStr">
        <is>
          <t>Navigate to the correct PDP. Adding to cart does not leave the current screen.</t>
        </is>
      </c>
      <c r="L9" s="27" t="n"/>
      <c r="M9" s="28" t="n"/>
      <c r="N9" s="28" t="n"/>
      <c r="O9" s="28" t="n"/>
      <c r="P9" s="27" t="n"/>
    </row>
    <row r="10" ht="46.25" customHeight="1" s="17">
      <c r="A10" s="27" t="n">
        <v>8</v>
      </c>
      <c r="B10" s="27" t="inlineStr">
        <is>
          <t>SS-SCR-001-SC8</t>
        </is>
      </c>
      <c r="C10" s="27" t="inlineStr">
        <is>
          <t>SS-SCR-001</t>
        </is>
      </c>
      <c r="D10" s="27" t="inlineStr">
        <is>
          <t>A. Search Bar &amp; Pre-search</t>
        </is>
      </c>
      <c r="E10" s="27" t="inlineStr">
        <is>
          <t>FR-SP-02, FR-IS-02, FR-VS-02, FR-PS-01, FR-PS-02, FR-PS-03, FR-PS-04</t>
        </is>
      </c>
      <c r="F10" s="27" t="inlineStr">
        <is>
          <t>Boundary</t>
        </is>
      </c>
      <c r="G10" s="27" t="inlineStr">
        <is>
          <t>Load more SKUs in "Frequently Purchased" once the shopper scrolls past the first batch of 10.</t>
        </is>
      </c>
      <c r="H10" s="27" t="inlineStr">
        <is>
          <t>Scroll through the first 10 SKUs</t>
        </is>
      </c>
      <c r="I10" s="27" t="inlineStr">
        <is>
          <t>The shopper has more than 10 SKUs eligible for "Frequently Purchased".</t>
        </is>
      </c>
      <c r="J10" s="27" t="inlineStr">
        <is>
          <t>Per FR-PS-03: once the shopper scrolls past the shown top 10, the system loads the next batch of 10, in order of descending purchase frequency, continuing until the list ends.</t>
        </is>
      </c>
      <c r="K10" s="27" t="inlineStr">
        <is>
          <t>No duplicate SKUs between batches. Loading stops cleanly at the end of the list, no infinite loading.</t>
        </is>
      </c>
      <c r="L10" s="27" t="n"/>
      <c r="M10" s="28" t="n"/>
      <c r="N10" s="28" t="n"/>
      <c r="O10" s="28" t="n"/>
      <c r="P10" s="27" t="n"/>
    </row>
    <row r="11" ht="57.45" customHeight="1" s="17">
      <c r="A11" s="26" t="n">
        <v>9</v>
      </c>
      <c r="B11" s="26" t="inlineStr">
        <is>
          <t>SS-SCR-001-SC9</t>
        </is>
      </c>
      <c r="C11" s="26" t="inlineStr">
        <is>
          <t>SS-SCR-001</t>
        </is>
      </c>
      <c r="D11" s="26" t="inlineStr">
        <is>
          <t>A. Search Bar &amp; Pre-search</t>
        </is>
      </c>
      <c r="E11" s="26" t="inlineStr">
        <is>
          <t>FR-SP-02, FR-IS-02, FR-VS-02, FR-PS-01, FR-PS-02, FR-PS-03, FR-PS-04</t>
        </is>
      </c>
      <c r="F11" s="26" t="inlineStr">
        <is>
          <t>Exception</t>
        </is>
      </c>
      <c r="G11" s="26" t="inlineStr">
        <is>
          <t>Network failure while loading the Trending/Frequently-Purchased blocks right on Pre-search (before any search happens).</t>
        </is>
      </c>
      <c r="H11" s="26" t="inlineStr">
        <is>
          <t>No network connection when opening the Pre-search screen</t>
        </is>
      </c>
      <c r="I11" s="26" t="inlineStr">
        <is>
          <t>The test device can simulate no network connection.</t>
        </is>
      </c>
      <c r="J11" s="26" t="inlineStr">
        <is>
          <t>No document currently defines the exact UI behavior for this case (different from the network-error case during search processing at SS-SCR-004, which already has a clear rule: over 5s = error message + Try again).</t>
        </is>
      </c>
      <c r="K11" s="26" t="inlineStr">
        <is>
          <t>Must not leave the whole Pre-search screen blank or crash the app.</t>
        </is>
      </c>
      <c r="L11" s="26" t="inlineStr">
        <is>
          <t>QnA-26</t>
        </is>
      </c>
      <c r="M11" s="28" t="n"/>
      <c r="N11" s="28" t="n"/>
      <c r="O11" s="28" t="n"/>
      <c r="P11" s="26" t="inlineStr">
        <is>
          <t>OPEN — QnA-26: xem chi tiết trong file QnA log.</t>
        </is>
      </c>
    </row>
    <row r="12" ht="57.45" customHeight="1" s="17">
      <c r="A12" s="27" t="n">
        <v>10</v>
      </c>
      <c r="B12" s="27" t="inlineStr">
        <is>
          <t>SS-SCR-002-SC1</t>
        </is>
      </c>
      <c r="C12" s="27" t="inlineStr">
        <is>
          <t>SS-SCR-002</t>
        </is>
      </c>
      <c r="D12" s="27" t="inlineStr">
        <is>
          <t>B. Autocomplete</t>
        </is>
      </c>
      <c r="E12" s="27" t="inlineStr">
        <is>
          <t>FR-SP-01, FR-GD-02</t>
        </is>
      </c>
      <c r="F12" s="27" t="inlineStr">
        <is>
          <t>Normal</t>
        </is>
      </c>
      <c r="G12" s="27" t="inlineStr">
        <is>
          <t>Type a keyword and check the autocomplete suggestion list.</t>
        </is>
      </c>
      <c r="H12" s="27" t="inlineStr">
        <is>
          <t>"sữa" (milk)</t>
        </is>
      </c>
      <c r="I12" s="27" t="inlineStr">
        <is>
          <t>Search bar is auto-focused, keyboard is showing.</t>
        </is>
      </c>
      <c r="J12" s="27" t="inlineStr">
        <is>
          <t>After a 300ms debounce, up to 10 suggestion rows appear, sorted by search volume descending, with the matching part bolded. The list fits fully above the keyboard, not blocked by it.</t>
        </is>
      </c>
      <c r="K12" s="27" t="inlineStr">
        <is>
          <t>Suggestions appear within 300ms after typing stops (P95, NFR-002). 10 rows max. Correct bold highlight.</t>
        </is>
      </c>
      <c r="L12" s="27" t="n"/>
      <c r="M12" s="28" t="n"/>
      <c r="N12" s="28" t="n"/>
      <c r="O12" s="28" t="n"/>
      <c r="P12" s="27" t="n"/>
    </row>
    <row r="13" ht="35.05" customHeight="1" s="17">
      <c r="A13" s="27" t="n">
        <v>11</v>
      </c>
      <c r="B13" s="27" t="inlineStr">
        <is>
          <t>SS-SCR-002-SC2</t>
        </is>
      </c>
      <c r="C13" s="27" t="inlineStr">
        <is>
          <t>SS-SCR-002</t>
        </is>
      </c>
      <c r="D13" s="27" t="inlineStr">
        <is>
          <t>B. Autocomplete</t>
        </is>
      </c>
      <c r="E13" s="27" t="inlineStr">
        <is>
          <t>FR-SP-01, FR-GD-02</t>
        </is>
      </c>
      <c r="F13" s="27" t="inlineStr">
        <is>
          <t>Edge</t>
        </is>
      </c>
      <c r="G13" s="27" t="inlineStr">
        <is>
          <t>Type 1 character and the API returns no suggestions.</t>
        </is>
      </c>
      <c r="H13" s="27" t="inlineStr">
        <is>
          <t>"x" (no matching suggestions)</t>
        </is>
      </c>
      <c r="I13" s="27" t="inlineStr">
        <is>
          <t>Catalogue is indexed. The API returns empty for this input.</t>
        </is>
      </c>
      <c r="J13" s="27" t="inlineStr">
        <is>
          <t>The suggestion list is fully hidden. The Pre-search screen behind it stays as-is. It does NOT show an "empty/no suggestions" state.</t>
        </is>
      </c>
      <c r="K13" s="27" t="inlineStr">
        <is>
          <t>No empty-state UI appears. Pre-search content stays visible behind the Autocomplete layer.</t>
        </is>
      </c>
      <c r="L13" s="27" t="n"/>
      <c r="M13" s="28" t="n"/>
      <c r="N13" s="28" t="n"/>
      <c r="O13" s="28" t="n"/>
      <c r="P13" s="27" t="n"/>
    </row>
    <row r="14" ht="57.45" customHeight="1" s="17">
      <c r="A14" s="27" t="n">
        <v>12</v>
      </c>
      <c r="B14" s="27" t="inlineStr">
        <is>
          <t>SS-SCR-002-SC3</t>
        </is>
      </c>
      <c r="C14" s="27" t="inlineStr">
        <is>
          <t>SS-SCR-002</t>
        </is>
      </c>
      <c r="D14" s="27" t="inlineStr">
        <is>
          <t>B. Autocomplete</t>
        </is>
      </c>
      <c r="E14" s="27" t="inlineStr">
        <is>
          <t>FR-SP-01, FR-GD-02</t>
        </is>
      </c>
      <c r="F14" s="27" t="inlineStr">
        <is>
          <t>Functional</t>
        </is>
      </c>
      <c r="G14" s="27" t="inlineStr">
        <is>
          <t>Compare tapping a suggestion vs pressing Enter on the keyboard.</t>
        </is>
      </c>
      <c r="H14" s="27" t="inlineStr">
        <is>
          <t>Tap 1 suggestion row / type then press Enter</t>
        </is>
      </c>
      <c r="I14" s="27" t="inlineStr">
        <is>
          <t>The suggestion list is showing.</t>
        </is>
      </c>
      <c r="J14" s="27" t="inlineStr">
        <is>
          <t>Tap a suggestion: fills that exact row's text into the input box, closes the keyboard, searches for that suggested keyword. Press Enter: searches for exactly what the shopper typed (not the first suggestion row).</t>
        </is>
      </c>
      <c r="K14" s="27" t="inlineStr">
        <is>
          <t>The 2 actions must give 2 different results if the typed text differs from the first suggestion.</t>
        </is>
      </c>
      <c r="L14" s="27" t="n"/>
      <c r="M14" s="28" t="n"/>
      <c r="N14" s="28" t="n"/>
      <c r="O14" s="28" t="n"/>
      <c r="P14" s="27" t="n"/>
    </row>
    <row r="15" ht="46.25" customHeight="1" s="17">
      <c r="A15" s="27" t="n">
        <v>13</v>
      </c>
      <c r="B15" s="27" t="inlineStr">
        <is>
          <t>SS-SCR-002-SC4</t>
        </is>
      </c>
      <c r="C15" s="27" t="inlineStr">
        <is>
          <t>SS-SCR-002</t>
        </is>
      </c>
      <c r="D15" s="27" t="inlineStr">
        <is>
          <t>B. Autocomplete</t>
        </is>
      </c>
      <c r="E15" s="27" t="inlineStr">
        <is>
          <t>FR-SP-01, FR-GD-02</t>
        </is>
      </c>
      <c r="F15" s="27" t="inlineStr">
        <is>
          <t>Boundary</t>
        </is>
      </c>
      <c r="G15" s="27" t="inlineStr">
        <is>
          <t>Delete characters one by one until the input is empty.</t>
        </is>
      </c>
      <c r="H15" s="27" t="inlineStr">
        <is>
          <t>Type "sữa" then delete one character at a time down to empty</t>
        </is>
      </c>
      <c r="I15" s="27" t="inlineStr">
        <is>
          <t>On the Autocomplete screen with suggestions showing.</t>
        </is>
      </c>
      <c r="J15" s="27" t="inlineStr">
        <is>
          <t>The suggestion list updates as each character is removed. Once the input is fully empty, it goes back to the exact Pre-search state (not an empty suggestion list).</t>
        </is>
      </c>
      <c r="K15" s="27" t="inlineStr">
        <is>
          <t>No stuck in-between state / leftover old suggestions once the input is empty.</t>
        </is>
      </c>
      <c r="L15" s="27" t="n"/>
      <c r="M15" s="28" t="n"/>
      <c r="N15" s="28" t="n"/>
      <c r="O15" s="28" t="n"/>
      <c r="P15" s="27" t="n"/>
    </row>
    <row r="16" ht="57.45" customHeight="1" s="17">
      <c r="A16" s="26" t="n">
        <v>14</v>
      </c>
      <c r="B16" s="26" t="inlineStr">
        <is>
          <t>SS-SCR-002-SC5</t>
        </is>
      </c>
      <c r="C16" s="26" t="inlineStr">
        <is>
          <t>SS-SCR-002</t>
        </is>
      </c>
      <c r="D16" s="26" t="inlineStr">
        <is>
          <t>B. Autocomplete</t>
        </is>
      </c>
      <c r="E16" s="26" t="inlineStr">
        <is>
          <t>FR-SP-01, FR-GD-02</t>
        </is>
      </c>
      <c r="F16" s="26" t="inlineStr">
        <is>
          <t>Edge</t>
        </is>
      </c>
      <c r="G16" s="26" t="inlineStr">
        <is>
          <t>Type special characters / emoji / a very long string into the search box.</t>
        </is>
      </c>
      <c r="H16" s="26" t="inlineStr">
        <is>
          <t>"@@@###!!!" / 😀🥛 / a 200-character repeated string</t>
        </is>
      </c>
      <c r="I16" s="26" t="inlineStr">
        <is>
          <t>Search Bar is focused.</t>
        </is>
      </c>
      <c r="J16" s="26" t="inlineStr">
        <is>
          <t>The app must not crash. Special characters/emoji return empty suggestions (list hidden, per the "empty API" rule). A string over some max length gets blocked or trimmed — the exact max length is not defined in the BRD.</t>
        </is>
      </c>
      <c r="K16" s="26" t="inlineStr">
        <is>
          <t>No crash. No requests that cause a 5xx server error. The UI always stays stable.</t>
        </is>
      </c>
      <c r="L16" s="26" t="inlineStr">
        <is>
          <t>QnA-04</t>
        </is>
      </c>
      <c r="M16" s="28" t="n"/>
      <c r="N16" s="28" t="n"/>
      <c r="O16" s="28" t="n"/>
      <c r="P16" s="26" t="inlineStr">
        <is>
          <t>OPEN — QnA-04: xem chi tiết trong file QnA log.</t>
        </is>
      </c>
    </row>
    <row r="17" ht="57.45" customHeight="1" s="17">
      <c r="A17" s="27" t="n">
        <v>15</v>
      </c>
      <c r="B17" s="27" t="inlineStr">
        <is>
          <t>SS-SCR-002-SC6</t>
        </is>
      </c>
      <c r="C17" s="27" t="inlineStr">
        <is>
          <t>SS-SCR-002</t>
        </is>
      </c>
      <c r="D17" s="27" t="inlineStr">
        <is>
          <t>B. Autocomplete</t>
        </is>
      </c>
      <c r="E17" s="27" t="inlineStr">
        <is>
          <t>FR-SP-01, FR-GD-02</t>
        </is>
      </c>
      <c r="F17" s="27" t="inlineStr">
        <is>
          <t>Exception</t>
        </is>
      </c>
      <c r="G17" s="27" t="inlineStr">
        <is>
          <t>The suggestion API times out/errors while typing.</t>
        </is>
      </c>
      <c r="H17" s="27" t="inlineStr">
        <is>
          <t>Type "sữa" while the backend suggestion endpoint returns a 5xx error/timeout</t>
        </is>
      </c>
      <c r="I17" s="27" t="inlineStr">
        <is>
          <t>Simulate a network error on the autocomplete endpoint.</t>
        </is>
      </c>
      <c r="J17" s="27" t="inlineStr">
        <is>
          <t>No crash. The suggestion list does not show (treated as empty). The previous Pre-search/state is not broken. The shopper can still press Enter to search directly (not dependent on autocomplete).</t>
        </is>
      </c>
      <c r="K17" s="27" t="inlineStr">
        <is>
          <t>An autocomplete error must not block the main search flow (Enter must still work).</t>
        </is>
      </c>
      <c r="L17" s="27" t="n"/>
      <c r="M17" s="28" t="n"/>
      <c r="N17" s="28" t="n"/>
      <c r="O17" s="28" t="n"/>
      <c r="P17" s="27" t="n"/>
    </row>
    <row r="18" ht="68.65000000000001" customHeight="1" s="17">
      <c r="A18" s="27" t="n">
        <v>16</v>
      </c>
      <c r="B18" s="27" t="inlineStr">
        <is>
          <t>SS-SCR-003-SC1</t>
        </is>
      </c>
      <c r="C18" s="27" t="inlineStr">
        <is>
          <t>SS-SCR-003</t>
        </is>
      </c>
      <c r="D18" s="27" t="inlineStr">
        <is>
          <t>C. Auto-Correct Banner</t>
        </is>
      </c>
      <c r="E18" s="27" t="inlineStr">
        <is>
          <t>FR-AC-01, FR-AC-03</t>
        </is>
      </c>
      <c r="F18" s="27" t="inlineStr">
        <is>
          <t>Typo</t>
        </is>
      </c>
      <c r="G18" s="27" t="inlineStr">
        <is>
          <t>Type a misspelled string that has a valid fuzzy match.</t>
        </is>
      </c>
      <c r="H18" s="27" t="inlineStr">
        <is>
          <t>"sua toui" (typo, no diacritics)</t>
        </is>
      </c>
      <c r="I18" s="27" t="inlineStr">
        <is>
          <t>The fuzzy-match engine is running.</t>
        </is>
      </c>
      <c r="J18" s="27" t="inlineStr">
        <is>
          <t>The input box keeps showing "sua toui" exactly (system does not auto-overwrite it). A banner "We found a more accurate keyword for you" appears with a link "Did you mean 'sữa tươi'?". The autocomplete list below the banner shows results for the corrected word.</t>
        </is>
      </c>
      <c r="K18" s="27" t="inlineStr">
        <is>
          <t>The input field is never auto-overwritten by the system. Redirect only happens if the shopper taps the suggestion.</t>
        </is>
      </c>
      <c r="L18" s="27" t="n"/>
      <c r="M18" s="28" t="n"/>
      <c r="N18" s="28" t="n"/>
      <c r="O18" s="28" t="n"/>
      <c r="P18" s="27" t="n"/>
    </row>
    <row r="19" ht="23.85" customHeight="1" s="17">
      <c r="A19" s="27" t="n">
        <v>17</v>
      </c>
      <c r="B19" s="27" t="inlineStr">
        <is>
          <t>SS-SCR-003-SC2</t>
        </is>
      </c>
      <c r="C19" s="27" t="inlineStr">
        <is>
          <t>SS-SCR-003</t>
        </is>
      </c>
      <c r="D19" s="27" t="inlineStr">
        <is>
          <t>C. Auto-Correct Banner</t>
        </is>
      </c>
      <c r="E19" s="27" t="inlineStr">
        <is>
          <t>FR-AC-01, FR-AC-03</t>
        </is>
      </c>
      <c r="F19" s="27" t="inlineStr">
        <is>
          <t>Exception</t>
        </is>
      </c>
      <c r="G19" s="27" t="inlineStr">
        <is>
          <t>Type a word that is already spelled correctly / is a valid brand name.</t>
        </is>
      </c>
      <c r="H19" s="27" t="inlineStr">
        <is>
          <t>"Milo" (a valid brand)</t>
        </is>
      </c>
      <c r="I19" s="27" t="inlineStr">
        <is>
          <t>"Milo" exists as a valid brand/catalogue term.</t>
        </is>
      </c>
      <c r="J19" s="27" t="inlineStr">
        <is>
          <t>The correction banner does NOT appear. The system does not modify the query.</t>
        </is>
      </c>
      <c r="K19" s="27" t="inlineStr">
        <is>
          <t>0% of cases show the banner for an already-valid catalogue/brand term.</t>
        </is>
      </c>
      <c r="L19" s="27" t="n"/>
      <c r="M19" s="28" t="n"/>
      <c r="N19" s="28" t="n"/>
      <c r="O19" s="28" t="n"/>
      <c r="P19" s="27" t="n"/>
    </row>
    <row r="20" ht="46.25" customHeight="1" s="17">
      <c r="A20" s="27" t="n">
        <v>18</v>
      </c>
      <c r="B20" s="27" t="inlineStr">
        <is>
          <t>SS-SCR-003-SC3</t>
        </is>
      </c>
      <c r="C20" s="27" t="inlineStr">
        <is>
          <t>SS-SCR-003</t>
        </is>
      </c>
      <c r="D20" s="27" t="inlineStr">
        <is>
          <t>C. Auto-Correct Banner</t>
        </is>
      </c>
      <c r="E20" s="27" t="inlineStr">
        <is>
          <t>FR-AC-01, FR-AC-03</t>
        </is>
      </c>
      <c r="F20" s="27" t="inlineStr">
        <is>
          <t>Edge</t>
        </is>
      </c>
      <c r="G20" s="27" t="inlineStr">
        <is>
          <t>Keep typing after the correction banner already appeared (without tapping it or closing it).</t>
        </is>
      </c>
      <c r="H20" s="27" t="inlineStr">
        <is>
          <t>"sua toui" then keep typing "sua tuoi khong duong"</t>
        </is>
      </c>
      <c r="I20" s="27" t="inlineStr">
        <is>
          <t>The correction banner is currently showing for "sua toui".</t>
        </is>
      </c>
      <c r="J20" s="27" t="inlineStr">
        <is>
          <t>The banner updates (or hides, if the new text no longer has a fuzzy match) to match the current input — it must not keep showing an outdated suggestion.</t>
        </is>
      </c>
      <c r="K20" s="27" t="inlineStr">
        <is>
          <t>The banner always reflects the current input state, never a suggestion for old, stale text.</t>
        </is>
      </c>
      <c r="L20" s="27" t="n"/>
      <c r="M20" s="28" t="n"/>
      <c r="N20" s="28" t="n"/>
      <c r="O20" s="28" t="n"/>
      <c r="P20" s="27" t="n"/>
    </row>
    <row r="21" ht="57.45" customHeight="1" s="17">
      <c r="A21" s="27" t="n">
        <v>19</v>
      </c>
      <c r="B21" s="27" t="inlineStr">
        <is>
          <t>SS-SCR-003-SC4</t>
        </is>
      </c>
      <c r="C21" s="27" t="inlineStr">
        <is>
          <t>SS-SCR-003</t>
        </is>
      </c>
      <c r="D21" s="27" t="inlineStr">
        <is>
          <t>C. Auto-Correct Banner</t>
        </is>
      </c>
      <c r="E21" s="27" t="inlineStr">
        <is>
          <t>FR-AC-01, FR-AC-03</t>
        </is>
      </c>
      <c r="F21" s="27" t="inlineStr">
        <is>
          <t>Multilingual</t>
        </is>
      </c>
      <c r="G21" s="27" t="inlineStr">
        <is>
          <t>Correct spelling for an English query while the UI language is Vietnamese.</t>
        </is>
      </c>
      <c r="H21" s="27" t="inlineStr">
        <is>
          <t>"milkk" (UI=VI)</t>
        </is>
      </c>
      <c r="I21" s="27" t="inlineStr">
        <is>
          <t>UI language = VI; "milkk" is "milk" with one extra letter.</t>
        </is>
      </c>
      <c r="J21" s="27" t="inlineStr">
        <is>
          <t>The banner still detects and correctly suggests "milk" even though the query is English and the UI is Vietnamese — matches the principle that spelling correction doesn't depend on the input language.</t>
        </is>
      </c>
      <c r="K21" s="27" t="inlineStr">
        <is>
          <t>Spelling-error detection does not depend on the language of the keyword.</t>
        </is>
      </c>
      <c r="L21" s="27" t="n"/>
      <c r="M21" s="28" t="n"/>
      <c r="N21" s="28" t="n"/>
      <c r="O21" s="28" t="n"/>
      <c r="P21" s="27" t="n"/>
    </row>
    <row r="22" ht="68.65000000000001" customHeight="1" s="17">
      <c r="A22" s="26" t="n">
        <v>20</v>
      </c>
      <c r="B22" s="26" t="inlineStr">
        <is>
          <t>SS-SCR-004-SC1</t>
        </is>
      </c>
      <c r="C22" s="26" t="inlineStr">
        <is>
          <t>SS-SCR-004</t>
        </is>
      </c>
      <c r="D22" s="26" t="inlineStr">
        <is>
          <t>D. Search Processing / Loading</t>
        </is>
      </c>
      <c r="E22" s="26" t="inlineStr">
        <is>
          <t>FR-GD-01, FR-GD-03 (loading UI — exact NFR ID unconfirmed, see QnA-11)</t>
        </is>
      </c>
      <c r="F22" s="26" t="inlineStr">
        <is>
          <t>Performance</t>
        </is>
      </c>
      <c r="G22" s="26" t="inlineStr">
        <is>
          <t>Measure when the Loading screen shows, and the threshold for switching to a network-error message.</t>
        </is>
      </c>
      <c r="H22" s="26" t="inlineStr">
        <is>
          <t>A normal text/image/voice query</t>
        </is>
      </c>
      <c r="I22" s="26" t="inlineStr">
        <is>
          <t>The test device can simulate network delay.</t>
        </is>
      </c>
      <c r="J22" s="26" t="inlineStr">
        <is>
          <t>Loading only shows if the response takes more than 300ms. If it takes more than 5s, switch to a network-error message with a "Try again" button. The screen should never go blank/white. The same Loading component is shared by all 3 search methods.</t>
        </is>
      </c>
      <c r="K22" s="26" t="inlineStr">
        <is>
          <t>The 300ms and 5s thresholds are correct. The screen is never blank at any point.</t>
        </is>
      </c>
      <c r="L22" s="26" t="inlineStr">
        <is>
          <t>QnA-11</t>
        </is>
      </c>
      <c r="M22" s="28" t="n"/>
      <c r="N22" s="28" t="n"/>
      <c r="O22" s="28" t="n"/>
      <c r="P22" s="26" t="inlineStr">
        <is>
          <t>OPEN — QnA-11: xem chi tiết trong file QnA log.</t>
        </is>
      </c>
    </row>
    <row r="23" ht="57.45" customHeight="1" s="17">
      <c r="A23" s="27" t="n">
        <v>21</v>
      </c>
      <c r="B23" s="27" t="inlineStr">
        <is>
          <t>SS-SCR-004-SC2</t>
        </is>
      </c>
      <c r="C23" s="27" t="inlineStr">
        <is>
          <t>SS-SCR-004</t>
        </is>
      </c>
      <c r="D23" s="27" t="inlineStr">
        <is>
          <t>D. Search Processing / Loading</t>
        </is>
      </c>
      <c r="E23" s="27" t="inlineStr">
        <is>
          <t>FR-GD-01, FR-GD-03 (loading UI — exact NFR ID unconfirmed, see QnA-11)</t>
        </is>
      </c>
      <c r="F23" s="27" t="inlineStr">
        <is>
          <t>Edge</t>
        </is>
      </c>
      <c r="G23" s="27" t="inlineStr">
        <is>
          <t>Cancel the search partway by tapping Back while Loading is showing.</t>
        </is>
      </c>
      <c r="H23" s="27" t="inlineStr">
        <is>
          <t>Tap Back while the Loading screen is showing</t>
        </is>
      </c>
      <c r="I23" s="27" t="inlineStr">
        <is>
          <t>On the Loading screen (SS-SCR-004), waiting for results.</t>
        </is>
      </c>
      <c r="J23" s="27" t="inlineStr">
        <is>
          <t>The pending search request is cancelled (or its late result is ignored). The shopper goes back to the previous screen (Autocomplete/Camera/Listening) correctly, without a crash or getting stuck on Loading.</t>
        </is>
      </c>
      <c r="K23" s="27" t="inlineStr">
        <is>
          <t>No race condition where an old result unexpectedly shows up after the shopper left the screen.</t>
        </is>
      </c>
      <c r="L23" s="27" t="n"/>
      <c r="M23" s="28" t="n"/>
      <c r="N23" s="28" t="n"/>
      <c r="O23" s="28" t="n"/>
      <c r="P23" s="27" t="n"/>
    </row>
    <row r="24" ht="35.05" customHeight="1" s="17">
      <c r="A24" s="27" t="n">
        <v>22</v>
      </c>
      <c r="B24" s="27" t="inlineStr">
        <is>
          <t>SS-SCR-004-SC3</t>
        </is>
      </c>
      <c r="C24" s="27" t="inlineStr">
        <is>
          <t>SS-SCR-004</t>
        </is>
      </c>
      <c r="D24" s="27" t="inlineStr">
        <is>
          <t>D. Search Processing / Loading</t>
        </is>
      </c>
      <c r="E24" s="27" t="inlineStr">
        <is>
          <t>FR-GD-01, FR-GD-03 (loading UI — exact NFR ID unconfirmed, see QnA-11)</t>
        </is>
      </c>
      <c r="F24" s="27" t="inlineStr">
        <is>
          <t>Edge</t>
        </is>
      </c>
      <c r="G24" s="27" t="inlineStr">
        <is>
          <t>The keyword chip on the Loading screen with a very long keyword.</t>
        </is>
      </c>
      <c r="H24" s="27" t="inlineStr">
        <is>
          <t>A 60-character keyword</t>
        </is>
      </c>
      <c r="I24" s="27" t="inlineStr">
        <is>
          <t>On the Loading screen.</t>
        </is>
      </c>
      <c r="J24" s="27" t="inlineStr">
        <is>
          <t>The keyword chip is trimmed/shortened (ellipsis) sensibly, without breaking the Loading screen's layout.</t>
        </is>
      </c>
      <c r="K24" s="27" t="inlineStr">
        <is>
          <t>Never overflows the layout. The first part of the keyword must still be readable.</t>
        </is>
      </c>
      <c r="L24" s="27" t="n"/>
      <c r="M24" s="28" t="n"/>
      <c r="N24" s="28" t="n"/>
      <c r="O24" s="28" t="n"/>
      <c r="P24" s="27" t="n"/>
    </row>
    <row r="25" ht="68.65000000000001" customHeight="1" s="17">
      <c r="A25" s="27" t="n">
        <v>23</v>
      </c>
      <c r="B25" s="27" t="inlineStr">
        <is>
          <t>SS-SCR-005-SC1</t>
        </is>
      </c>
      <c r="C25" s="27" t="inlineStr">
        <is>
          <t>SS-SCR-005</t>
        </is>
      </c>
      <c r="D25" s="27" t="inlineStr">
        <is>
          <t>E. Search Results — Grid</t>
        </is>
      </c>
      <c r="E25" s="27" t="inlineStr">
        <is>
          <t>FR-PR-01, FR-PR-02, FR-PR-05, FR-PR-07, FR-SF-01</t>
        </is>
      </c>
      <c r="F25" s="27" t="inlineStr">
        <is>
          <t>Functional</t>
        </is>
      </c>
      <c r="G25" s="27" t="inlineStr">
        <is>
          <t>Check the 2-column grid layout and the sticky Sort/Filter bar.</t>
        </is>
      </c>
      <c r="H25" s="27" t="inlineStr">
        <is>
          <t>"sữa" (128 products)</t>
        </is>
      </c>
      <c r="I25" s="27" t="inlineStr">
        <is>
          <t>Search results have loaded.</t>
        </is>
      </c>
      <c r="J25" s="27" t="inlineStr">
        <is>
          <t>Search Bar keeps the keyword. The Sort &amp; Filter bar stays visible while scrolling (sticky). Grid/List toggle is shown. Smart filter chips appear based on the core attributes of the result set. Total result count shows and updates live. Products show as a 2-column grid.</t>
        </is>
      </c>
      <c r="K25" s="27" t="inlineStr">
        <is>
          <t>Sort/Filter bar is always visible while scrolling (sticky). Result count in the header matches the actual number of cards loaded.</t>
        </is>
      </c>
      <c r="L25" s="27" t="n"/>
      <c r="M25" s="28" t="n"/>
      <c r="N25" s="28" t="n"/>
      <c r="O25" s="28" t="n"/>
      <c r="P25" s="27" t="n"/>
    </row>
    <row r="26" ht="46.25" customHeight="1" s="17">
      <c r="A26" s="26" t="n">
        <v>24</v>
      </c>
      <c r="B26" s="26" t="inlineStr">
        <is>
          <t>SS-SCR-005-SC2</t>
        </is>
      </c>
      <c r="C26" s="26" t="inlineStr">
        <is>
          <t>SS-SCR-005</t>
        </is>
      </c>
      <c r="D26" s="26" t="inlineStr">
        <is>
          <t>E. Search Results — Grid</t>
        </is>
      </c>
      <c r="E26" s="26" t="inlineStr">
        <is>
          <t>FR-PR-01, FR-PR-02, FR-PR-05, FR-PR-07, FR-SF-01</t>
        </is>
      </c>
      <c r="F26" s="26" t="inlineStr">
        <is>
          <t>Sponsored</t>
        </is>
      </c>
      <c r="G26" s="26" t="inlineStr">
        <is>
          <t>Check the required "Sponsored" label on sponsored product cards.</t>
        </is>
      </c>
      <c r="H26" s="26" t="inlineStr">
        <is>
          <t>An active sponsored campaign for "sữa chua" (yogurt)</t>
        </is>
      </c>
      <c r="I26" s="26" t="inlineStr">
        <is>
          <t>1 or more sponsored products are in the result set.</t>
        </is>
      </c>
      <c r="J26" s="26" t="inlineStr">
        <is>
          <t>Sponsored products show a clear "Sponsored" tag in the corner of the card, never hidden or faded. The exact insertion position (fixed slot vs. auction) is TBD, see QnA-07.</t>
        </is>
      </c>
      <c r="K26" s="26" t="inlineStr">
        <is>
          <t>100% of sponsored products show the Sponsored label clearly, never covered by other UI elements.</t>
        </is>
      </c>
      <c r="L26" s="26" t="inlineStr">
        <is>
          <t>QnA-07</t>
        </is>
      </c>
      <c r="M26" s="28" t="n"/>
      <c r="N26" s="28" t="n"/>
      <c r="O26" s="28" t="n"/>
      <c r="P26" s="26" t="inlineStr">
        <is>
          <t>OPEN — QnA-07: xem chi tiết trong file QnA log.</t>
        </is>
      </c>
    </row>
    <row r="27" ht="57.45" customHeight="1" s="17">
      <c r="A27" s="27" t="n">
        <v>25</v>
      </c>
      <c r="B27" s="27" t="inlineStr">
        <is>
          <t>SS-SCR-005-SC3</t>
        </is>
      </c>
      <c r="C27" s="27" t="inlineStr">
        <is>
          <t>SS-SCR-005</t>
        </is>
      </c>
      <c r="D27" s="27" t="inlineStr">
        <is>
          <t>E. Search Results — Grid</t>
        </is>
      </c>
      <c r="E27" s="27" t="inlineStr">
        <is>
          <t>FR-PR-01, FR-PR-02, FR-PR-05, FR-PR-07, FR-SF-01</t>
        </is>
      </c>
      <c r="F27" s="27" t="inlineStr">
        <is>
          <t>Functional</t>
        </is>
      </c>
      <c r="G27" s="27" t="inlineStr">
        <is>
          <t>Tap a Product Card to open the PDP; tap the Search Bar's (X) button on the results page.</t>
        </is>
      </c>
      <c r="H27" s="27" t="inlineStr">
        <is>
          <t>Tap a product card / tap the (X) on the Search Bar</t>
        </is>
      </c>
      <c r="I27" s="27" t="inlineStr">
        <is>
          <t>The results page has loaded.</t>
        </is>
      </c>
      <c r="J27" s="27" t="inlineStr">
        <is>
          <t>Tapping a card (outside the + button's area) opens the correct PDP. Tapping (X) clears the keyword and goes back to the typing state (Autocomplete), not straight away from the results page until a new keyword is entered.</t>
        </is>
      </c>
      <c r="K27" s="27" t="inlineStr">
        <is>
          <t>The tap area for the (+) button and the tap area to open the PDP must not overlap and cause mis-taps.</t>
        </is>
      </c>
      <c r="L27" s="27" t="n"/>
      <c r="M27" s="28" t="n"/>
      <c r="N27" s="28" t="n"/>
      <c r="O27" s="28" t="n"/>
      <c r="P27" s="27" t="n"/>
    </row>
    <row r="28" ht="57.45" customHeight="1" s="17">
      <c r="A28" s="27" t="n">
        <v>26</v>
      </c>
      <c r="B28" s="27" t="inlineStr">
        <is>
          <t>SS-SCR-005-SC4</t>
        </is>
      </c>
      <c r="C28" s="27" t="inlineStr">
        <is>
          <t>SS-SCR-005</t>
        </is>
      </c>
      <c r="D28" s="27" t="inlineStr">
        <is>
          <t>E. Search Results — Grid</t>
        </is>
      </c>
      <c r="E28" s="27" t="inlineStr">
        <is>
          <t>FR-PR-01, FR-PR-02, FR-PR-05, FR-PR-07, FR-SF-01</t>
        </is>
      </c>
      <c r="F28" s="27" t="inlineStr">
        <is>
          <t>Boundary</t>
        </is>
      </c>
      <c r="G28" s="27" t="inlineStr">
        <is>
          <t>Show the total result count at 0 / 1 / a very large number (over 999).</t>
        </is>
      </c>
      <c r="H28" s="27" t="inlineStr">
        <is>
          <t>0 products (all filtered out) / 1 product / 1,245 products</t>
        </is>
      </c>
      <c r="I28" s="27" t="inlineStr">
        <is>
          <t>Three different query cases.</t>
        </is>
      </c>
      <c r="J28" s="27" t="inlineStr">
        <is>
          <t>The count shows correctly, formatted with sensible thousands separators (e.g. "1,245 products"); it works correctly for the singular case too (Vietnamese doesn't have singular/plural forms, so this is simpler than in English).</t>
        </is>
      </c>
      <c r="K28" s="27" t="inlineStr">
        <is>
          <t>The number matches the actual number of cards loaded. No negative numbers or NaN ever shown.</t>
        </is>
      </c>
      <c r="L28" s="27" t="n"/>
      <c r="M28" s="28" t="n"/>
      <c r="N28" s="28" t="n"/>
      <c r="O28" s="28" t="n"/>
      <c r="P28" s="27" t="n"/>
    </row>
    <row r="29" ht="35.05" customHeight="1" s="17">
      <c r="A29" s="26" t="n">
        <v>27</v>
      </c>
      <c r="B29" s="26" t="inlineStr">
        <is>
          <t>SS-SCR-005-SC5</t>
        </is>
      </c>
      <c r="C29" s="26" t="inlineStr">
        <is>
          <t>SS-SCR-005</t>
        </is>
      </c>
      <c r="D29" s="26" t="inlineStr">
        <is>
          <t>E. Search Results — Grid</t>
        </is>
      </c>
      <c r="E29" s="26" t="inlineStr">
        <is>
          <t>FR-PR-01, FR-PR-02, FR-PR-05, FR-PR-07, FR-SF-01</t>
        </is>
      </c>
      <c r="F29" s="26" t="inlineStr">
        <is>
          <t>Sponsored</t>
        </is>
      </c>
      <c r="G29" s="26" t="inlineStr">
        <is>
          <t>Several Sponsored products appear at the same time on the same results page.</t>
        </is>
      </c>
      <c r="H29" s="26" t="inlineStr">
        <is>
          <t>3 or more sponsored SKUs matching 1 keyword at once</t>
        </is>
      </c>
      <c r="I29" s="26" t="inlineStr">
        <is>
          <t>Several ad campaigns are running for the same keyword.</t>
        </is>
      </c>
      <c r="J29" s="26" t="inlineStr">
        <is>
          <t>Every sponsored SKU has its own separate label, none merged or missing; the relative order between sponsored SKUs is TBD, see QnA-07.</t>
        </is>
      </c>
      <c r="K29" s="26" t="inlineStr">
        <is>
          <t>100% of sponsored SKUs show the correct label, none missing.</t>
        </is>
      </c>
      <c r="L29" s="26" t="inlineStr">
        <is>
          <t>QnA-07</t>
        </is>
      </c>
      <c r="M29" s="28" t="n"/>
      <c r="N29" s="28" t="n"/>
      <c r="O29" s="28" t="n"/>
      <c r="P29" s="26" t="inlineStr">
        <is>
          <t>OPEN — QnA-07: xem chi tiết trong file QnA log.</t>
        </is>
      </c>
    </row>
    <row r="30" ht="79.84999999999999" customHeight="1" s="17">
      <c r="A30" s="26" t="n">
        <v>28</v>
      </c>
      <c r="B30" s="26" t="inlineStr">
        <is>
          <t>SS-SCR-005-SC6</t>
        </is>
      </c>
      <c r="C30" s="26" t="inlineStr">
        <is>
          <t>SS-SCR-005</t>
        </is>
      </c>
      <c r="D30" s="26" t="inlineStr">
        <is>
          <t>E. Search Results — Grid</t>
        </is>
      </c>
      <c r="E30" s="26" t="inlineStr">
        <is>
          <t>FR-PR-01, FR-PR-02, FR-PR-05, FR-PR-07, FR-SF-01</t>
        </is>
      </c>
      <c r="F30" s="26" t="inlineStr">
        <is>
          <t>Functional</t>
        </is>
      </c>
      <c r="G30" s="26" t="inlineStr">
        <is>
          <t>Switch search method (Mic/Camera) right from the text search results page.</t>
        </is>
      </c>
      <c r="H30" s="26" t="inlineStr">
        <is>
          <t>Tap the Mic or Camera icon while viewing "sữa" results</t>
        </is>
      </c>
      <c r="I30" s="26" t="inlineStr">
        <is>
          <t>On the Text Search results page.</t>
        </is>
      </c>
      <c r="J30" s="26" t="inlineStr">
        <is>
          <t>Opens the correct Voice/Image flow. Whether the applied filter/sort from the earlier text results is kept or cleared for the new results is not documented for the case of SWITCHING METHOD (different from switching keyword within the same method, already covered by QnA-06).</t>
        </is>
      </c>
      <c r="K30" s="26" t="inlineStr">
        <is>
          <t>Navigates to the correct target screen. No crash when a filter/sort is active.</t>
        </is>
      </c>
      <c r="L30" s="26" t="inlineStr">
        <is>
          <t>QnA-19</t>
        </is>
      </c>
      <c r="M30" s="28" t="n"/>
      <c r="N30" s="28" t="n"/>
      <c r="O30" s="28" t="n"/>
      <c r="P30" s="26" t="inlineStr">
        <is>
          <t>OPEN — QnA-19: xem chi tiết trong file QnA log.</t>
        </is>
      </c>
    </row>
    <row r="31" ht="68.65000000000001" customHeight="1" s="17">
      <c r="A31" s="27" t="n">
        <v>29</v>
      </c>
      <c r="B31" s="27" t="inlineStr">
        <is>
          <t>SS-SCR-006-SC1</t>
        </is>
      </c>
      <c r="C31" s="27" t="inlineStr">
        <is>
          <t>SS-SCR-006</t>
        </is>
      </c>
      <c r="D31" s="27" t="inlineStr">
        <is>
          <t>F. Search Results — List</t>
        </is>
      </c>
      <c r="E31" s="27" t="inlineStr">
        <is>
          <t>FR-PR-01, FR-PR-07</t>
        </is>
      </c>
      <c r="F31" s="27" t="inlineStr">
        <is>
          <t>Functional</t>
        </is>
      </c>
      <c r="G31" s="27" t="inlineStr">
        <is>
          <t>Check the List layout and infinite scroll for loading more results.</t>
        </is>
      </c>
      <c r="H31" s="27" t="inlineStr">
        <is>
          <t>"sữa" (128 products)</t>
        </is>
      </c>
      <c r="I31" s="27" t="inlineStr">
        <is>
          <t>View mode = List.</t>
        </is>
      </c>
      <c r="J31" s="27" t="inlineStr">
        <is>
          <t>88x88 square image on the left, full product name on 1 line (not cut off), rating/price/discount % all shown. The (+) quick-add button doesn't leave the page. The Sponsored label still shows. Infinite scroll loads more in batches (batch size TBD).</t>
        </is>
      </c>
      <c r="K31" s="27" t="inlineStr">
        <is>
          <t>Switching view mode does not reset filter/sort/scroll position. Loading more never duplicates a product.</t>
        </is>
      </c>
      <c r="L31" s="27" t="n"/>
      <c r="M31" s="28" t="n"/>
      <c r="N31" s="28" t="n"/>
      <c r="O31" s="28" t="n"/>
      <c r="P31" s="27" t="n"/>
    </row>
    <row r="32" ht="35.05" customHeight="1" s="17">
      <c r="A32" s="27" t="n">
        <v>30</v>
      </c>
      <c r="B32" s="27" t="inlineStr">
        <is>
          <t>SS-SCR-006-SC2</t>
        </is>
      </c>
      <c r="C32" s="27" t="inlineStr">
        <is>
          <t>SS-SCR-006</t>
        </is>
      </c>
      <c r="D32" s="27" t="inlineStr">
        <is>
          <t>F. Search Results — List</t>
        </is>
      </c>
      <c r="E32" s="27" t="inlineStr">
        <is>
          <t>FR-PR-01, FR-PR-07</t>
        </is>
      </c>
      <c r="F32" s="27" t="inlineStr">
        <is>
          <t>Edge</t>
        </is>
      </c>
      <c r="G32" s="27" t="inlineStr">
        <is>
          <t>Show a broken/missing product image in List view.</t>
        </is>
      </c>
      <c r="H32" s="27" t="inlineStr">
        <is>
          <t>1 SKU with a broken/404 image URL</t>
        </is>
      </c>
      <c r="I32" s="27" t="inlineStr">
        <is>
          <t>The List results page is loading.</t>
        </is>
      </c>
      <c r="J32" s="27" t="inlineStr">
        <is>
          <t>The 88x88 image box shows a neutral placeholder instead of a broken-image icon. The row's layout stays aligned.</t>
        </is>
      </c>
      <c r="K32" s="27" t="inlineStr">
        <is>
          <t>Never shows the system/browser's default broken-image icon.</t>
        </is>
      </c>
      <c r="L32" s="27" t="n"/>
      <c r="M32" s="28" t="n"/>
      <c r="N32" s="28" t="n"/>
      <c r="O32" s="28" t="n"/>
      <c r="P32" s="27" t="n"/>
    </row>
    <row r="33" ht="46.25" customHeight="1" s="17">
      <c r="A33" s="26" t="n">
        <v>31</v>
      </c>
      <c r="B33" s="26" t="inlineStr">
        <is>
          <t>SS-SCR-006-SC3</t>
        </is>
      </c>
      <c r="C33" s="26" t="inlineStr">
        <is>
          <t>SS-SCR-006</t>
        </is>
      </c>
      <c r="D33" s="26" t="inlineStr">
        <is>
          <t>F. Search Results — List</t>
        </is>
      </c>
      <c r="E33" s="26" t="inlineStr">
        <is>
          <t>FR-PR-01, FR-PR-07</t>
        </is>
      </c>
      <c r="F33" s="26" t="inlineStr">
        <is>
          <t>Boundary</t>
        </is>
      </c>
      <c r="G33" s="26" t="inlineStr">
        <is>
          <t>Show the rating for a product with no reviews yet.</t>
        </is>
      </c>
      <c r="H33" s="26" t="inlineStr">
        <is>
          <t>1 SKU with 0 reviews</t>
        </is>
      </c>
      <c r="I33" s="26" t="inlineStr">
        <is>
          <t>A new product with no reviews yet.</t>
        </is>
      </c>
      <c r="J33" s="26" t="inlineStr">
        <is>
          <t>Should not show a confusing empty/0.0-star rating; instead show a "No reviews yet" state or hide the rating area — the exact approach is not defined in the BRD.</t>
        </is>
      </c>
      <c r="K33" s="26" t="inlineStr">
        <is>
          <t>Never shows "0.0 stars" or a NaN value that looks bad.</t>
        </is>
      </c>
      <c r="L33" s="26" t="inlineStr">
        <is>
          <t>QnA-35</t>
        </is>
      </c>
      <c r="M33" s="28" t="n"/>
      <c r="N33" s="28" t="n"/>
      <c r="O33" s="28" t="n"/>
      <c r="P33" s="26" t="inlineStr">
        <is>
          <t>OPEN — QnA-35: xem chi tiết trong file QnA log.</t>
        </is>
      </c>
    </row>
    <row r="34" ht="68.65000000000001" customHeight="1" s="17">
      <c r="A34" s="26" t="n">
        <v>32</v>
      </c>
      <c r="B34" s="26" t="inlineStr">
        <is>
          <t>SS-SCR-008-SC1</t>
        </is>
      </c>
      <c r="C34" s="26" t="inlineStr">
        <is>
          <t>SS-SCR-008</t>
        </is>
      </c>
      <c r="D34" s="26" t="inlineStr">
        <is>
          <t>G. Sort</t>
        </is>
      </c>
      <c r="E34" s="26" t="inlineStr">
        <is>
          <t>FR-SF-02, FR-PR-06</t>
        </is>
      </c>
      <c r="F34" s="26" t="inlineStr">
        <is>
          <t>Sort</t>
        </is>
      </c>
      <c r="G34" s="26" t="inlineStr">
        <is>
          <t>Open the Sort bottom sheet and pick each option.</t>
        </is>
      </c>
      <c r="H34" s="26" t="inlineStr">
        <is>
          <t>8 options: Most Relevant, Best Selling, Most Viewed, Biggest Discount, Highest Rated, Price Low to High, Price High to Low, Name (A-Z)</t>
        </is>
      </c>
      <c r="I34" s="26" t="inlineStr">
        <is>
          <t>On the results page with a filter already applied.</t>
        </is>
      </c>
      <c r="J34" s="26" t="inlineStr">
        <is>
          <t>Picking 1 option (single-select) closes the sheet, re-runs the query, scrolls back to the top, and updates the label on the sticky bar. The applied filter stays on.</t>
        </is>
      </c>
      <c r="K34" s="26" t="inlineStr">
        <is>
          <t>No separate "Apply" button — picking an option applies it right away. The sort list must exactly match the 8 confirmed options (see QnA-15 for a mismatch with the BRD).</t>
        </is>
      </c>
      <c r="L34" s="26" t="inlineStr">
        <is>
          <t>QnA-15</t>
        </is>
      </c>
      <c r="M34" s="28" t="n"/>
      <c r="N34" s="28" t="n"/>
      <c r="O34" s="28" t="n"/>
      <c r="P34" s="26" t="inlineStr">
        <is>
          <t>OPEN — QnA-15: xem chi tiết trong file QnA log.</t>
        </is>
      </c>
    </row>
    <row r="35" ht="35.05" customHeight="1" s="17">
      <c r="A35" s="27" t="n">
        <v>33</v>
      </c>
      <c r="B35" s="27" t="inlineStr">
        <is>
          <t>SS-SCR-008-SC2</t>
        </is>
      </c>
      <c r="C35" s="27" t="inlineStr">
        <is>
          <t>SS-SCR-008</t>
        </is>
      </c>
      <c r="D35" s="27" t="inlineStr">
        <is>
          <t>G. Sort</t>
        </is>
      </c>
      <c r="E35" s="27" t="inlineStr">
        <is>
          <t>FR-SF-02, FR-PR-06</t>
        </is>
      </c>
      <c r="F35" s="27" t="inlineStr">
        <is>
          <t>Functional</t>
        </is>
      </c>
      <c r="G35" s="27" t="inlineStr">
        <is>
          <t>Tap the dimmed overlay outside the sheet to close the Sort sheet without changing anything.</t>
        </is>
      </c>
      <c r="H35" s="27" t="inlineStr">
        <is>
          <t>Tap the 48%-dark area outside the sheet</t>
        </is>
      </c>
      <c r="I35" s="27" t="inlineStr">
        <is>
          <t>The Sort bottom sheet is open, current sort = "Most Relevant".</t>
        </is>
      </c>
      <c r="J35" s="27" t="inlineStr">
        <is>
          <t>The sheet closes, keeping the earlier applied sort ("Most Relevant"), without re-running the query.</t>
        </is>
      </c>
      <c r="K35" s="27" t="inlineStr">
        <is>
          <t>No change to the results/query when closing the sheet by tapping outside.</t>
        </is>
      </c>
      <c r="L35" s="27" t="n"/>
      <c r="M35" s="28" t="n"/>
      <c r="N35" s="28" t="n"/>
      <c r="O35" s="28" t="n"/>
      <c r="P35" s="27" t="n"/>
    </row>
    <row r="36" ht="46.25" customHeight="1" s="17">
      <c r="A36" s="27" t="n">
        <v>34</v>
      </c>
      <c r="B36" s="27" t="inlineStr">
        <is>
          <t>SS-SCR-008-SC3</t>
        </is>
      </c>
      <c r="C36" s="27" t="inlineStr">
        <is>
          <t>SS-SCR-008</t>
        </is>
      </c>
      <c r="D36" s="27" t="inlineStr">
        <is>
          <t>G. Sort</t>
        </is>
      </c>
      <c r="E36" s="27" t="inlineStr">
        <is>
          <t>FR-SF-02, FR-PR-06</t>
        </is>
      </c>
      <c r="F36" s="27" t="inlineStr">
        <is>
          <t>Boundary</t>
        </is>
      </c>
      <c r="G36" s="27" t="inlineStr">
        <is>
          <t>Pick the exact option that is already active (a no-op).</t>
        </is>
      </c>
      <c r="H36" s="27" t="inlineStr">
        <is>
          <t>Current sort = "Price: low to high", tap that same option again</t>
        </is>
      </c>
      <c r="I36" s="27" t="inlineStr">
        <is>
          <t>Currently sorted by "Price: low to high".</t>
        </is>
      </c>
      <c r="J36" s="27" t="inlineStr">
        <is>
          <t>The sheet closes; there's no need to re-run an unnecessary query (or it re-runs but returns the exact same result) — no UI error/flicker when re-picking the already-active option.</t>
        </is>
      </c>
      <c r="K36" s="27" t="inlineStr">
        <is>
          <t>No UI flicker/glitch when re-selecting the already-active option.</t>
        </is>
      </c>
      <c r="L36" s="27" t="n"/>
      <c r="M36" s="28" t="n"/>
      <c r="N36" s="28" t="n"/>
      <c r="O36" s="28" t="n"/>
      <c r="P36" s="27" t="n"/>
    </row>
    <row r="37" ht="79.84999999999999" customHeight="1" s="17">
      <c r="A37" s="26" t="n">
        <v>35</v>
      </c>
      <c r="B37" s="26" t="inlineStr">
        <is>
          <t>SS-SCR-009-SC1</t>
        </is>
      </c>
      <c r="C37" s="26" t="inlineStr">
        <is>
          <t>SS-SCR-009</t>
        </is>
      </c>
      <c r="D37" s="26" t="inlineStr">
        <is>
          <t>H. Smart Filter / Detailed Filter</t>
        </is>
      </c>
      <c r="E37" s="26" t="inlineStr">
        <is>
          <t>FR-SF-01, FR-SF-04</t>
        </is>
      </c>
      <c r="F37" s="26" t="inlineStr">
        <is>
          <t>Filter</t>
        </is>
      </c>
      <c r="G37" s="26" t="inlineStr">
        <is>
          <t>Open the filter sheet, pick conditions across several groups (Category/Tags/Rating/Price), and apply.</t>
        </is>
      </c>
      <c r="H37" s="26" t="inlineStr">
        <is>
          <t>Category=Food &amp; Beverage, Tags=[No sugar, Organic], Rating=4 stars and up, Price=30-70 percentile</t>
        </is>
      </c>
      <c r="I37" s="26" t="inlineStr">
        <is>
          <t>Results page has loaded with 1 or more products.</t>
        </is>
      </c>
      <c r="J37" s="26" t="inlineStr">
        <is>
          <t>Category: a tree list, pick 1 branch only (exclusive). Tags: multi-select chips (many-to-many). Rating: pick only 1 level. Price: 3 auto percentile ranges or manual Min-Max, only one of the two allowed. Tapping "Apply (n)" closes the sheet, re-runs the query, updates the filter count badge.</t>
        </is>
      </c>
      <c r="K37" s="26" t="inlineStr">
        <is>
          <t>Cannot pick 2 Category branches at once. Cannot use both a price preset and manual entry at once. The filter badge count equals the total number of active conditions.</t>
        </is>
      </c>
      <c r="L37" s="26" t="inlineStr">
        <is>
          <t>QnA-02</t>
        </is>
      </c>
      <c r="M37" s="28" t="n"/>
      <c r="N37" s="28" t="n"/>
      <c r="O37" s="28" t="n"/>
      <c r="P37" s="26" t="inlineStr">
        <is>
          <t>OPEN — QnA-02: xem chi tiết trong file QnA log.</t>
        </is>
      </c>
    </row>
    <row r="38" ht="57.45" customHeight="1" s="17">
      <c r="A38" s="27" t="n">
        <v>36</v>
      </c>
      <c r="B38" s="27" t="inlineStr">
        <is>
          <t>SS-SCR-009-SC2</t>
        </is>
      </c>
      <c r="C38" s="27" t="inlineStr">
        <is>
          <t>SS-SCR-009</t>
        </is>
      </c>
      <c r="D38" s="27" t="inlineStr">
        <is>
          <t>H. Smart Filter / Detailed Filter</t>
        </is>
      </c>
      <c r="E38" s="27" t="inlineStr">
        <is>
          <t>FR-SF-01, FR-SF-04</t>
        </is>
      </c>
      <c r="F38" s="27" t="inlineStr">
        <is>
          <t>Filter</t>
        </is>
      </c>
      <c r="G38" s="27" t="inlineStr">
        <is>
          <t>Pick a price range — 3 percentile presets, or manual entry, mutually exclusive.</t>
        </is>
      </c>
      <c r="H38" s="27" t="inlineStr">
        <is>
          <t>Preset "30%-70% of average price" OR manual Min 20,000d Max 50,000d</t>
        </is>
      </c>
      <c r="I38" s="27" t="inlineStr">
        <is>
          <t>Results page has loaded; Price tab in the Filter sheet.</t>
        </is>
      </c>
      <c r="J38" s="27" t="inlineStr">
        <is>
          <t>3 auto price-range presets based on the result set's percentiles (e.g. under 30% = low, 30-70% = mid, over 70% = high) plus 1 manual Min-Max entry; only one of the two (preset OR manual) can be active.</t>
        </is>
      </c>
      <c r="K38" s="27" t="inlineStr">
        <is>
          <t>Picking a preset auto-clears manual entry, and vice versa.</t>
        </is>
      </c>
      <c r="L38" s="27" t="n"/>
      <c r="M38" s="28" t="n"/>
      <c r="N38" s="28" t="n"/>
      <c r="O38" s="28" t="n"/>
      <c r="P38" s="27" t="n"/>
    </row>
    <row r="39" ht="46.25" customHeight="1" s="17">
      <c r="A39" s="27" t="n">
        <v>37</v>
      </c>
      <c r="B39" s="27" t="inlineStr">
        <is>
          <t>SS-SCR-009-SC3</t>
        </is>
      </c>
      <c r="C39" s="27" t="inlineStr">
        <is>
          <t>SS-SCR-009</t>
        </is>
      </c>
      <c r="D39" s="27" t="inlineStr">
        <is>
          <t>H. Smart Filter / Detailed Filter</t>
        </is>
      </c>
      <c r="E39" s="27" t="inlineStr">
        <is>
          <t>FR-SF-01, FR-SF-04</t>
        </is>
      </c>
      <c r="F39" s="27" t="inlineStr">
        <is>
          <t>Filter</t>
        </is>
      </c>
      <c r="G39" s="27" t="inlineStr">
        <is>
          <t>Select/deselect several Tag chips at once — check the many-to-many structure.</t>
        </is>
      </c>
      <c r="H39" s="27" t="inlineStr">
        <is>
          <t>Select 4 chips: No sugar, Organic, Imported, Pasteurized</t>
        </is>
      </c>
      <c r="I39" s="27" t="inlineStr">
        <is>
          <t>On the Tags tab.</t>
        </is>
      </c>
      <c r="J39" s="27" t="inlineStr">
        <is>
          <t>Allows selecting multiple chips at the same time, with no exclusivity rule (unlike Category); deselecting any one chip does not affect the others.</t>
        </is>
      </c>
      <c r="K39" s="27" t="inlineStr">
        <is>
          <t>Each chip can be selected/deselected independently. The filter badge count equals the exact number of chips selected.</t>
        </is>
      </c>
      <c r="L39" s="27" t="n"/>
      <c r="M39" s="28" t="n"/>
      <c r="N39" s="28" t="n"/>
      <c r="O39" s="28" t="n"/>
      <c r="P39" s="27" t="n"/>
    </row>
    <row r="40" ht="46.25" customHeight="1" s="17">
      <c r="A40" s="27" t="n">
        <v>38</v>
      </c>
      <c r="B40" s="27" t="inlineStr">
        <is>
          <t>SS-SCR-009-SC4</t>
        </is>
      </c>
      <c r="C40" s="27" t="inlineStr">
        <is>
          <t>SS-SCR-009</t>
        </is>
      </c>
      <c r="D40" s="27" t="inlineStr">
        <is>
          <t>H. Smart Filter / Detailed Filter</t>
        </is>
      </c>
      <c r="E40" s="27" t="inlineStr">
        <is>
          <t>FR-SF-01, FR-SF-04</t>
        </is>
      </c>
      <c r="F40" s="27" t="inlineStr">
        <is>
          <t>Functional</t>
        </is>
      </c>
      <c r="G40" s="27" t="inlineStr">
        <is>
          <t>Expand the Category tree to sub-levels (&gt;) and navigate between levels.</t>
        </is>
      </c>
      <c r="H40" s="27" t="inlineStr">
        <is>
          <t>Food &amp; Beverage &gt; Milk &amp; Eggs &gt; Fresh Milk</t>
        </is>
      </c>
      <c r="I40" s="27" t="inlineStr">
        <is>
          <t>This branch of the category tree has 3 or more levels.</t>
        </is>
      </c>
      <c r="J40" s="27" t="inlineStr">
        <is>
          <t>The (&gt;) arrow correctly opens the matching sub-level; there's a breadcrumb/back path to the parent level; picking any level correctly filters to that level's scope.</t>
        </is>
      </c>
      <c r="K40" s="27" t="inlineStr">
        <is>
          <t>Navigating between levels does not lose an already-picked level in a parent tab.</t>
        </is>
      </c>
      <c r="L40" s="27" t="n"/>
      <c r="M40" s="28" t="n"/>
      <c r="N40" s="28" t="n"/>
      <c r="O40" s="28" t="n"/>
      <c r="P40" s="27" t="n"/>
    </row>
    <row r="41" ht="46.25" customHeight="1" s="17">
      <c r="A41" s="27" t="n">
        <v>39</v>
      </c>
      <c r="B41" s="27" t="inlineStr">
        <is>
          <t>SS-SCR-009-SC5</t>
        </is>
      </c>
      <c r="C41" s="27" t="inlineStr">
        <is>
          <t>SS-SCR-009</t>
        </is>
      </c>
      <c r="D41" s="27" t="inlineStr">
        <is>
          <t>H. Smart Filter / Detailed Filter</t>
        </is>
      </c>
      <c r="E41" s="27" t="inlineStr">
        <is>
          <t>FR-SF-01, FR-SF-04</t>
        </is>
      </c>
      <c r="F41" s="27" t="inlineStr">
        <is>
          <t>Negative</t>
        </is>
      </c>
      <c r="G41" s="27" t="inlineStr">
        <is>
          <t>Close the Filter sheet with the (X) button without applying — restore the previous state.</t>
        </is>
      </c>
      <c r="H41" s="27" t="inlineStr">
        <is>
          <t>Pick new conditions, then tap (X) instead of Apply</t>
        </is>
      </c>
      <c r="I41" s="27" t="inlineStr">
        <is>
          <t>1 filter is already active (e.g. "No sugar").</t>
        </is>
      </c>
      <c r="J41" s="27" t="inlineStr">
        <is>
          <t>Closes the sheet without applying the new changes; the results and filter badge stay in the state BEFORE this sheet was opened (only "No sugar", none of the newly picked conditions).</t>
        </is>
      </c>
      <c r="K41" s="27" t="inlineStr">
        <is>
          <t>No new condition gets applied by accident when closing via (X).</t>
        </is>
      </c>
      <c r="L41" s="27" t="n"/>
      <c r="M41" s="28" t="n"/>
      <c r="N41" s="28" t="n"/>
      <c r="O41" s="28" t="n"/>
      <c r="P41" s="27" t="n"/>
    </row>
    <row r="42" ht="46.25" customHeight="1" s="17">
      <c r="A42" s="27" t="n">
        <v>40</v>
      </c>
      <c r="B42" s="27" t="inlineStr">
        <is>
          <t>SS-SCR-010-SC1</t>
        </is>
      </c>
      <c r="C42" s="27" t="inlineStr">
        <is>
          <t>SS-SCR-010</t>
        </is>
      </c>
      <c r="D42" s="27" t="inlineStr">
        <is>
          <t>I. Filter Applied State</t>
        </is>
      </c>
      <c r="E42" s="27" t="inlineStr">
        <is>
          <t>FR-SF-03</t>
        </is>
      </c>
      <c r="F42" s="27" t="inlineStr">
        <is>
          <t>Boundary</t>
        </is>
      </c>
      <c r="G42" s="27" t="inlineStr">
        <is>
          <t>Applying a filter results in 0 products.</t>
        </is>
      </c>
      <c r="H42" s="27" t="inlineStr">
        <is>
          <t>A filter combo with no matching products (e.g. Price &lt; 10,000d AND Tags=Imported)</t>
        </is>
      </c>
      <c r="I42" s="27" t="inlineStr">
        <is>
          <t>The filtered results page returns 0 products.</t>
        </is>
      </c>
      <c r="J42" s="27" t="inlineStr">
        <is>
          <t>Shows the message "No products match this filter" with a "Clear filter" button. This must NOT redirect to the keyword-based Zero Result page (SS-SCR-012).</t>
        </is>
      </c>
      <c r="K42" s="27" t="inlineStr">
        <is>
          <t>0 results from filtering must show a UI different from the keyword-based Zero Result page. The "Clear filter" button must restore the original results correctly.</t>
        </is>
      </c>
      <c r="L42" s="27" t="n"/>
      <c r="M42" s="28" t="n"/>
      <c r="N42" s="28" t="n"/>
      <c r="O42" s="28" t="n"/>
      <c r="P42" s="27" t="n"/>
    </row>
    <row r="43" ht="46.25" customHeight="1" s="17">
      <c r="A43" s="27" t="n">
        <v>41</v>
      </c>
      <c r="B43" s="27" t="inlineStr">
        <is>
          <t>SS-SCR-010-SC2</t>
        </is>
      </c>
      <c r="C43" s="27" t="inlineStr">
        <is>
          <t>SS-SCR-010</t>
        </is>
      </c>
      <c r="D43" s="27" t="inlineStr">
        <is>
          <t>I. Filter Applied State</t>
        </is>
      </c>
      <c r="E43" s="27" t="inlineStr">
        <is>
          <t>FR-SF-03</t>
        </is>
      </c>
      <c r="F43" s="27" t="inlineStr">
        <is>
          <t>Functional</t>
        </is>
      </c>
      <c r="G43" s="27" t="inlineStr">
        <is>
          <t>Turn off 1 active filter chip directly on the results page.</t>
        </is>
      </c>
      <c r="H43" s="27" t="inlineStr">
        <is>
          <t>Turn off the active "No sugar" chip (currently highlighted red)</t>
        </is>
      </c>
      <c r="I43" s="27" t="inlineStr">
        <is>
          <t>1 or more filter chips are active.</t>
        </is>
      </c>
      <c r="J43" s="27" t="inlineStr">
        <is>
          <t>The chip goes back to the unselected state. The filter count badge drops accordingly. The query re-runs right away without needing to reopen the full filter sheet.</t>
        </is>
      </c>
      <c r="K43" s="27" t="inlineStr">
        <is>
          <t>The filter badge updates correctly right after turning off a chip. Result count updates live.</t>
        </is>
      </c>
      <c r="L43" s="27" t="n"/>
      <c r="M43" s="28" t="n"/>
      <c r="N43" s="28" t="n"/>
      <c r="O43" s="28" t="n"/>
      <c r="P43" s="27" t="n"/>
    </row>
    <row r="44" ht="57.45" customHeight="1" s="17">
      <c r="A44" s="27" t="n">
        <v>42</v>
      </c>
      <c r="B44" s="27" t="inlineStr">
        <is>
          <t>SS-SCR-010-SC3</t>
        </is>
      </c>
      <c r="C44" s="27" t="inlineStr">
        <is>
          <t>SS-SCR-010</t>
        </is>
      </c>
      <c r="D44" s="27" t="inlineStr">
        <is>
          <t>I. Filter Applied State</t>
        </is>
      </c>
      <c r="E44" s="27" t="inlineStr">
        <is>
          <t>FR-SF-03</t>
        </is>
      </c>
      <c r="F44" s="27" t="inlineStr">
        <is>
          <t>Functional</t>
        </is>
      </c>
      <c r="G44" s="27" t="inlineStr">
        <is>
          <t>Deselect filter chips one by one until none are left.</t>
        </is>
      </c>
      <c r="H44" s="27" t="inlineStr">
        <is>
          <t>Deselect 3 active chips one at a time</t>
        </is>
      </c>
      <c r="I44" s="27" t="inlineStr">
        <is>
          <t>3 filter conditions are currently active.</t>
        </is>
      </c>
      <c r="J44" s="27" t="inlineStr">
        <is>
          <t>The badge count drops correctly with each deselection (3 to 2 to 1 to 0); once the badge hits 0, the "Filter" button goes back to its default state (no badge), and the results go back to the full original set.</t>
        </is>
      </c>
      <c r="K44" s="27" t="inlineStr">
        <is>
          <t>Badge and results always stay in sync after each deselection.</t>
        </is>
      </c>
      <c r="L44" s="27" t="n"/>
      <c r="M44" s="28" t="n"/>
      <c r="N44" s="28" t="n"/>
      <c r="O44" s="28" t="n"/>
      <c r="P44" s="27" t="n"/>
    </row>
    <row r="45" ht="57.45" customHeight="1" s="17">
      <c r="A45" s="26" t="n">
        <v>43</v>
      </c>
      <c r="B45" s="26" t="inlineStr">
        <is>
          <t>SS-SCR-011-SC1</t>
        </is>
      </c>
      <c r="C45" s="26" t="inlineStr">
        <is>
          <t>SS-SCR-011</t>
        </is>
      </c>
      <c r="D45" s="26" t="inlineStr">
        <is>
          <t>J. Add to Cart</t>
        </is>
      </c>
      <c r="E45" s="26" t="inlineStr">
        <is>
          <t>No clear FR ID in the BRD — see QnA-10</t>
        </is>
      </c>
      <c r="F45" s="26" t="inlineStr">
        <is>
          <t>Functional</t>
        </is>
      </c>
      <c r="G45" s="26" t="inlineStr">
        <is>
          <t>Tap (+) on a Product Card to quickly add it to the cart, right from the results page.</t>
        </is>
      </c>
      <c r="H45" s="26" t="inlineStr">
        <is>
          <t>Tap (+) on 1 in-stock Product Card</t>
        </is>
      </c>
      <c r="I45" s="26" t="inlineStr">
        <is>
          <t>On the results page (Grid or List).</t>
        </is>
      </c>
      <c r="J45" s="26" t="inlineStr">
        <is>
          <t>The cart badge increases right away (optimistic update). A confirmation Toast appears at the bottom (photo + "Added to cart" + product name + price), auto-hides after 3 seconds, and does not block scrolling. The page does not change.</t>
        </is>
      </c>
      <c r="K45" s="26" t="inlineStr">
        <is>
          <t>The optimistic update must roll back if the API call fails. The toast auto-closes at exactly 3s. The shopper stays on the current page.</t>
        </is>
      </c>
      <c r="L45" s="26" t="inlineStr">
        <is>
          <t>QnA-10, QnA-13</t>
        </is>
      </c>
      <c r="M45" s="28" t="n"/>
      <c r="N45" s="28" t="n"/>
      <c r="O45" s="28" t="n"/>
      <c r="P45" s="26" t="inlineStr">
        <is>
          <t>OPEN — QnA-10, QnA-13: xem chi tiết trong file QnA log.</t>
        </is>
      </c>
    </row>
    <row r="46" ht="46.25" customHeight="1" s="17">
      <c r="A46" s="27" t="n">
        <v>44</v>
      </c>
      <c r="B46" s="27" t="inlineStr">
        <is>
          <t>SS-SCR-011-SC2</t>
        </is>
      </c>
      <c r="C46" s="27" t="inlineStr">
        <is>
          <t>SS-SCR-011</t>
        </is>
      </c>
      <c r="D46" s="27" t="inlineStr">
        <is>
          <t>J. Add to Cart</t>
        </is>
      </c>
      <c r="E46" s="27" t="inlineStr">
        <is>
          <t>No clear FR ID in the BRD — see QnA-10</t>
        </is>
      </c>
      <c r="F46" s="27" t="inlineStr">
        <is>
          <t>Boundary</t>
        </is>
      </c>
      <c r="G46" s="27" t="inlineStr">
        <is>
          <t>Tap (+) rapidly many times in a row on the same product.</t>
        </is>
      </c>
      <c r="H46" s="27" t="inlineStr">
        <is>
          <t>Tap (+) 10 times in a row within less than 1 second</t>
        </is>
      </c>
      <c r="I46" s="27" t="inlineStr">
        <is>
          <t>An in-stock SKU with no purchase limit.</t>
        </is>
      </c>
      <c r="J46" s="27" t="inlineStr">
        <is>
          <t>The cart badge adds up correctly to match the number of taps (or stops at the stock limit if reached); no race condition causing a wrong count or a lost tap.</t>
        </is>
      </c>
      <c r="K46" s="27" t="inlineStr">
        <is>
          <t>The final cart quantity exactly matches the number of valid taps (never over the real stock).</t>
        </is>
      </c>
      <c r="L46" s="27" t="n"/>
      <c r="M46" s="28" t="n"/>
      <c r="N46" s="28" t="n"/>
      <c r="O46" s="28" t="n"/>
      <c r="P46" s="27" t="n"/>
    </row>
    <row r="47" ht="46.25" customHeight="1" s="17">
      <c r="A47" s="26" t="n">
        <v>45</v>
      </c>
      <c r="B47" s="26" t="inlineStr">
        <is>
          <t>SS-SCR-011-SC3</t>
        </is>
      </c>
      <c r="C47" s="26" t="inlineStr">
        <is>
          <t>SS-SCR-011</t>
        </is>
      </c>
      <c r="D47" s="26" t="inlineStr">
        <is>
          <t>J. Add to Cart</t>
        </is>
      </c>
      <c r="E47" s="26" t="inlineStr">
        <is>
          <t>No clear FR ID in the BRD — see QnA-10</t>
        </is>
      </c>
      <c r="F47" s="26" t="inlineStr">
        <is>
          <t>Edge</t>
        </is>
      </c>
      <c r="G47" s="26" t="inlineStr">
        <is>
          <t>Confirmation Toast behavior when adding 2 DIFFERENT products right after each other in a short time.</t>
        </is>
      </c>
      <c r="H47" s="26" t="inlineStr">
        <is>
          <t>Add SKU-A, then immediately add SKU-B (while SKU-A's Toast is still showing)</t>
        </is>
      </c>
      <c r="I47" s="26" t="inlineStr">
        <is>
          <t>2 different in-stock SKUs.</t>
        </is>
      </c>
      <c r="J47" s="26" t="inlineStr">
        <is>
          <t>Not documented yet: does the new Toast replace the old one right away, or do they queue up and show one after another?</t>
        </is>
      </c>
      <c r="K47" s="26" t="inlineStr">
        <is>
          <t>No 2 Toasts overlapping and looking messy. The cart badge must always show the correct total item count.</t>
        </is>
      </c>
      <c r="L47" s="26" t="inlineStr">
        <is>
          <t>QnA-21</t>
        </is>
      </c>
      <c r="M47" s="28" t="n"/>
      <c r="N47" s="28" t="n"/>
      <c r="O47" s="28" t="n"/>
      <c r="P47" s="26" t="inlineStr">
        <is>
          <t>OPEN — QnA-21: xem chi tiết trong file QnA log.</t>
        </is>
      </c>
    </row>
    <row r="48" ht="46.25" customHeight="1" s="17">
      <c r="A48" s="27" t="n">
        <v>46</v>
      </c>
      <c r="B48" s="27" t="inlineStr">
        <is>
          <t>SS-SCR-011-SC4</t>
        </is>
      </c>
      <c r="C48" s="27" t="inlineStr">
        <is>
          <t>SS-SCR-011</t>
        </is>
      </c>
      <c r="D48" s="27" t="inlineStr">
        <is>
          <t>J. Add to Cart</t>
        </is>
      </c>
      <c r="E48" s="27" t="inlineStr">
        <is>
          <t>No clear FR ID in the BRD — see QnA-10</t>
        </is>
      </c>
      <c r="F48" s="27" t="inlineStr">
        <is>
          <t>Exception</t>
        </is>
      </c>
      <c r="G48" s="27" t="inlineStr">
        <is>
          <t>Add a product to the cart while offline.</t>
        </is>
      </c>
      <c r="H48" s="27" t="inlineStr">
        <is>
          <t>Tap (+) while the device is offline</t>
        </is>
      </c>
      <c r="I48" s="27" t="inlineStr">
        <is>
          <t>Simulate a full network disconnection.</t>
        </is>
      </c>
      <c r="J48" s="27" t="inlineStr">
        <is>
          <t>The same optimistic-update-then-rollback behavior as the 5xx API-error case, along with a clear network-error message rather than a generic error.</t>
        </is>
      </c>
      <c r="K48" s="27" t="inlineStr">
        <is>
          <t>Can tell a network error apart from another business error (like out of stock).</t>
        </is>
      </c>
      <c r="L48" s="27" t="n"/>
      <c r="M48" s="28" t="n"/>
      <c r="N48" s="28" t="n"/>
      <c r="O48" s="28" t="n"/>
      <c r="P48" s="27" t="n"/>
    </row>
    <row r="49" ht="79.84999999999999" customHeight="1" s="17">
      <c r="A49" s="26" t="n">
        <v>47</v>
      </c>
      <c r="B49" s="26" t="inlineStr">
        <is>
          <t>SS-SCR-012-SC1</t>
        </is>
      </c>
      <c r="C49" s="26" t="inlineStr">
        <is>
          <t>SS-SCR-012</t>
        </is>
      </c>
      <c r="D49" s="26" t="inlineStr">
        <is>
          <t>K. Zero-Result Recovery</t>
        </is>
      </c>
      <c r="E49" s="26" t="inlineStr">
        <is>
          <t>FR-ZR-01, FR-ZR-02, FR-SM-07</t>
        </is>
      </c>
      <c r="F49" s="26" t="inlineStr">
        <is>
          <t>No-result</t>
        </is>
      </c>
      <c r="G49" s="26" t="inlineStr">
        <is>
          <t>Search a keyword with no directly matching products.</t>
        </is>
      </c>
      <c r="H49" s="26" t="inlineStr">
        <is>
          <t>"xịt muỗi Tesla" ("Tesla mosquito spray")</t>
        </is>
      </c>
      <c r="I49" s="26" t="inlineStr">
        <is>
          <t>Catalogue is indexed; nothing directly matches.</t>
        </is>
      </c>
      <c r="J49" s="26" t="inlineStr">
        <is>
          <t>Search Bar keeps showing the searched keyword. A neutral (not negative) illustration icon is shown. Title: "No results found". The message repeats the exact keyword searched. The "You might like" block shows Substitute, then Cross-sell, then Best-seller, in that exact fallback order. The page must never be blank.</t>
        </is>
      </c>
      <c r="K49" s="26" t="inlineStr">
        <is>
          <t>The page is never blank. The suggestion block always has 1 or more products. The message quotes the exact keyword typed.</t>
        </is>
      </c>
      <c r="L49" s="26" t="inlineStr">
        <is>
          <t>QnA-03</t>
        </is>
      </c>
      <c r="M49" s="28" t="n"/>
      <c r="N49" s="28" t="n"/>
      <c r="O49" s="28" t="n"/>
      <c r="P49" s="26" t="inlineStr">
        <is>
          <t>OPEN — QnA-03: xem chi tiết trong file QnA log.</t>
        </is>
      </c>
    </row>
    <row r="50" ht="35.05" customHeight="1" s="17">
      <c r="A50" s="26" t="n">
        <v>48</v>
      </c>
      <c r="B50" s="26" t="inlineStr">
        <is>
          <t>SS-SCR-012-SC2</t>
        </is>
      </c>
      <c r="C50" s="26" t="inlineStr">
        <is>
          <t>SS-SCR-012</t>
        </is>
      </c>
      <c r="D50" s="26" t="inlineStr">
        <is>
          <t>K. Zero-Result Recovery</t>
        </is>
      </c>
      <c r="E50" s="26" t="inlineStr">
        <is>
          <t>FR-ZR-01, FR-ZR-02, FR-SM-07</t>
        </is>
      </c>
      <c r="F50" s="26" t="inlineStr">
        <is>
          <t>Functional</t>
        </is>
      </c>
      <c r="G50" s="26" t="inlineStr">
        <is>
          <t>Tap a Substitute/Cross-sell product on the Zero Result Page.</t>
        </is>
      </c>
      <c r="H50" s="26" t="inlineStr">
        <is>
          <t>Tap 1 card in the "You might like" block</t>
        </is>
      </c>
      <c r="I50" s="26" t="inlineStr">
        <is>
          <t>On the Zero Result Page with the suggestion block showing.</t>
        </is>
      </c>
      <c r="J50" s="26" t="inlineStr">
        <is>
          <t>Not documented yet: does it open that product's PDP directly, or run a new search for that product's name?</t>
        </is>
      </c>
      <c r="K50" s="26" t="inlineStr">
        <is>
          <t>Navigation must be consistent, never landing on an error page or a blank page.</t>
        </is>
      </c>
      <c r="L50" s="26" t="inlineStr">
        <is>
          <t>QnA-23</t>
        </is>
      </c>
      <c r="M50" s="28" t="n"/>
      <c r="N50" s="28" t="n"/>
      <c r="O50" s="28" t="n"/>
      <c r="P50" s="26" t="inlineStr">
        <is>
          <t>OPEN — QnA-23: xem chi tiết trong file QnA log.</t>
        </is>
      </c>
    </row>
    <row r="51" ht="46.25" customHeight="1" s="17">
      <c r="A51" s="27" t="n">
        <v>49</v>
      </c>
      <c r="B51" s="27" t="inlineStr">
        <is>
          <t>SS-SCR-012-SC3</t>
        </is>
      </c>
      <c r="C51" s="27" t="inlineStr">
        <is>
          <t>SS-SCR-012</t>
        </is>
      </c>
      <c r="D51" s="27" t="inlineStr">
        <is>
          <t>K. Zero-Result Recovery</t>
        </is>
      </c>
      <c r="E51" s="27" t="inlineStr">
        <is>
          <t>FR-ZR-01, FR-ZR-02, FR-SM-07</t>
        </is>
      </c>
      <c r="F51" s="27" t="inlineStr">
        <is>
          <t>Boundary</t>
        </is>
      </c>
      <c r="G51" s="27" t="inlineStr">
        <is>
          <t>Edit the keyword directly in the Search Bar on the Zero Result Page to search again.</t>
        </is>
      </c>
      <c r="H51" s="27" t="inlineStr">
        <is>
          <t>Change "xịt muỗi Tesla" to "xịt muỗi"</t>
        </is>
      </c>
      <c r="I51" s="27" t="inlineStr">
        <is>
          <t>On the Zero Result Page.</t>
        </is>
      </c>
      <c r="J51" s="27" t="inlineStr">
        <is>
          <t>The Search Bar can be edited directly; submitting runs a new search for the corrected keyword, leaving the Zero Result Page if there are now results.</t>
        </is>
      </c>
      <c r="K51" s="27" t="inlineStr">
        <is>
          <t>Editing and re-searching works as smoothly as a normal search.</t>
        </is>
      </c>
      <c r="L51" s="27" t="n"/>
      <c r="M51" s="28" t="n"/>
      <c r="N51" s="28" t="n"/>
      <c r="O51" s="28" t="n"/>
      <c r="P51" s="27" t="n"/>
    </row>
    <row r="52" ht="57.45" customHeight="1" s="17">
      <c r="A52" s="26" t="n">
        <v>50</v>
      </c>
      <c r="B52" s="26" t="inlineStr">
        <is>
          <t>SS-SCR-013-SC1</t>
        </is>
      </c>
      <c r="C52" s="26" t="inlineStr">
        <is>
          <t>SS-SCR-013</t>
        </is>
      </c>
      <c r="D52" s="26" t="inlineStr">
        <is>
          <t>L. Image Search — Camera</t>
        </is>
      </c>
      <c r="E52" s="26" t="inlineStr">
        <is>
          <t>FR-IS-01</t>
        </is>
      </c>
      <c r="F52" s="26" t="inlineStr">
        <is>
          <t>Normal</t>
        </is>
      </c>
      <c r="G52" s="26" t="inlineStr">
        <is>
          <t>Take a photo of a product using the in-app camera.</t>
        </is>
      </c>
      <c r="H52" s="26" t="inlineStr">
        <is>
          <t>A clear JPEG photo of a milk carton</t>
        </is>
      </c>
      <c r="I52" s="26" t="inlineStr">
        <is>
          <t>Camera permission is already granted.</t>
        </is>
      </c>
      <c r="J52" s="26" t="inlineStr">
        <is>
          <t>Full-screen viewfinder; "Rear camera" label plus a flash on/off button; the Capture button switches to Loading (SS-SCR-004), then to the recognition result (SS-SCR-015). The front/rear camera choice is remembered for next time.</t>
        </is>
      </c>
      <c r="K52" s="26" t="inlineStr">
        <is>
          <t>The captured photo is correctly passed to the processing step. Front/rear camera state persists across sessions.</t>
        </is>
      </c>
      <c r="L52" s="26" t="inlineStr">
        <is>
          <t>QnA-12</t>
        </is>
      </c>
      <c r="M52" s="28" t="n"/>
      <c r="N52" s="28" t="n"/>
      <c r="O52" s="28" t="n"/>
      <c r="P52" s="26" t="inlineStr">
        <is>
          <t>OPEN — QnA-12: xem chi tiết trong file QnA log.</t>
        </is>
      </c>
    </row>
    <row r="53" ht="35.05" customHeight="1" s="17">
      <c r="A53" s="27" t="n">
        <v>51</v>
      </c>
      <c r="B53" s="27" t="inlineStr">
        <is>
          <t>SS-SCR-013-SC2</t>
        </is>
      </c>
      <c r="C53" s="27" t="inlineStr">
        <is>
          <t>SS-SCR-013</t>
        </is>
      </c>
      <c r="D53" s="27" t="inlineStr">
        <is>
          <t>L. Image Search — Camera</t>
        </is>
      </c>
      <c r="E53" s="27" t="inlineStr">
        <is>
          <t>FR-IS-01</t>
        </is>
      </c>
      <c r="F53" s="27" t="inlineStr">
        <is>
          <t>Functional</t>
        </is>
      </c>
      <c r="G53" s="27" t="inlineStr">
        <is>
          <t>Turn Flash on/off when shooting in low light.</t>
        </is>
      </c>
      <c r="H53" s="27" t="inlineStr">
        <is>
          <t>Tap the flash on/off button</t>
        </is>
      </c>
      <c r="I53" s="27" t="inlineStr">
        <is>
          <t>On the Camera screen.</t>
        </is>
      </c>
      <c r="J53" s="27" t="inlineStr">
        <is>
          <t>The Flash button correctly switches state (icon changes); the photo taken with Flash on is noticeably brighter in low light.</t>
        </is>
      </c>
      <c r="K53" s="27" t="inlineStr">
        <is>
          <t>The Flash state shown on the UI (icon) matches what actually shows in the captured photo.</t>
        </is>
      </c>
      <c r="L53" s="27" t="n"/>
      <c r="M53" s="28" t="n"/>
      <c r="N53" s="28" t="n"/>
      <c r="O53" s="28" t="n"/>
      <c r="P53" s="27" t="n"/>
    </row>
    <row r="54" ht="46.25" customHeight="1" s="17">
      <c r="A54" s="26" t="n">
        <v>52</v>
      </c>
      <c r="B54" s="26" t="inlineStr">
        <is>
          <t>SS-SCR-013-SC3</t>
        </is>
      </c>
      <c r="C54" s="26" t="inlineStr">
        <is>
          <t>SS-SCR-013</t>
        </is>
      </c>
      <c r="D54" s="26" t="inlineStr">
        <is>
          <t>L. Image Search — Camera</t>
        </is>
      </c>
      <c r="E54" s="26" t="inlineStr">
        <is>
          <t>FR-IS-01</t>
        </is>
      </c>
      <c r="F54" s="26" t="inlineStr">
        <is>
          <t>Exception</t>
        </is>
      </c>
      <c r="G54" s="26" t="inlineStr">
        <is>
          <t>Camera permission is revoked mid-session (in system Settings) while the app is running in the background.</t>
        </is>
      </c>
      <c r="H54" s="26" t="inlineStr">
        <is>
          <t>Revoke Camera permission in Settings, then come back to the app</t>
        </is>
      </c>
      <c r="I54" s="26" t="inlineStr">
        <is>
          <t>The app is on the Camera screen, or has just come back to the foreground.</t>
        </is>
      </c>
      <c r="J54" s="26" t="inlineStr">
        <is>
          <t>Not documented yet: the exact UI behavior when permission is revoked MID-SESSION (different from denying it the very first time, which already has a test case).</t>
        </is>
      </c>
      <c r="K54" s="26" t="inlineStr">
        <is>
          <t>No crash. There must be a way to grant permission again.</t>
        </is>
      </c>
      <c r="L54" s="26" t="inlineStr">
        <is>
          <t>QnA-24</t>
        </is>
      </c>
      <c r="M54" s="28" t="n"/>
      <c r="N54" s="28" t="n"/>
      <c r="O54" s="28" t="n"/>
      <c r="P54" s="26" t="inlineStr">
        <is>
          <t>OPEN — QnA-24: xem chi tiết trong file QnA log.</t>
        </is>
      </c>
    </row>
    <row r="55" ht="46.25" customHeight="1" s="17">
      <c r="A55" s="27" t="n">
        <v>53</v>
      </c>
      <c r="B55" s="27" t="inlineStr">
        <is>
          <t>SS-SCR-014-SC1</t>
        </is>
      </c>
      <c r="C55" s="27" t="inlineStr">
        <is>
          <t>SS-SCR-014</t>
        </is>
      </c>
      <c r="D55" s="27" t="inlineStr">
        <is>
          <t>M. Image Search — Gallery</t>
        </is>
      </c>
      <c r="E55" s="27" t="inlineStr">
        <is>
          <t>FR-IS-02, FR-IS-04</t>
        </is>
      </c>
      <c r="F55" s="27" t="inlineStr">
        <is>
          <t>Boundary</t>
        </is>
      </c>
      <c r="G55" s="27" t="inlineStr">
        <is>
          <t>Pick a photo from the Gallery bottom sheet at different file sizes/formats.</t>
        </is>
      </c>
      <c r="H55" s="27" t="inlineStr">
        <is>
          <t>Valid 2MB PNG / 5.0MB JPEG / 5.1MB JPEG / unsupported GIF</t>
        </is>
      </c>
      <c r="I55" s="27" t="inlineStr">
        <is>
          <t>Photo library permission is granted; the gallery tray shows a 3-column grid of recent photos.</t>
        </is>
      </c>
      <c r="J55" s="27" t="inlineStr">
        <is>
          <t>2MB PNG and 5.0MB JPEG are accepted, going to Loading. 5.1MB JPEG and GIF are rejected before upload, with a Toast: "Invalid image format or file over 5MB. Please try again."</t>
        </is>
      </c>
      <c r="K55" s="27" t="inlineStr">
        <is>
          <t>The size threshold is exact at 5.0MB (accepted) vs 5.1MB (rejected). Only JPG/PNG/WEBP are accepted.</t>
        </is>
      </c>
      <c r="L55" s="27" t="n"/>
      <c r="M55" s="28" t="n"/>
      <c r="N55" s="28" t="n"/>
      <c r="O55" s="28" t="n"/>
      <c r="P55" s="27" t="n"/>
    </row>
    <row r="56" ht="46.25" customHeight="1" s="17">
      <c r="A56" s="27" t="n">
        <v>54</v>
      </c>
      <c r="B56" s="27" t="inlineStr">
        <is>
          <t>SS-SCR-014-SC2</t>
        </is>
      </c>
      <c r="C56" s="27" t="inlineStr">
        <is>
          <t>SS-SCR-014</t>
        </is>
      </c>
      <c r="D56" s="27" t="inlineStr">
        <is>
          <t>M. Image Search — Gallery</t>
        </is>
      </c>
      <c r="E56" s="27" t="inlineStr">
        <is>
          <t>FR-IS-02, FR-IS-04</t>
        </is>
      </c>
      <c r="F56" s="27" t="inlineStr">
        <is>
          <t>Edge</t>
        </is>
      </c>
      <c r="G56" s="27" t="inlineStr">
        <is>
          <t>Open the Gallery tray when the photo library is completely empty.</t>
        </is>
      </c>
      <c r="H56" s="27" t="inlineStr">
        <is>
          <t>Photo library = 0 photos</t>
        </is>
      </c>
      <c r="I56" s="27" t="inlineStr">
        <is>
          <t>The test device has no photos at all in its library.</t>
        </is>
      </c>
      <c r="J56" s="27" t="inlineStr">
        <is>
          <t>Shows a friendly empty state (e.g. "No photos yet, take a new photo") instead of a plain empty grid with no explanation; there's still a way back to the Camera screen to take a photo.</t>
        </is>
      </c>
      <c r="K56" s="27" t="inlineStr">
        <is>
          <t>Never shows an empty grid with no message at all.</t>
        </is>
      </c>
      <c r="L56" s="27" t="n"/>
      <c r="M56" s="28" t="n"/>
      <c r="N56" s="28" t="n"/>
      <c r="O56" s="28" t="n"/>
      <c r="P56" s="27" t="n"/>
    </row>
    <row r="57" ht="35.05" customHeight="1" s="17">
      <c r="A57" s="27" t="n">
        <v>55</v>
      </c>
      <c r="B57" s="27" t="inlineStr">
        <is>
          <t>SS-SCR-014-SC3</t>
        </is>
      </c>
      <c r="C57" s="27" t="inlineStr">
        <is>
          <t>SS-SCR-014</t>
        </is>
      </c>
      <c r="D57" s="27" t="inlineStr">
        <is>
          <t>M. Image Search — Gallery</t>
        </is>
      </c>
      <c r="E57" s="27" t="inlineStr">
        <is>
          <t>FR-IS-02, FR-IS-04</t>
        </is>
      </c>
      <c r="F57" s="27" t="inlineStr">
        <is>
          <t>Negative</t>
        </is>
      </c>
      <c r="G57" s="27" t="inlineStr">
        <is>
          <t>Deny Photo Library access permission.</t>
        </is>
      </c>
      <c r="H57" s="27" t="inlineStr">
        <is>
          <t>Library permission = Denied</t>
        </is>
      </c>
      <c r="I57" s="27" t="inlineStr">
        <is>
          <t>Tap the Library button for the first time, the system asks for permission.</t>
        </is>
      </c>
      <c r="J57" s="27" t="inlineStr">
        <is>
          <t>Shows guidance to grant permission again (a link to Settings); no crash; the shopper can still go back and use Take Photo directly.</t>
        </is>
      </c>
      <c r="K57" s="27" t="inlineStr">
        <is>
          <t>There's a clear way out when permission is denied.</t>
        </is>
      </c>
      <c r="L57" s="27" t="n"/>
      <c r="M57" s="28" t="n"/>
      <c r="N57" s="28" t="n"/>
      <c r="O57" s="28" t="n"/>
      <c r="P57" s="27" t="n"/>
    </row>
    <row r="58" ht="68.65000000000001" customHeight="1" s="17">
      <c r="A58" s="27" t="n">
        <v>56</v>
      </c>
      <c r="B58" s="27" t="inlineStr">
        <is>
          <t>SS-SCR-015-SC1</t>
        </is>
      </c>
      <c r="C58" s="27" t="inlineStr">
        <is>
          <t>SS-SCR-015</t>
        </is>
      </c>
      <c r="D58" s="27" t="inlineStr">
        <is>
          <t>N. Image Search — Recognition Result</t>
        </is>
      </c>
      <c r="E58" s="27" t="inlineStr">
        <is>
          <t>FR-IS-03, FR-IS-07</t>
        </is>
      </c>
      <c r="F58" s="27" t="inlineStr">
        <is>
          <t>Functional</t>
        </is>
      </c>
      <c r="G58" s="27" t="inlineStr">
        <is>
          <t>Check the image results page shares the same layout as the text results page, and that the Crop tool works.</t>
        </is>
      </c>
      <c r="H58" s="27" t="inlineStr">
        <is>
          <t>A photo of a TH True Milk carton</t>
        </is>
      </c>
      <c r="I58" s="27" t="inlineStr">
        <is>
          <t>The photo has been processed successfully.</t>
        </is>
      </c>
      <c r="J58" s="27" t="inlineStr">
        <is>
          <t>A thumbnail of the photo replaces the keyword in the search box. Sort/Filter use the same component as the text flow. The product grid uses the same Product Card. Tapping the thumbnail opens a Crop tool to narrow the AI scan area.</t>
        </is>
      </c>
      <c r="K58" s="27" t="inlineStr">
        <is>
          <t>Image results must use the same ranking formula as text search (FR-IS-03). All filter/sort/add-to-cart behavior must match the text flow.</t>
        </is>
      </c>
      <c r="L58" s="27" t="n"/>
      <c r="M58" s="28" t="n"/>
      <c r="N58" s="28" t="n"/>
      <c r="O58" s="28" t="n"/>
      <c r="P58" s="27" t="n"/>
    </row>
    <row r="59" ht="23.85" customHeight="1" s="17">
      <c r="A59" s="27" t="n">
        <v>57</v>
      </c>
      <c r="B59" s="27" t="inlineStr">
        <is>
          <t>SS-SCR-015-SC2</t>
        </is>
      </c>
      <c r="C59" s="27" t="inlineStr">
        <is>
          <t>SS-SCR-015</t>
        </is>
      </c>
      <c r="D59" s="27" t="inlineStr">
        <is>
          <t>N. Image Search — Recognition Result</t>
        </is>
      </c>
      <c r="E59" s="27" t="inlineStr">
        <is>
          <t>FR-IS-03, FR-IS-07</t>
        </is>
      </c>
      <c r="F59" s="27" t="inlineStr">
        <is>
          <t>Performance</t>
        </is>
      </c>
      <c r="G59" s="27" t="inlineStr">
        <is>
          <t>Measure end-to-end image search response time.</t>
        </is>
      </c>
      <c r="H59" s="27" t="inlineStr">
        <is>
          <t>A standard product photo, normal load</t>
        </is>
      </c>
      <c r="I59" s="27" t="inlineStr">
        <is>
          <t>Normal network conditions.</t>
        </is>
      </c>
      <c r="J59" s="27" t="inlineStr">
        <is>
          <t>Results return within 3,000ms at P95, measured from sending the photo to the first result showing.</t>
        </is>
      </c>
      <c r="K59" s="27" t="inlineStr">
        <is>
          <t>p95 &lt; 3,000ms per FR-IS-07/NFR-004.</t>
        </is>
      </c>
      <c r="L59" s="27" t="n"/>
      <c r="M59" s="28" t="n"/>
      <c r="N59" s="28" t="n"/>
      <c r="O59" s="28" t="n"/>
      <c r="P59" s="27" t="n"/>
    </row>
    <row r="60" ht="46.25" customHeight="1" s="17">
      <c r="A60" s="27" t="n">
        <v>58</v>
      </c>
      <c r="B60" s="27" t="inlineStr">
        <is>
          <t>SS-SCR-015-SC3</t>
        </is>
      </c>
      <c r="C60" s="27" t="inlineStr">
        <is>
          <t>SS-SCR-015</t>
        </is>
      </c>
      <c r="D60" s="27" t="inlineStr">
        <is>
          <t>N. Image Search — Recognition Result</t>
        </is>
      </c>
      <c r="E60" s="27" t="inlineStr">
        <is>
          <t>FR-IS-03, FR-IS-07</t>
        </is>
      </c>
      <c r="F60" s="27" t="inlineStr">
        <is>
          <t>Functional</t>
        </is>
      </c>
      <c r="G60" s="27" t="inlineStr">
        <is>
          <t>Remove the searched image (tap X on the thumbnail) to go back to keyword search.</t>
        </is>
      </c>
      <c r="H60" s="27" t="inlineStr">
        <is>
          <t>Tap the (X) on the thumbnail in the search box</t>
        </is>
      </c>
      <c r="I60" s="27" t="inlineStr">
        <is>
          <t>On the image results page.</t>
        </is>
      </c>
      <c r="J60" s="27" t="inlineStr">
        <is>
          <t>The image is removed from the search box; the app goes back to keyword-search mode (Pre-search or an empty, focused input), not keeping the old image results.</t>
        </is>
      </c>
      <c r="K60" s="27" t="inlineStr">
        <is>
          <t>After removing the image, no trace of the old image query remains in the UI.</t>
        </is>
      </c>
      <c r="L60" s="27" t="n"/>
      <c r="M60" s="28" t="n"/>
      <c r="N60" s="28" t="n"/>
      <c r="O60" s="28" t="n"/>
      <c r="P60" s="27" t="n"/>
    </row>
    <row r="61" ht="57.45" customHeight="1" s="17">
      <c r="A61" s="27" t="n">
        <v>59</v>
      </c>
      <c r="B61" s="27" t="inlineStr">
        <is>
          <t>SS-SCR-015-SC4</t>
        </is>
      </c>
      <c r="C61" s="27" t="inlineStr">
        <is>
          <t>SS-SCR-015</t>
        </is>
      </c>
      <c r="D61" s="27" t="inlineStr">
        <is>
          <t>N. Image Search — Recognition Result</t>
        </is>
      </c>
      <c r="E61" s="27" t="inlineStr">
        <is>
          <t>FR-IS-03, FR-IS-07</t>
        </is>
      </c>
      <c r="F61" s="27" t="inlineStr">
        <is>
          <t>Boundary</t>
        </is>
      </c>
      <c r="G61" s="27" t="inlineStr">
        <is>
          <t>Several products are almost equally similar (an ambiguous match) in the image recognition results.</t>
        </is>
      </c>
      <c r="H61" s="27" t="inlineStr">
        <is>
          <t>A photo of a product with many similar-looking variants (e.g. fresh milk from different brands, similar-looking cartons)</t>
        </is>
      </c>
      <c r="I61" s="27" t="inlineStr">
        <is>
          <t>The catalogue has many SKUs with similar packaging.</t>
        </is>
      </c>
      <c r="J61" s="27" t="inlineStr">
        <is>
          <t>The system still returns a list ranked by descending similarity, without crashing or returning an empty list just because it's "not certain"; it should not arbitrarily pick just 1 result when there are several reasonable candidates.</t>
        </is>
      </c>
      <c r="K61" s="27" t="inlineStr">
        <is>
          <t>The result list stays complete and sensibly ranked even when similarity scores are close together.</t>
        </is>
      </c>
      <c r="L61" s="27" t="n"/>
      <c r="M61" s="28" t="n"/>
      <c r="N61" s="28" t="n"/>
      <c r="O61" s="28" t="n"/>
      <c r="P61" s="27" t="n"/>
    </row>
    <row r="62" ht="79.84999999999999" customHeight="1" s="17">
      <c r="A62" s="27" t="n">
        <v>60</v>
      </c>
      <c r="B62" s="27" t="inlineStr">
        <is>
          <t>SS-SCR-016-SC1</t>
        </is>
      </c>
      <c r="C62" s="27" t="inlineStr">
        <is>
          <t>SS-SCR-016</t>
        </is>
      </c>
      <c r="D62" s="27" t="inlineStr">
        <is>
          <t>O. Image Search — Fail</t>
        </is>
      </c>
      <c r="E62" s="27" t="inlineStr">
        <is>
          <t>FR-IS-05</t>
        </is>
      </c>
      <c r="F62" s="27" t="inlineStr">
        <is>
          <t>Edge</t>
        </is>
      </c>
      <c r="G62" s="27" t="inlineStr">
        <is>
          <t>Upload a blurry photo or a photo with no product in it.</t>
        </is>
      </c>
      <c r="H62" s="27" t="inlineStr">
        <is>
          <t>A blurry/out-of-focus photo / a landscape photo with no product</t>
        </is>
      </c>
      <c r="I62" s="27" t="inlineStr">
        <is>
          <t>The file is a valid format/size but the content can't be recognized.</t>
        </is>
      </c>
      <c r="J62" s="27" t="inlineStr">
        <is>
          <t>Header "Search by photo" plus a Back button; a faint circle-outlined camera icon; title "Not recognized"; specific recovery tips; a main "Try again" button that goes back to the Camera screen (keeping the previous camera mode); a secondary "Search by keyword" button that goes to Pre-search.</t>
        </is>
      </c>
      <c r="K62" s="27" t="inlineStr">
        <is>
          <t>Never force a wrong result. There must always be 1 or more ways out (Try again or Search by keyword).</t>
        </is>
      </c>
      <c r="L62" s="27" t="n"/>
      <c r="M62" s="28" t="n"/>
      <c r="N62" s="28" t="n"/>
      <c r="O62" s="28" t="n"/>
      <c r="P62" s="27" t="n"/>
    </row>
    <row r="63" ht="46.25" customHeight="1" s="17">
      <c r="A63" s="27" t="n">
        <v>61</v>
      </c>
      <c r="B63" s="27" t="inlineStr">
        <is>
          <t>SS-SCR-016-SC2</t>
        </is>
      </c>
      <c r="C63" s="27" t="inlineStr">
        <is>
          <t>SS-SCR-016</t>
        </is>
      </c>
      <c r="D63" s="27" t="inlineStr">
        <is>
          <t>O. Image Search — Fail</t>
        </is>
      </c>
      <c r="E63" s="27" t="inlineStr">
        <is>
          <t>FR-IS-05</t>
        </is>
      </c>
      <c r="F63" s="27" t="inlineStr">
        <is>
          <t>Exception</t>
        </is>
      </c>
      <c r="G63" s="27" t="inlineStr">
        <is>
          <t>Retry 3 times in a row, all failing recognition.</t>
        </is>
      </c>
      <c r="H63" s="27" t="inlineStr">
        <is>
          <t>Upload 3 blurry photos in a row, each one failing</t>
        </is>
      </c>
      <c r="I63" s="27" t="inlineStr">
        <is>
          <t>Repeating the Image Search flow several times.</t>
        </is>
      </c>
      <c r="J63" s="27" t="inlineStr">
        <is>
          <t>Each failure correctly shows the same friendly error screen again; no different message/behavior on try #2-3 (there's no documented lock/retry limit in the BRD).</t>
        </is>
      </c>
      <c r="K63" s="27" t="inlineStr">
        <is>
          <t>No retry limit that blocks the shopper; the message stays consistent across tries.</t>
        </is>
      </c>
      <c r="L63" s="27" t="n"/>
      <c r="M63" s="28" t="n"/>
      <c r="N63" s="28" t="n"/>
      <c r="O63" s="28" t="n"/>
      <c r="P63" s="27" t="n"/>
    </row>
    <row r="64" ht="57.45" customHeight="1" s="17">
      <c r="A64" s="26" t="n">
        <v>62</v>
      </c>
      <c r="B64" s="26" t="inlineStr">
        <is>
          <t>SS-SCR-017-SC1</t>
        </is>
      </c>
      <c r="C64" s="26" t="inlineStr">
        <is>
          <t>SS-SCR-017</t>
        </is>
      </c>
      <c r="D64" s="26" t="inlineStr">
        <is>
          <t>P. Voice Search — Listening</t>
        </is>
      </c>
      <c r="E64" s="26" t="inlineStr">
        <is>
          <t>FR-VS-01, FR-VS-02</t>
        </is>
      </c>
      <c r="F64" s="26" t="inlineStr">
        <is>
          <t>Normal</t>
        </is>
      </c>
      <c r="G64" s="26" t="inlineStr">
        <is>
          <t>Say a Vietnamese query and watch the live transcript.</t>
        </is>
      </c>
      <c r="H64" s="26" t="inlineStr">
        <is>
          <t>"Ba quả chuối 60.000" ("three bananas, 60,000 dong", spoken)</t>
        </is>
      </c>
      <c r="I64" s="26" t="inlineStr">
        <is>
          <t>Mic permission is granted; recording layer is active.</t>
        </is>
      </c>
      <c r="J64" s="26" t="inlineStr">
        <is>
          <t>A "Listening" tag appears as soon as the first sound is picked up; the transcript updates live as the shopper speaks; an animated waveform is shown; a timer counts up; a Stop button lets the shopper end recording manually at any time.</t>
        </is>
      </c>
      <c r="K64" s="26" t="inlineStr">
        <is>
          <t>The transcript updates near real-time. The Stop button works independently of the auto-stop timer.</t>
        </is>
      </c>
      <c r="L64" s="26" t="inlineStr">
        <is>
          <t>QnA-05</t>
        </is>
      </c>
      <c r="M64" s="28" t="n"/>
      <c r="N64" s="28" t="n"/>
      <c r="O64" s="28" t="n"/>
      <c r="P64" s="26" t="inlineStr">
        <is>
          <t>OPEN — QnA-05: xem chi tiết trong file QnA log.</t>
        </is>
      </c>
    </row>
    <row r="65" ht="46.25" customHeight="1" s="17">
      <c r="A65" s="27" t="n">
        <v>63</v>
      </c>
      <c r="B65" s="27" t="inlineStr">
        <is>
          <t>SS-SCR-017-SC2</t>
        </is>
      </c>
      <c r="C65" s="27" t="inlineStr">
        <is>
          <t>SS-SCR-017</t>
        </is>
      </c>
      <c r="D65" s="27" t="inlineStr">
        <is>
          <t>P. Voice Search — Listening</t>
        </is>
      </c>
      <c r="E65" s="27" t="inlineStr">
        <is>
          <t>FR-VS-01, FR-VS-02</t>
        </is>
      </c>
      <c r="F65" s="27" t="inlineStr">
        <is>
          <t>Boundary</t>
        </is>
      </c>
      <c r="G65" s="27" t="inlineStr">
        <is>
          <t>Say a very short phrase (under 1 second) or just a single word.</t>
        </is>
      </c>
      <c r="H65" s="27" t="inlineStr">
        <is>
          <t>"sữa" (milk) said in under 1 second</t>
        </is>
      </c>
      <c r="I65" s="27" t="inlineStr">
        <is>
          <t>Recording has started.</t>
        </is>
      </c>
      <c r="J65" s="27" t="inlineStr">
        <is>
          <t>The system still correctly processes a very short phrase; the transcript correctly shows "sữa", not treated as "unclear speech" just because it's short.</t>
        </is>
      </c>
      <c r="K65" s="27" t="inlineStr">
        <is>
          <t>A valid short phrase must not be mistaken for silence/unclear speech.</t>
        </is>
      </c>
      <c r="L65" s="27" t="n"/>
      <c r="M65" s="28" t="n"/>
      <c r="N65" s="28" t="n"/>
      <c r="O65" s="28" t="n"/>
      <c r="P65" s="27" t="n"/>
    </row>
    <row r="66" ht="46.25" customHeight="1" s="17">
      <c r="A66" s="26" t="n">
        <v>64</v>
      </c>
      <c r="B66" s="26" t="inlineStr">
        <is>
          <t>SS-SCR-017-SC3</t>
        </is>
      </c>
      <c r="C66" s="26" t="inlineStr">
        <is>
          <t>SS-SCR-017</t>
        </is>
      </c>
      <c r="D66" s="26" t="inlineStr">
        <is>
          <t>P. Voice Search — Listening</t>
        </is>
      </c>
      <c r="E66" s="26" t="inlineStr">
        <is>
          <t>FR-VS-01, FR-VS-02</t>
        </is>
      </c>
      <c r="F66" s="26" t="inlineStr">
        <is>
          <t>Exception</t>
        </is>
      </c>
      <c r="G66" s="26" t="inlineStr">
        <is>
          <t>Handling numbers and units in speech (e.g. "two liters", "500 grams").</t>
        </is>
      </c>
      <c r="H66" s="26" t="inlineStr">
        <is>
          <t>"sữa tươi hai lít" ("two liters of fresh milk")</t>
        </is>
      </c>
      <c r="I66" s="26" t="inlineStr">
        <is>
          <t>Currently recording.</t>
        </is>
      </c>
      <c r="J66" s="26" t="inlineStr">
        <is>
          <t>Not confirmed yet by TD/BA how numbers/units should be handled before being used in the search query (the storyboard itself flags this as an open item).</t>
        </is>
      </c>
      <c r="K66" s="26" t="inlineStr">
        <is>
          <t>No crash; the result must still be at least relevant to "sữa tươi" whether or not the number/unit is handled exactly right.</t>
        </is>
      </c>
      <c r="L66" s="26" t="inlineStr">
        <is>
          <t>QnA-22</t>
        </is>
      </c>
      <c r="M66" s="28" t="n"/>
      <c r="N66" s="28" t="n"/>
      <c r="O66" s="28" t="n"/>
      <c r="P66" s="26" t="inlineStr">
        <is>
          <t>OPEN — QnA-22: xem chi tiết trong file QnA log.</t>
        </is>
      </c>
    </row>
    <row r="67" ht="68.65000000000001" customHeight="1" s="17">
      <c r="A67" s="27" t="n">
        <v>65</v>
      </c>
      <c r="B67" s="27" t="inlineStr">
        <is>
          <t>SS-SCR-018-SC1</t>
        </is>
      </c>
      <c r="C67" s="27" t="inlineStr">
        <is>
          <t>SS-SCR-018</t>
        </is>
      </c>
      <c r="D67" s="27" t="inlineStr">
        <is>
          <t>Q. Voice Search — Result</t>
        </is>
      </c>
      <c r="E67" s="27" t="inlineStr">
        <is>
          <t>FR-VS-04, FR-VS-05</t>
        </is>
      </c>
      <c r="F67" s="27" t="inlineStr">
        <is>
          <t>Functional</t>
        </is>
      </c>
      <c r="G67" s="27" t="inlineStr">
        <is>
          <t>After transcribing finishes, go straight to the results page (no in-between confirmation screen).</t>
        </is>
      </c>
      <c r="H67" s="27" t="inlineStr">
        <is>
          <t>Speech: "sữa tươi không đường" ("unsweetened fresh milk")</t>
        </is>
      </c>
      <c r="I67" s="27" t="inlineStr">
        <is>
          <t>Voice-to-text processing is done.</t>
        </is>
      </c>
      <c r="J67" s="27" t="inlineStr">
        <is>
          <t>The transcribed text fills the Search Bar directly. There is no in-between confirmation screen. The result applies the exact same synonym-expansion and diacritic-normalization logic as Text Search. The shopper can tap the Search Bar to manually fix it with the keyboard.</t>
        </is>
      </c>
      <c r="K67" s="27" t="inlineStr">
        <is>
          <t>No unnecessary confirmation step. Manually editing at the Search Bar must correctly re-trigger the search with the new text.</t>
        </is>
      </c>
      <c r="L67" s="27" t="n"/>
      <c r="M67" s="28" t="n"/>
      <c r="N67" s="28" t="n"/>
      <c r="O67" s="28" t="n"/>
      <c r="P67" s="27" t="n"/>
    </row>
    <row r="68" ht="46.25" customHeight="1" s="17">
      <c r="A68" s="27" t="n">
        <v>66</v>
      </c>
      <c r="B68" s="27" t="inlineStr">
        <is>
          <t>SS-SCR-018-SC2</t>
        </is>
      </c>
      <c r="C68" s="27" t="inlineStr">
        <is>
          <t>SS-SCR-018</t>
        </is>
      </c>
      <c r="D68" s="27" t="inlineStr">
        <is>
          <t>Q. Voice Search — Result</t>
        </is>
      </c>
      <c r="E68" s="27" t="inlineStr">
        <is>
          <t>FR-VS-04, FR-VS-05</t>
        </is>
      </c>
      <c r="F68" s="27" t="inlineStr">
        <is>
          <t>Boundary</t>
        </is>
      </c>
      <c r="G68" s="27" t="inlineStr">
        <is>
          <t>Voice search returns an empty transcript (no clear failure, but nothing was captured either).</t>
        </is>
      </c>
      <c r="H68" s="27" t="inlineStr">
        <is>
          <t>Very quiet speech, the system transcribes an empty string</t>
        </is>
      </c>
      <c r="I68" s="27" t="inlineStr">
        <is>
          <t>Recording has ended and finished processing.</t>
        </is>
      </c>
      <c r="J68" s="27" t="inlineStr">
        <is>
          <t>An empty transcript should be treated the same as the "Not Recognized" flow (SS-SCR-019), instead of showing a results page with an empty, meaningless Search Bar.</t>
        </is>
      </c>
      <c r="K68" s="27" t="inlineStr">
        <is>
          <t>Never shows a results page with a meaningless, empty Search Bar.</t>
        </is>
      </c>
      <c r="L68" s="27" t="n"/>
      <c r="M68" s="28" t="n"/>
      <c r="N68" s="28" t="n"/>
      <c r="O68" s="28" t="n"/>
      <c r="P68" s="27" t="n"/>
    </row>
    <row r="69" ht="68.65000000000001" customHeight="1" s="17">
      <c r="A69" s="27" t="n">
        <v>67</v>
      </c>
      <c r="B69" s="27" t="inlineStr">
        <is>
          <t>SS-SCR-019-SC1</t>
        </is>
      </c>
      <c r="C69" s="27" t="inlineStr">
        <is>
          <t>SS-SCR-019</t>
        </is>
      </c>
      <c r="D69" s="27" t="inlineStr">
        <is>
          <t>R. Voice Search — Fail</t>
        </is>
      </c>
      <c r="E69" s="27" t="inlineStr">
        <is>
          <t>FR-VS-06</t>
        </is>
      </c>
      <c r="F69" s="27" t="inlineStr">
        <is>
          <t>Exception</t>
        </is>
      </c>
      <c r="G69" s="27" t="inlineStr">
        <is>
          <t>Speech that can't be understood (noise/silence).</t>
        </is>
      </c>
      <c r="H69" s="27" t="inlineStr">
        <is>
          <t>Just background noise, no clear speech</t>
        </is>
      </c>
      <c r="I69" s="27" t="inlineStr">
        <is>
          <t>Mic is working, recording has ended (auto-stop or manual stop).</t>
        </is>
      </c>
      <c r="J69" s="27" t="inlineStr">
        <is>
          <t>Header "Search by voice" plus Back; a faint circle-outlined mic icon (same error style as the image flow); title "Not recognized"; specific recovery tips; "Try again" reopens the recording layer; secondary "Search by keyword" goes to Pre-search.</t>
        </is>
      </c>
      <c r="K69" s="27" t="inlineStr">
        <is>
          <t>No fake search result is ever triggered. There is always a way out to another method.</t>
        </is>
      </c>
      <c r="L69" s="27" t="n"/>
      <c r="M69" s="28" t="n"/>
      <c r="N69" s="28" t="n"/>
      <c r="O69" s="28" t="n"/>
      <c r="P69" s="27" t="n"/>
    </row>
    <row r="70" ht="46.25" customHeight="1" s="17">
      <c r="A70" s="27" t="n">
        <v>68</v>
      </c>
      <c r="B70" s="27" t="inlineStr">
        <is>
          <t>SS-SCR-019-SC2</t>
        </is>
      </c>
      <c r="C70" s="27" t="inlineStr">
        <is>
          <t>SS-SCR-019</t>
        </is>
      </c>
      <c r="D70" s="27" t="inlineStr">
        <is>
          <t>R. Voice Search — Fail</t>
        </is>
      </c>
      <c r="E70" s="27" t="inlineStr">
        <is>
          <t>FR-VS-06</t>
        </is>
      </c>
      <c r="F70" s="27" t="inlineStr">
        <is>
          <t>Boundary</t>
        </is>
      </c>
      <c r="G70" s="27" t="inlineStr">
        <is>
          <t>Retry 3 times in a row, all failing to recognize speech.</t>
        </is>
      </c>
      <c r="H70" s="27" t="inlineStr">
        <is>
          <t>3 tries in a row, each with only noise/silence</t>
        </is>
      </c>
      <c r="I70" s="27" t="inlineStr">
        <is>
          <t>Repeating the Voice Search flow several times.</t>
        </is>
      </c>
      <c r="J70" s="27" t="inlineStr">
        <is>
          <t>Each try correctly shows the same "Not recognized" error screen again; there's no documented lockout after several failures in a row.</t>
        </is>
      </c>
      <c r="K70" s="27" t="inlineStr">
        <is>
          <t>Never blocked from using the feature after several tries in a row.</t>
        </is>
      </c>
      <c r="L70" s="27" t="n"/>
      <c r="M70" s="28" t="n"/>
      <c r="N70" s="28" t="n"/>
      <c r="O70" s="28" t="n"/>
      <c r="P70" s="27" t="n"/>
    </row>
    <row r="71">
      <c r="A71" s="27" t="n">
        <v>69</v>
      </c>
      <c r="B71" s="27" t="inlineStr">
        <is>
          <t>SS-SCR-005-SC7</t>
        </is>
      </c>
      <c r="C71" s="27" t="inlineStr">
        <is>
          <t>SS-SCR-005</t>
        </is>
      </c>
      <c r="D71" s="27" t="inlineStr">
        <is>
          <t>E. Search Results — Grid</t>
        </is>
      </c>
      <c r="E71" s="27" t="inlineStr">
        <is>
          <t>FR-PR-06</t>
        </is>
      </c>
      <c r="F71" s="27" t="inlineStr">
        <is>
          <t>Boundary</t>
        </is>
      </c>
      <c r="G71" s="27" t="inlineStr">
        <is>
          <t>Check the default sort criterion on first entry to the results page (before the user has ever changed Sort).</t>
        </is>
      </c>
      <c r="H71" s="27" t="inlineStr">
        <is>
          <t>"milk" (first search in the session)</t>
        </is>
      </c>
      <c r="I71" s="27" t="inlineStr">
        <is>
          <t>The customer has never selected a Sort option in the current session/device.</t>
        </is>
      </c>
      <c r="J71" s="27" t="inlineStr">
        <is>
          <t>The results page defaults to "Most Relevant" (AI Scorecard Ranking); the label on the sticky Sort bar correctly shows "Most Relevant" from the very first load, with no action required from the customer.</t>
        </is>
      </c>
      <c r="K71" s="27" t="inlineStr">
        <is>
          <t>The default sort is always "Most Relevant" per FR-PR-06, matching the initial state described in SS-SCR-008-SC2.</t>
        </is>
      </c>
      <c r="L71" s="27" t="n"/>
      <c r="M71" s="28" t="n"/>
      <c r="N71" s="28" t="n"/>
      <c r="O71" s="28" t="n"/>
      <c r="P71" s="27" t="n"/>
    </row>
    <row r="72">
      <c r="A72" s="27" t="n">
        <v>70</v>
      </c>
      <c r="B72" s="27" t="inlineStr">
        <is>
          <t>SS-SCR-005-SC8</t>
        </is>
      </c>
      <c r="C72" s="27" t="inlineStr">
        <is>
          <t>SS-SCR-005</t>
        </is>
      </c>
      <c r="D72" s="27" t="inlineStr">
        <is>
          <t>E. Search Results — Grid</t>
        </is>
      </c>
      <c r="E72" s="27" t="inlineStr">
        <is>
          <t>FR-SF-04</t>
        </is>
      </c>
      <c r="F72" s="27" t="inlineStr">
        <is>
          <t>Boundary</t>
        </is>
      </c>
      <c r="G72" s="27" t="inlineStr">
        <is>
          <t>Check the default state of the "Filter" button when no filter condition has been applied yet.</t>
        </is>
      </c>
      <c r="H72" s="27" t="inlineStr">
        <is>
          <t>"milk" (no filter applied)</t>
        </is>
      </c>
      <c r="I72" s="27" t="inlineStr">
        <is>
          <t>The results page has just loaded; the customer has never opened/applied the detailed Filter sheet.</t>
        </is>
      </c>
      <c r="J72" s="27" t="inlineStr">
        <is>
          <t>The "Filter" button shows its default state with no count badge (or a badge=0 that is fully hidden); no filter chip is active on the results page; the total result count is the full, unfiltered set.</t>
        </is>
      </c>
      <c r="K72" s="27" t="inlineStr">
        <is>
          <t>The badge only appears once &gt;=1 filter condition is applied — consistent with the behavior described in SS-SCR-010-SC3 (badge=0 returns to default).</t>
        </is>
      </c>
      <c r="L72" s="27" t="n"/>
      <c r="M72" s="28" t="n"/>
      <c r="N72" s="28" t="n"/>
      <c r="O72" s="28" t="n"/>
      <c r="P72" s="27" t="n"/>
    </row>
    <row r="73">
      <c r="A73" s="27" t="n">
        <v>71</v>
      </c>
      <c r="B73" s="27" t="inlineStr">
        <is>
          <t>SS-SCR-005-SC9</t>
        </is>
      </c>
      <c r="C73" s="27" t="inlineStr">
        <is>
          <t>SS-SCR-005</t>
        </is>
      </c>
      <c r="D73" s="27" t="inlineStr">
        <is>
          <t>E. Search Results — Grid</t>
        </is>
      </c>
      <c r="E73" s="27" t="inlineStr">
        <is>
          <t>FR-SF-01, FR-SF-02, FR-SF-03</t>
        </is>
      </c>
      <c r="F73" s="27" t="inlineStr">
        <is>
          <t>Filter</t>
        </is>
      </c>
      <c r="G73" s="27" t="inlineStr">
        <is>
          <t>Interact directly with the Smart Filter Chips right on the results page (without opening the detailed Filter sheet).</t>
        </is>
      </c>
      <c r="H73" s="27" t="inlineStr">
        <is>
          <t>Tap 1 chip (e.g. "Organic") then tap a second chip (e.g. "Sugar-free")</t>
        </is>
      </c>
      <c r="I73" s="27" t="inlineStr">
        <is>
          <t>The results page has loaded, and the Smart Filter Chips row is shown for the current keyword (up to 10 chips, flat structure — not grouped).</t>
        </is>
      </c>
      <c r="J73" s="27" t="inlineStr">
        <is>
          <t>Tapping 1 chip applies the filter immediately (no separate "Apply" button needed); the chip switches to an active state; results update in real time; the "Filter" button badge increments accordingly. Tapping a second chip applies both conditions combined (AND). Every chip shown must always resolve to &gt;=1 product, per FR-SF-01-&gt;03.</t>
        </is>
      </c>
      <c r="K73" s="27" t="inlineStr">
        <is>
          <t>No chip shown ever resolves to 0 results when tapped; the badge stays in sync between the Smart Filter Chips and the detailed Filter sheet (SS-SCR-009), since they share the same filter state.</t>
        </is>
      </c>
      <c r="L73" s="27" t="n"/>
      <c r="M73" s="28" t="n"/>
      <c r="N73" s="28" t="n"/>
      <c r="O73" s="28" t="n"/>
      <c r="P73" s="27" t="n"/>
    </row>
    <row r="74">
      <c r="A74" s="27" t="n">
        <v>72</v>
      </c>
      <c r="B74" s="27" t="inlineStr">
        <is>
          <t>SS-SCR-006-SC4</t>
        </is>
      </c>
      <c r="C74" s="27" t="inlineStr">
        <is>
          <t>SS-SCR-006</t>
        </is>
      </c>
      <c r="D74" s="27" t="inlineStr">
        <is>
          <t>F. Search Results — List</t>
        </is>
      </c>
      <c r="E74" s="27" t="inlineStr">
        <is>
          <t>FR-PR-01, FR-PR-07</t>
        </is>
      </c>
      <c r="F74" s="27" t="inlineStr">
        <is>
          <t>Functional</t>
        </is>
      </c>
      <c r="G74" s="27" t="inlineStr">
        <is>
          <t>Tap a Product Card (outside the + button) in List view to open the PDP.</t>
        </is>
      </c>
      <c r="H74" s="27" t="inlineStr">
        <is>
          <t>Any 1 product row in List view</t>
        </is>
      </c>
      <c r="I74" s="27" t="inlineStr">
        <is>
          <t>View mode = List, results page has loaded.</t>
        </is>
      </c>
      <c r="J74" s="27" t="inlineStr">
        <is>
          <t>Tapping the image/name/price area of the product row (outside the + button) opens the correct PDP for that product, matching the equivalent Grid-view behavior (SS-SCR-005-SC3-TC1); does not accidentally trigger add-to-cart.</t>
        </is>
      </c>
      <c r="K74" s="27" t="inlineStr">
        <is>
          <t>Opening the PDP is consistent between the Grid and List view modes.</t>
        </is>
      </c>
      <c r="L74" s="27" t="n"/>
      <c r="M74" s="28" t="n"/>
      <c r="N74" s="28" t="n"/>
      <c r="O74" s="28" t="n"/>
      <c r="P74" s="27" t="n"/>
    </row>
    <row r="75">
      <c r="A75" s="35" t="n">
        <v>73</v>
      </c>
      <c r="B75" s="35" t="inlineStr">
        <is>
          <t>SS-SCR-006-SC5</t>
        </is>
      </c>
      <c r="C75" s="35" t="inlineStr">
        <is>
          <t>SS-SCR-006</t>
        </is>
      </c>
      <c r="D75" s="35" t="inlineStr">
        <is>
          <t>F. Search Results — List</t>
        </is>
      </c>
      <c r="E75" s="35" t="inlineStr">
        <is>
          <t>No clear FR ID in the BRD — see QnA-10</t>
        </is>
      </c>
      <c r="F75" s="35" t="inlineStr">
        <is>
          <t>Functional</t>
        </is>
      </c>
      <c r="G75" s="35" t="inlineStr">
        <is>
          <t>Tap the (+) quick-add button on a product row in List view.</t>
        </is>
      </c>
      <c r="H75" s="35" t="inlineStr">
        <is>
          <t>Tap (+) on 1 in-stock product row in List view</t>
        </is>
      </c>
      <c r="I75" s="35" t="inlineStr">
        <is>
          <t>View mode = List, results page has loaded.</t>
        </is>
      </c>
      <c r="J75" s="35" t="inlineStr">
        <is>
          <t>The cart badge increments immediately (optimistic update); a confirmation Toast appears at the bottom of the screen, matching the Grid-view behavior (SS-SCR-011); stays on the results page, does not accidentally open the PDP.</t>
        </is>
      </c>
      <c r="K75" s="35" t="inlineStr">
        <is>
          <t>Add-to-cart behavior is consistent between Grid and List view modes; the (+) tap target and the PDP tap target do not overlap in the List row layout.</t>
        </is>
      </c>
      <c r="L75" s="35" t="inlineStr">
        <is>
          <t>QnA-10</t>
        </is>
      </c>
      <c r="M75" s="28" t="n"/>
      <c r="N75" s="28" t="n"/>
      <c r="O75" s="28" t="n"/>
      <c r="P75" s="35" t="inlineStr">
        <is>
          <t>OPEN — QnA-10: xem chi tiết trong file QnA log.</t>
        </is>
      </c>
    </row>
    <row r="76">
      <c r="A76" s="35" t="n">
        <v>74</v>
      </c>
      <c r="B76" s="35" t="inlineStr">
        <is>
          <t>SS-SCR-009-SC6</t>
        </is>
      </c>
      <c r="C76" s="35" t="inlineStr">
        <is>
          <t>SS-SCR-009</t>
        </is>
      </c>
      <c r="D76" s="35" t="inlineStr">
        <is>
          <t>H. Smart Filter / Detailed Filter</t>
        </is>
      </c>
      <c r="E76" s="35" t="inlineStr">
        <is>
          <t>FR-SF-01, FR-SF-04</t>
        </is>
      </c>
      <c r="F76" s="35" t="inlineStr">
        <is>
          <t>Boundary</t>
        </is>
      </c>
      <c r="G76" s="35" t="inlineStr">
        <is>
          <t>Check the mechanism for counting selected conditions — a per-tab badge inside the Filter sheet, and a total badge on the "Filter" button on the results page.</t>
        </is>
      </c>
      <c r="H76" s="35" t="inlineStr">
        <is>
          <t>Select 1 Category + 3 Label chips + 1 Rating level + 1 Delivery condition + 1 Price range</t>
        </is>
      </c>
      <c r="I76" s="35" t="inlineStr">
        <is>
          <t>The results page has loaded; no filter condition has been applied yet.</t>
        </is>
      </c>
      <c r="J76" s="35" t="inlineStr">
        <is>
          <t>Per the real Figma reference (Text Search.png): each tab on the left (Category/Labels/Delivery/Rating/Price) shows its own count badge = the number of conditions SELECTED WITHIN THAT TAB (e.g. Labels with 3 chips selected -&gt; Labels tab badge = "3"); the "Apply" button at the bottom of the sheet does NOT carry a "(n)" count suffix (just plain "Apply"). TBD: whether the "Filter" button on the results page (outside the sheet) shows a total badge — see QnA-39.</t>
        </is>
      </c>
      <c r="K76" s="35" t="inlineStr">
        <is>
          <t>Each per-tab badge must exactly match the number of conditions active in that tab at all times (even before tapping Apply).</t>
        </is>
      </c>
      <c r="L76" s="35" t="inlineStr">
        <is>
          <t>QnA-39</t>
        </is>
      </c>
      <c r="M76" s="28" t="n"/>
      <c r="N76" s="28" t="n"/>
      <c r="O76" s="28" t="n"/>
      <c r="P76" s="35" t="inlineStr">
        <is>
          <t>OPEN — QnA-39: xem chi tiết trong file QnA log.</t>
        </is>
      </c>
    </row>
    <row r="77">
      <c r="A77" s="27" t="n">
        <v>75</v>
      </c>
      <c r="B77" s="27" t="inlineStr">
        <is>
          <t>SS-SCR-009-SC7</t>
        </is>
      </c>
      <c r="C77" s="27" t="inlineStr">
        <is>
          <t>SS-SCR-009</t>
        </is>
      </c>
      <c r="D77" s="27" t="inlineStr">
        <is>
          <t>H. Smart Filter / Detailed Filter</t>
        </is>
      </c>
      <c r="E77" s="27" t="inlineStr">
        <is>
          <t>FR-SF-01, FR-SF-04</t>
        </is>
      </c>
      <c r="F77" s="27" t="inlineStr">
        <is>
          <t>Functional</t>
        </is>
      </c>
      <c r="G77" s="27" t="inlineStr">
        <is>
          <t>Check the detailed behavior of the "Reset" button and the "Apply" button on the sheet's fixed bottom action bar.</t>
        </is>
      </c>
      <c r="H77" s="27" t="inlineStr">
        <is>
          <t>Tap "Reset" after selecting several conditions; tap "Apply" in different states</t>
        </is>
      </c>
      <c r="I77" s="27" t="inlineStr">
        <is>
          <t>The Filter sheet is open with the fixed "Reset"/"Apply" action bar shown (per the real Figma reference, see QnA-18).</t>
        </is>
      </c>
      <c r="J77" s="27" t="inlineStr">
        <is>
          <t>"Reset" clears every selection currently IN THE SHEET (not yet applied) back to empty, but the sheet stays open (does not auto-close); "Apply" always closes the sheet and re-runs the query based on the sheet's exact state at the moment of the tap, even if that state is empty (0 conditions) or unchanged from before.</t>
        </is>
      </c>
      <c r="K77" s="27" t="inlineStr">
        <is>
          <t>The two buttons behave independently and are not to be confused with the (X) close button (which does not apply changes and restores the previous state), already tested in SC5.</t>
        </is>
      </c>
      <c r="L77" s="27" t="n"/>
      <c r="M77" s="28" t="n"/>
      <c r="N77" s="28" t="n"/>
      <c r="O77" s="28" t="n"/>
      <c r="P77" s="27" t="n"/>
    </row>
    <row r="78">
      <c r="A78" s="27" t="n">
        <v>78</v>
      </c>
      <c r="B78" s="27" t="inlineStr">
        <is>
          <t>SS-SCR-009-SC8</t>
        </is>
      </c>
      <c r="C78" s="27" t="inlineStr">
        <is>
          <t>SS-SCR-009</t>
        </is>
      </c>
      <c r="D78" s="27" t="inlineStr">
        <is>
          <t>H. Smart Filter / Detailed Filter</t>
        </is>
      </c>
      <c r="E78" s="27" t="inlineStr">
        <is>
          <t>FR-SF-04</t>
        </is>
      </c>
      <c r="F78" s="27" t="inlineStr">
        <is>
          <t>Functional</t>
        </is>
      </c>
      <c r="G78" s="27" t="inlineStr">
        <is>
          <t>Switch back and forth between the condition-group tabs (Category/Labels/Delivery/Rating/Price) in the Filter sheet.</t>
        </is>
      </c>
      <c r="H78" s="27" t="inlineStr">
        <is>
          <t>Tap each left-side tab in turn; select a condition in one tab, switch to another tab, then switch back</t>
        </is>
      </c>
      <c r="I78" s="27" t="inlineStr">
        <is>
          <t>The Filter sheet is open, the "Category" tab is active by default.</t>
        </is>
      </c>
      <c r="J78" s="27" t="inlineStr">
        <is>
          <t>Tapping any tab immediately swaps the right-hand panel to that tab's condition group; the tapped tab is marked active (red left border + bold red text, per the real Figma reference); the other tabs return to an inactive state; selections already made in other tabs (if any) are not lost when switching back and forth, and each tab's own badge is preserved.</t>
        </is>
      </c>
      <c r="K78" s="27" t="inlineStr">
        <is>
          <t>Switching tabs never loses a selection made in another tab; exactly 1 tab is active at a time; the panel content always matches the currently active tab.</t>
        </is>
      </c>
      <c r="L78" s="27" t="n"/>
      <c r="M78" s="28" t="n"/>
      <c r="N78" s="28" t="n"/>
      <c r="O78" s="28" t="n"/>
      <c r="P78" s="27" t="n"/>
    </row>
    <row r="79">
      <c r="A79" s="35" t="n">
        <v>79</v>
      </c>
      <c r="B79" s="35" t="inlineStr">
        <is>
          <t>SS-SCR-009-SC9</t>
        </is>
      </c>
      <c r="C79" s="35" t="inlineStr">
        <is>
          <t>SS-SCR-009</t>
        </is>
      </c>
      <c r="D79" s="35" t="inlineStr">
        <is>
          <t>H. Smart Filter / Detailed Filter</t>
        </is>
      </c>
      <c r="E79" s="35" t="inlineStr">
        <is>
          <t>FR-SF-04</t>
        </is>
      </c>
      <c r="F79" s="35" t="inlineStr">
        <is>
          <t>Filter</t>
        </is>
      </c>
      <c r="G79" s="35" t="inlineStr">
        <is>
          <t>Select a Delivery condition in the "Delivery" tab.</t>
        </is>
      </c>
      <c r="H79" s="35" t="inlineStr">
        <is>
          <t>Select "Standard delivery"</t>
        </is>
      </c>
      <c r="I79" s="35" t="inlineStr">
        <is>
          <t>The results page has loaded; no Delivery condition has been applied yet.</t>
        </is>
      </c>
      <c r="J79" s="35" t="inlineStr">
        <is>
          <t>The updated storyboard (v0.1-20260819) confirms the Delivery tab has exactly 1 checkbox, "Standard delivery" (a simple on/off toggle), with no other delivery type in v1. Selecting the checkbox filters to SKUs eligible for standard delivery; deselecting it returns to no filtering on this condition. See QnA-42 (now Resolved).</t>
        </is>
      </c>
      <c r="K79" s="35" t="inlineStr">
        <is>
          <t>Selecting/deselecting the Delivery condition correctly updates the Delivery tab badge and the corresponding filtered results.</t>
        </is>
      </c>
      <c r="L79" s="35" t="inlineStr">
        <is>
          <t>QnA-42</t>
        </is>
      </c>
      <c r="M79" s="28" t="n"/>
      <c r="N79" s="28" t="n"/>
      <c r="O79" s="28" t="n"/>
      <c r="P79" s="35" t="inlineStr">
        <is>
          <t>RESOLVED — QnA-42: xem chi tiết trong file QnA log.</t>
        </is>
      </c>
    </row>
    <row r="80">
      <c r="A80" s="27" t="n">
        <v>80</v>
      </c>
      <c r="B80" s="27" t="inlineStr">
        <is>
          <t>SS-SCR-009-SC10</t>
        </is>
      </c>
      <c r="C80" s="27" t="inlineStr">
        <is>
          <t>SS-SCR-009</t>
        </is>
      </c>
      <c r="D80" s="27" t="inlineStr">
        <is>
          <t>H. Smart Filter / Detailed Filter</t>
        </is>
      </c>
      <c r="E80" s="27" t="inlineStr">
        <is>
          <t>FR-SF-04</t>
        </is>
      </c>
      <c r="F80" s="27" t="inlineStr">
        <is>
          <t>Filter</t>
        </is>
      </c>
      <c r="G80" s="27" t="inlineStr">
        <is>
          <t>Select a Rating level in the "Rating" tab — 5 levels, single-select only.</t>
        </is>
      </c>
      <c r="H80" s="27" t="inlineStr">
        <is>
          <t>Select "5 stars", "4 stars &amp; up", ... in turn</t>
        </is>
      </c>
      <c r="I80" s="27" t="inlineStr">
        <is>
          <t>The results page has loaded; no Rating condition has been applied yet.</t>
        </is>
      </c>
      <c r="J80" s="27" t="inlineStr">
        <is>
          <t>The tab correctly shows the 5 levels per the BRD (5 stars / 4 stars &amp; up / 3 stars &amp; up / 2 stars &amp; up / 1 star &amp; up); only 1 level can be selected at a time (single-select, like Category); selecting "N stars &amp; up" returns SKUs with rating &gt;= N (including N and above, not exactly N only).</t>
        </is>
      </c>
      <c r="K80" s="27" t="inlineStr">
        <is>
          <t>Changing the Rating level automatically deselects the previous one; results correctly reflect the &gt;= N stars threshold for each level.</t>
        </is>
      </c>
      <c r="L80" s="27" t="n"/>
      <c r="M80" s="28" t="n"/>
      <c r="N80" s="28" t="n"/>
      <c r="O80" s="28" t="n"/>
      <c r="P80" s="27" t="n"/>
    </row>
    <row r="81">
      <c r="A81" s="35" t="n">
        <v>50</v>
      </c>
      <c r="B81" s="35" t="inlineStr">
        <is>
          <t>SS-SCR-012-SC4</t>
        </is>
      </c>
      <c r="C81" s="35" t="inlineStr">
        <is>
          <t>SS-SCR-012</t>
        </is>
      </c>
      <c r="D81" s="35" t="inlineStr">
        <is>
          <t>K. Zero-Result Recovery</t>
        </is>
      </c>
      <c r="E81" s="35" t="inlineStr">
        <is>
          <t>FR-ZR-01, FR-ZR-02, FR-SM-07, FR-PR-01 -&gt; FR-PR-05 (Out-of-stock override)</t>
        </is>
      </c>
      <c r="F81" s="35" t="inlineStr">
        <is>
          <t>Boundary</t>
        </is>
      </c>
      <c r="G81" s="35" t="inlineStr">
        <is>
          <t>Check the trigger boundary for the Zero Result Page when a keyword exactly matches 1 or more SKUs that are out of stock.</t>
        </is>
      </c>
      <c r="H81" s="35" t="inlineStr">
        <is>
          <t>Keyword exactly matches an out-of-stock SKU (with other in-stock SKUs also matching) / a keyword where ALL matching SKUs are out of stock</t>
        </is>
      </c>
      <c r="I81" s="35" t="inlineStr">
        <is>
          <t>The catalogue has SKUs that directly match the keyword but are out of stock (stock=0).</t>
        </is>
      </c>
      <c r="J81" s="35" t="inlineStr">
        <is>
          <t>When other matching SKUs are still in stock: the system stays on SS-SCR-005 as normal, the out-of-stock SKU is pushed to the bottom of the list per the Out-of-stock override rule (FR-PR-01-&gt;05), the Zero Result Page is NOT triggered. When ALL matching SKUs are out of stock: TBD — see QnA-44.</t>
        </is>
      </c>
      <c r="K81" s="35" t="inlineStr">
        <is>
          <t>The "You might like" block (unique to SS-SCR-012) should only ever appear when the flow genuinely falls into Zero Result — never appearing on SS-SCR-005 while a direct keyword match still exists (even if out of stock).</t>
        </is>
      </c>
      <c r="L81" s="35" t="inlineStr">
        <is>
          <t>QnA-44</t>
        </is>
      </c>
      <c r="M81" s="28" t="n"/>
      <c r="N81" s="28" t="n"/>
      <c r="O81" s="28" t="n"/>
      <c r="P81" s="35" t="inlineStr">
        <is>
          <t>OPEN — QnA-44: xem chi tiết trong file QnA log.</t>
        </is>
      </c>
    </row>
    <row r="82">
      <c r="A82" s="35" t="n">
        <v>51</v>
      </c>
      <c r="B82" s="35" t="inlineStr">
        <is>
          <t>SS-SCR-010-SC4</t>
        </is>
      </c>
      <c r="C82" s="35" t="inlineStr">
        <is>
          <t>SS-SCR-010</t>
        </is>
      </c>
      <c r="D82" s="35" t="inlineStr">
        <is>
          <t>I. Filter Applied State</t>
        </is>
      </c>
      <c r="E82" s="35" t="inlineStr">
        <is>
          <t>FR-SF-03</t>
        </is>
      </c>
      <c r="F82" s="35" t="inlineStr">
        <is>
          <t>Functional</t>
        </is>
      </c>
      <c r="G82" s="35" t="inlineStr">
        <is>
          <t>Check that the applied filter automatically clears when the customer searches a brand-new keyword (not editing the existing keyword, but searching a different one entirely).</t>
        </is>
      </c>
      <c r="H82" s="35" t="inlineStr">
        <is>
          <t>Filtering by "Sugar-free" for keyword "milk" -&gt; search a new keyword "beer"</t>
        </is>
      </c>
      <c r="I82" s="35" t="inlineStr">
        <is>
          <t>The "milk" results page has &gt;=1 filter condition applied.</t>
        </is>
      </c>
      <c r="J82" s="35" t="inlineStr">
        <is>
          <t>Per the updated storyboard (v0.1-20260819, SS-SCR-010): when the customer searches a brand-NEW keyword (a different one), the filter applied to the old keyword AUTOMATICALLY CLEARS and does not carry over to the new keyword's results. The Filter button badge resets to 0/hidden for the new keyword.</t>
        </is>
      </c>
      <c r="K82" s="35" t="inlineStr">
        <is>
          <t>Changing keywords always restarts the filter state from scratch (badge=0); no leftover filter chip from the old keyword appears on the new keyword's results.</t>
        </is>
      </c>
      <c r="L82" s="35" t="inlineStr">
        <is>
          <t>QnA-06</t>
        </is>
      </c>
      <c r="M82" s="28" t="n"/>
      <c r="N82" s="28" t="n"/>
      <c r="O82" s="28" t="n"/>
      <c r="P82" s="35" t="inlineStr">
        <is>
          <t>RESOLVED — QnA-06: xem chi tiết trong file QnA log.</t>
        </is>
      </c>
    </row>
    <row r="83">
      <c r="A83" s="35" t="n">
        <v>56</v>
      </c>
      <c r="B83" s="35" t="inlineStr">
        <is>
          <t>SS-SCR-014-SC4</t>
        </is>
      </c>
      <c r="C83" s="35" t="inlineStr">
        <is>
          <t>SS-SCR-014</t>
        </is>
      </c>
      <c r="D83" s="35" t="inlineStr">
        <is>
          <t>M. Image Search — Gallery</t>
        </is>
      </c>
      <c r="E83" s="35" t="inlineStr">
        <is>
          <t>FR-IS-02, FR-IS-04</t>
        </is>
      </c>
      <c r="F83" s="35" t="inlineStr">
        <is>
          <t>Functional</t>
        </is>
      </c>
      <c r="G83" s="35" t="inlineStr">
        <is>
          <t>Close the Gallery bottom sheet via the "X" button in the header, or by tapping the dimmed area outside the sheet.</t>
        </is>
      </c>
      <c r="H83" s="35" t="inlineStr">
        <is>
          <t>Tap the "X" button / tap the dimmed area behind the sheet</t>
        </is>
      </c>
      <c r="I83" s="35" t="inlineStr">
        <is>
          <t>The "Recent Photos" Gallery sheet is open, no photo selected yet.</t>
        </is>
      </c>
      <c r="J83" s="35" t="inlineStr">
        <is>
          <t>Both dismissal methods correctly return to the Camera Screen (SS-SCR-013) with no photo selected, preserving the current camera state (front/back, flash) — matching the storyboard's description "Close tray -&gt; return to the capture screen without selecting any photo".</t>
        </is>
      </c>
      <c r="K83" s="35" t="inlineStr">
        <is>
          <t>Both dismissal methods (X button / tap outside) produce consistent results; no photo is ever accidentally selected when dismissing.</t>
        </is>
      </c>
      <c r="L83" s="35" t="n"/>
      <c r="M83" s="28" t="n"/>
      <c r="N83" s="28" t="n"/>
      <c r="O83" s="28" t="n"/>
      <c r="P83" s="35" t="n"/>
    </row>
    <row r="84">
      <c r="A84" s="35" t="n">
        <v>69</v>
      </c>
      <c r="B84" s="35" t="inlineStr">
        <is>
          <t>SS-SCR-017-SC4</t>
        </is>
      </c>
      <c r="C84" s="35" t="inlineStr">
        <is>
          <t>SS-SCR-017</t>
        </is>
      </c>
      <c r="D84" s="35" t="inlineStr">
        <is>
          <t>P. Voice Search — Listening</t>
        </is>
      </c>
      <c r="E84" s="35" t="inlineStr">
        <is>
          <t>FR-VS-01, FR-VS-03</t>
        </is>
      </c>
      <c r="F84" s="35" t="inlineStr">
        <is>
          <t>Multilingual</t>
        </is>
      </c>
      <c r="G84" s="35" t="inlineStr">
        <is>
          <t>Multilingual recognition (EN/KR/CN/RU) with automatic language detection, no manual language selection required.</t>
        </is>
      </c>
      <c r="H84" s="35" t="inlineStr">
        <is>
          <t>Speak in English / Korean / Chinese / Russian</t>
        </is>
      </c>
      <c r="I84" s="35" t="inlineStr">
        <is>
          <t>Mic permission is granted; the recording layer is active.</t>
        </is>
      </c>
      <c r="J84" s="35" t="inlineStr">
        <is>
          <t>The system automatically detects the language being spoken (no manual language-selection UI) and transcribes it accurately for all 4 languages EN/KR/CN/RU, processing it exactly like a Vietnamese query (per FR-VS-01).</t>
        </is>
      </c>
      <c r="K84" s="35" t="inlineStr">
        <is>
          <t>No language-selection step ever blocks the flow; transcription accuracy is acceptable for all 4 languages; search results return the corresponding relevant products.</t>
        </is>
      </c>
      <c r="L84" s="35" t="n"/>
      <c r="M84" s="28" t="n"/>
      <c r="N84" s="28" t="n"/>
      <c r="O84" s="28" t="n"/>
      <c r="P84" s="35" t="n"/>
    </row>
    <row r="85">
      <c r="A85" s="35" t="n">
        <v>70</v>
      </c>
      <c r="B85" s="35" t="inlineStr">
        <is>
          <t>SS-SCR-018-SC3</t>
        </is>
      </c>
      <c r="C85" s="35" t="inlineStr">
        <is>
          <t>SS-SCR-018</t>
        </is>
      </c>
      <c r="D85" s="35" t="inlineStr">
        <is>
          <t>Q. Voice Search — Result</t>
        </is>
      </c>
      <c r="E85" s="35" t="inlineStr">
        <is>
          <t>FR-VS-08, NFR-005</t>
        </is>
      </c>
      <c r="F85" s="35" t="inlineStr">
        <is>
          <t>Performance</t>
        </is>
      </c>
      <c r="G85" s="35" t="inlineStr">
        <is>
          <t>Measure end-to-end voice search response time (from the end of speech to the first result displayed).</t>
        </is>
      </c>
      <c r="H85" s="35" t="inlineStr">
        <is>
          <t>Standard speech, normal network conditions</t>
        </is>
      </c>
      <c r="I85" s="35" t="inlineStr">
        <is>
          <t>Normal network conditions.</t>
        </is>
      </c>
      <c r="J85" s="35" t="inlineStr">
        <is>
          <t>TBD — FR-VS-08 states a 6,000ms P95 threshold, NFR-005 states 4,000ms P95 for the same measurement — the two figures conflict (see QnA-30, open). This test case measures the actual P95 but cannot be scored Pass/Fail until BA/TD locks in one official number.</t>
        </is>
      </c>
      <c r="K85" s="35" t="inlineStr">
        <is>
          <t>P95 must fall within the official threshold ONCE confirmed (4,000ms or 6,000ms).</t>
        </is>
      </c>
      <c r="L85" s="35" t="inlineStr">
        <is>
          <t>QnA-30</t>
        </is>
      </c>
      <c r="M85" s="28" t="n"/>
      <c r="N85" s="28" t="n"/>
      <c r="O85" s="28" t="n"/>
      <c r="P85" s="35" t="inlineStr">
        <is>
          <t>OPEN — QnA-30: xem chi tiết trong file QnA log.</t>
        </is>
      </c>
    </row>
  </sheetData>
  <mergeCells count="1">
    <mergeCell ref="A1:P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7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6" min="1" max="1"/>
    <col width="20" customWidth="1" style="16" min="2" max="2"/>
    <col width="12" customWidth="1" style="16" min="3" max="3"/>
    <col width="26" customWidth="1" style="16" min="4" max="4"/>
    <col width="12" customWidth="1" style="16" min="5" max="5"/>
    <col width="34" customWidth="1" style="16" min="6" max="6"/>
    <col width="26" customWidth="1" style="16" min="7" max="7"/>
    <col width="46" customWidth="1" style="16" min="8" max="8"/>
    <col width="26" customWidth="1" style="16" min="9" max="9"/>
    <col width="46" customWidth="1" style="16" min="10" max="10"/>
    <col width="10" customWidth="1" style="16" min="11" max="11"/>
    <col width="14" customWidth="1" style="16" min="12" max="13"/>
    <col width="10" customWidth="1" style="16" min="14" max="14"/>
    <col width="12" customWidth="1" style="16" min="15" max="15"/>
    <col width="10" customWidth="1" style="16" min="16" max="16"/>
    <col width="40" customWidth="1" style="16" min="17" max="17"/>
  </cols>
  <sheetData>
    <row r="1" ht="21.75" customHeight="1" s="17">
      <c r="A1" s="18" t="inlineStr">
        <is>
          <t>Smart Search — UI-Detailed Test Cases (rooted in UI Test Scenarios)</t>
        </is>
      </c>
    </row>
    <row r="2" ht="23.85" customHeight="1" s="17">
      <c r="A2" s="23" t="inlineStr">
        <is>
          <t>Test Case ID</t>
        </is>
      </c>
      <c r="B2" s="23" t="inlineStr">
        <is>
          <t>Parent Scenario ID</t>
        </is>
      </c>
      <c r="C2" s="23" t="inlineStr">
        <is>
          <t>Screen ID</t>
        </is>
      </c>
      <c r="D2" s="23" t="inlineStr">
        <is>
          <t>REQ ID (BRD/Storyboard)</t>
        </is>
      </c>
      <c r="E2" s="23" t="inlineStr">
        <is>
          <t>Test Case Type</t>
        </is>
      </c>
      <c r="F2" s="23" t="inlineStr">
        <is>
          <t>Test Case Title</t>
        </is>
      </c>
      <c r="G2" s="23" t="inlineStr">
        <is>
          <t>Preconditions</t>
        </is>
      </c>
      <c r="H2" s="23" t="inlineStr">
        <is>
          <t>Test Steps</t>
        </is>
      </c>
      <c r="I2" s="23" t="inlineStr">
        <is>
          <t>Test Data</t>
        </is>
      </c>
      <c r="J2" s="23" t="inlineStr">
        <is>
          <t>Expected Result</t>
        </is>
      </c>
      <c r="K2" s="23" t="inlineStr">
        <is>
          <t>Priority</t>
        </is>
      </c>
      <c r="L2" s="23" t="inlineStr">
        <is>
          <t>Actual Result</t>
        </is>
      </c>
      <c r="M2" s="23" t="inlineStr">
        <is>
          <t>Pass/Fail Status</t>
        </is>
      </c>
      <c r="N2" s="23" t="inlineStr">
        <is>
          <t>Tester</t>
        </is>
      </c>
      <c r="O2" s="23" t="inlineStr">
        <is>
          <t>Test Date</t>
        </is>
      </c>
      <c r="P2" s="23" t="inlineStr">
        <is>
          <t>QnA Ref</t>
        </is>
      </c>
      <c r="Q2" s="23" t="inlineStr">
        <is>
          <t>Comments</t>
        </is>
      </c>
    </row>
    <row r="3" ht="147" customHeight="1" s="17">
      <c r="A3" s="27" t="inlineStr">
        <is>
          <t>SS-SCR-001-SC1-TC1</t>
        </is>
      </c>
      <c r="B3" s="27" t="inlineStr">
        <is>
          <t>SS-SCR-001-SC1</t>
        </is>
      </c>
      <c r="C3" s="27" t="inlineStr">
        <is>
          <t>SS-SCR-001</t>
        </is>
      </c>
      <c r="D3" s="27" t="inlineStr">
        <is>
          <t>FR-SP-02, FR-IS-02, FR-VS-02, FR-PS-01, FR-PS-02, FR-PS-03, FR-PS-04</t>
        </is>
      </c>
      <c r="E3" s="27" t="inlineStr">
        <is>
          <t>Normal</t>
        </is>
      </c>
      <c r="F3" s="27" t="inlineStr">
        <is>
          <t>4 header icons open the correct screens</t>
        </is>
      </c>
      <c r="G3" s="27" t="inlineStr">
        <is>
          <t>App is open, any screen with the header bar.</t>
        </is>
      </c>
      <c r="H3" s="27" t="inlineStr">
        <is>
          <t>1. Open the app on the Home screen.
2. Tap the Search Bar.
3. Check it opens SS-SCR-002 (Autocomplete) with the keyboard shown.
4. Go back, tap the Mic icon.
5. Check it opens SS-SCR-017 (Listening) and asks for mic permission (first time only).
6. Go back, tap the Camera icon.
7. Check it opens SS-SCR-013 (Camera) and asks for camera permission (first time only).
8. Go back, tap the Cart icon.
9. Check it opens the real Cart page with the correct item count badge.</t>
        </is>
      </c>
      <c r="I3" s="27" t="inlineStr">
        <is>
          <t>N/A (UI navigation only)</t>
        </is>
      </c>
      <c r="J3" s="27" t="inlineStr">
        <is>
          <t>Each tap opens the right screen. Keyboard auto-focuses on Autocomplete. Camera/Mic permission popups only show the first time, per FR-IS-02/FR-VS-02.</t>
        </is>
      </c>
      <c r="K3" s="27" t="inlineStr">
        <is>
          <t>High</t>
        </is>
      </c>
      <c r="L3" s="28" t="n"/>
      <c r="M3" s="28" t="inlineStr">
        <is>
          <t>Not Run</t>
        </is>
      </c>
      <c r="N3" s="28" t="n"/>
      <c r="O3" s="28" t="n"/>
      <c r="P3" s="27" t="n"/>
      <c r="Q3" s="27" t="n"/>
    </row>
    <row r="4" ht="68.65000000000001" customHeight="1" s="17">
      <c r="A4" s="27" t="inlineStr">
        <is>
          <t>SS-SCR-001-SC1-TC2</t>
        </is>
      </c>
      <c r="B4" s="27" t="inlineStr">
        <is>
          <t>SS-SCR-001-SC1</t>
        </is>
      </c>
      <c r="C4" s="27" t="inlineStr">
        <is>
          <t>SS-SCR-001</t>
        </is>
      </c>
      <c r="D4" s="27" t="inlineStr">
        <is>
          <t>FR-SP-02, FR-IS-02, FR-VS-02, FR-PS-01, FR-PS-02, FR-PS-03, FR-PS-04</t>
        </is>
      </c>
      <c r="E4" s="27" t="inlineStr">
        <is>
          <t>Negative</t>
        </is>
      </c>
      <c r="F4" s="27" t="inlineStr">
        <is>
          <t>Deny Camera/Mic permission the first time</t>
        </is>
      </c>
      <c r="G4" s="27" t="inlineStr">
        <is>
          <t>App is open, any screen with the header bar.</t>
        </is>
      </c>
      <c r="H4" s="27" t="inlineStr">
        <is>
          <t>1. Use a fresh app install with no camera/mic permission granted yet.
2. Tap the Camera icon, choose "Deny" on the system popup.
3. Check the app's behavior.
4. Repeat steps 2-3 for the Mic icon.</t>
        </is>
      </c>
      <c r="I4" s="27" t="inlineStr">
        <is>
          <t>System permission = Denied</t>
        </is>
      </c>
      <c r="J4" s="27" t="inlineStr">
        <is>
          <t>Per the storyboard for SS-SCR-001: the app shows a popup asking to grant permission again, with a link to open Settings. No crash, and the camera/mic screen does not open while permission is denied.</t>
        </is>
      </c>
      <c r="K4" s="27" t="inlineStr">
        <is>
          <t>Medium</t>
        </is>
      </c>
      <c r="L4" s="28" t="n"/>
      <c r="M4" s="28" t="inlineStr">
        <is>
          <t>Not Run</t>
        </is>
      </c>
      <c r="N4" s="28" t="n"/>
      <c r="O4" s="28" t="n"/>
      <c r="P4" s="27" t="n"/>
      <c r="Q4" s="27" t="n"/>
    </row>
    <row r="5" ht="79.84999999999999" customHeight="1" s="17">
      <c r="A5" s="27" t="inlineStr">
        <is>
          <t>SS-SCR-001-SC2-TC1</t>
        </is>
      </c>
      <c r="B5" s="27" t="inlineStr">
        <is>
          <t>SS-SCR-001-SC2</t>
        </is>
      </c>
      <c r="C5" s="27" t="inlineStr">
        <is>
          <t>SS-SCR-001</t>
        </is>
      </c>
      <c r="D5" s="27" t="inlineStr">
        <is>
          <t>FR-SP-02, FR-IS-02, FR-VS-02, FR-PS-01, FR-PS-02, FR-PS-03, FR-PS-04</t>
        </is>
      </c>
      <c r="E5" s="27" t="inlineStr">
        <is>
          <t>Boundary</t>
        </is>
      </c>
      <c r="F5" s="27" t="inlineStr">
        <is>
          <t>10-chip limit and FIFO behavior</t>
        </is>
      </c>
      <c r="G5" s="27" t="inlineStr">
        <is>
          <t>The device's local storage has search history saved.</t>
        </is>
      </c>
      <c r="H5" s="27" t="inlineStr">
        <is>
          <t>1. Clear search history, confirm the "Recent Searches" block is fully hidden (including the header).
2. Search 10 different keywords one by one (e.g. milk, eggs, noodles, ... x10).
3. Go back to Pre-search, count the chips shown.
4. Search 1 more (an 11th) keyword.
5. Go back to Pre-search, check the chip list again.</t>
        </is>
      </c>
      <c r="I5" s="27" t="inlineStr">
        <is>
          <t>10 starting keywords + 1 eleventh keyword (e.g. "fish sauce")</t>
        </is>
      </c>
      <c r="J5" s="27" t="inlineStr">
        <is>
          <t>Step 1: block is fully hidden when empty. Step 3: exactly 10 chips, newest keyword first. Step 5: still exactly 10 chips, the very first (oldest) keyword has been dropped by FIFO, and the 11th keyword is now first.</t>
        </is>
      </c>
      <c r="K5" s="27" t="inlineStr">
        <is>
          <t>High</t>
        </is>
      </c>
      <c r="L5" s="28" t="n"/>
      <c r="M5" s="28" t="inlineStr">
        <is>
          <t>Not Run</t>
        </is>
      </c>
      <c r="N5" s="28" t="n"/>
      <c r="O5" s="28" t="n"/>
      <c r="P5" s="27" t="n"/>
      <c r="Q5" s="27" t="n"/>
    </row>
    <row r="6" ht="46.25" customHeight="1" s="17">
      <c r="A6" s="27" t="inlineStr">
        <is>
          <t>SS-SCR-001-SC2-TC2</t>
        </is>
      </c>
      <c r="B6" s="27" t="inlineStr">
        <is>
          <t>SS-SCR-001-SC2</t>
        </is>
      </c>
      <c r="C6" s="27" t="inlineStr">
        <is>
          <t>SS-SCR-001</t>
        </is>
      </c>
      <c r="D6" s="27" t="inlineStr">
        <is>
          <t>FR-SP-02, FR-IS-02, FR-VS-02, FR-PS-01, FR-PS-02, FR-PS-03, FR-PS-04</t>
        </is>
      </c>
      <c r="E6" s="27" t="inlineStr">
        <is>
          <t>Functional</t>
        </is>
      </c>
      <c r="F6" s="27" t="inlineStr">
        <is>
          <t>"Clear all" button clears the whole history</t>
        </is>
      </c>
      <c r="G6" s="27" t="inlineStr">
        <is>
          <t>The device's local storage has search history saved.</t>
        </is>
      </c>
      <c r="H6" s="27" t="inlineStr">
        <is>
          <t>1. Make sure there is 1 or more chip in "Recent Searches".
2. Tap "Clear all" in the block header.
3. Check the UI right after clearing.</t>
        </is>
      </c>
      <c r="I6" s="27" t="inlineStr">
        <is>
          <t>N/A</t>
        </is>
      </c>
      <c r="J6" s="27" t="inlineStr">
        <is>
          <t>All chips disappear. The whole block (including the header) hides itself, per the rule "hide the whole block when history is empty".</t>
        </is>
      </c>
      <c r="K6" s="27" t="inlineStr">
        <is>
          <t>Medium</t>
        </is>
      </c>
      <c r="L6" s="28" t="n"/>
      <c r="M6" s="28" t="inlineStr">
        <is>
          <t>Not Run</t>
        </is>
      </c>
      <c r="N6" s="28" t="n"/>
      <c r="O6" s="28" t="n"/>
      <c r="P6" s="27" t="n"/>
      <c r="Q6" s="27" t="n"/>
    </row>
    <row r="7" ht="46.25" customHeight="1" s="17">
      <c r="A7" s="35" t="inlineStr">
        <is>
          <t>SS-SCR-001-SC2-TC3</t>
        </is>
      </c>
      <c r="B7" s="35" t="inlineStr">
        <is>
          <t>SS-SCR-001-SC2</t>
        </is>
      </c>
      <c r="C7" s="35" t="inlineStr">
        <is>
          <t>SS-SCR-001</t>
        </is>
      </c>
      <c r="D7" s="35" t="inlineStr">
        <is>
          <t>FR-SP-02, FR-IS-02, FR-VS-02, FR-PS-01, FR-PS-02, FR-PS-03, FR-PS-04</t>
        </is>
      </c>
      <c r="E7" s="35" t="inlineStr">
        <is>
          <t>Edge</t>
        </is>
      </c>
      <c r="F7" s="35" t="inlineStr">
        <is>
          <t>"Clear all" only clears the local device, not synced across devices</t>
        </is>
      </c>
      <c r="G7" s="35" t="inlineStr">
        <is>
          <t>The shopper is logged in on 2 different devices (Device A and Device B), each with its own previously-cached Recent Searches history.</t>
        </is>
      </c>
      <c r="H7" s="35" t="inlineStr">
        <is>
          <t>1. On Device A, build up a Recent Searches history (3-5 keywords).
2. On Device B, log in to the same account and separately build up its own Recent Searches history.
3. On Device A, tap "Clear all" in the Recent Searches block.
4. On Device B, without doing anything else, check the Recent Searches block.
5. Log out and back in on Device B (or refresh the app) and check again.</t>
        </is>
      </c>
      <c r="I7" s="35" t="inlineStr">
        <is>
          <t>2 devices under the same Member account, each with a different local Recent Searches cache.</t>
        </is>
      </c>
      <c r="J7" s="35" t="inlineStr">
        <is>
          <t>TBD — "Clear all" only clears Device A's local storage. Device B's own cached Recent Searches is expected to stay unchanged right after step 3/4 (Recent Searches is client-local), unless the system has a server-side sync mechanism, which is not yet confirmed. Do not mark Pass/Fail until BA confirms — see QnA-27.</t>
        </is>
      </c>
      <c r="K7" s="35" t="inlineStr">
        <is>
          <t>Medium</t>
        </is>
      </c>
      <c r="L7" s="28" t="n"/>
      <c r="M7" s="28" t="inlineStr">
        <is>
          <t>N/A</t>
        </is>
      </c>
      <c r="N7" s="28" t="n"/>
      <c r="O7" s="28" t="n"/>
      <c r="P7" s="35" t="inlineStr">
        <is>
          <t>QnA-27</t>
        </is>
      </c>
      <c r="Q7" s="35" t="inlineStr">
        <is>
          <t>OPEN: cross-device Recent Searches sync behavior is not documented. Logged as QnA-27.</t>
        </is>
      </c>
    </row>
    <row r="8" ht="46.25" customHeight="1" s="17">
      <c r="A8" s="27" t="inlineStr">
        <is>
          <t>SS-SCR-001-SC2-TC4</t>
        </is>
      </c>
      <c r="B8" s="27" t="inlineStr">
        <is>
          <t>SS-SCR-001-SC2</t>
        </is>
      </c>
      <c r="C8" s="27" t="inlineStr">
        <is>
          <t>SS-SCR-001</t>
        </is>
      </c>
      <c r="D8" s="27" t="inlineStr">
        <is>
          <t>FR-SP-02, FR-IS-02, FR-VS-02, FR-PS-01, FR-PS-02, FR-PS-03, FR-PS-04</t>
        </is>
      </c>
      <c r="E8" s="27" t="inlineStr">
        <is>
          <t>Functional</t>
        </is>
      </c>
      <c r="F8" s="27" t="inlineStr">
        <is>
          <t>Tapping a Recent Search chip fills the Search Bar and re-searches</t>
        </is>
      </c>
      <c r="G8" s="27" t="inlineStr">
        <is>
          <t>The "Recent Searches" block shows 1 or more chips.</t>
        </is>
      </c>
      <c r="H8" s="27" t="inlineStr">
        <is>
          <t>1. Note the current order of chips in "Recent Searches" (e.g. chip #1 = most recent, at the top).
2. Tap a chip that is NOT already at the top (e.g. an older chip).
3. Check what happens to the Search Bar's text and to the results shown.
4. Go back to Pre-search and check the "Recent Searches" list again.</t>
        </is>
      </c>
      <c r="I8" s="27" t="inlineStr">
        <is>
          <t>A Recent Searches list with 3+ chips, tap a chip that isn't the most-recent one.</t>
        </is>
      </c>
      <c r="J8" s="27" t="inlineStr">
        <is>
          <t>Tapping the chip overrides whatever is in the Search Bar with that chip's exact keyword (any text the shopper had been typing is replaced) and immediately runs a new search for that keyword, navigating to the results page — same behavior as manually typing and submitting that keyword. Back on Pre-search, the tapped keyword moves to the front of "Recent Searches" (FIFO re-ordering, same as SS-SCR-001-SC2-TC1); it does not create a duplicate entry.</t>
        </is>
      </c>
      <c r="K8" s="27" t="inlineStr">
        <is>
          <t>Medium</t>
        </is>
      </c>
      <c r="L8" s="28" t="n"/>
      <c r="M8" s="28" t="inlineStr">
        <is>
          <t>Not Run</t>
        </is>
      </c>
      <c r="N8" s="28" t="n"/>
      <c r="O8" s="28" t="n"/>
      <c r="P8" s="27" t="n"/>
      <c r="Q8" s="27" t="n"/>
    </row>
    <row r="9" ht="57.45" customHeight="1" s="17">
      <c r="A9" s="27" t="inlineStr">
        <is>
          <t>SS-SCR-001-SC3-TC1</t>
        </is>
      </c>
      <c r="B9" s="27" t="inlineStr">
        <is>
          <t>SS-SCR-001-SC3</t>
        </is>
      </c>
      <c r="C9" s="27" t="inlineStr">
        <is>
          <t>SS-SCR-001</t>
        </is>
      </c>
      <c r="D9" s="27" t="inlineStr">
        <is>
          <t>FR-SP-02, FR-IS-02, FR-VS-02, FR-PS-01, FR-PS-02, FR-PS-03, FR-PS-04</t>
        </is>
      </c>
      <c r="E9" s="27" t="inlineStr">
        <is>
          <t>Functional</t>
        </is>
      </c>
      <c r="F9" s="27" t="inlineStr">
        <is>
          <t>Correct icon shown by rank</t>
        </is>
      </c>
      <c r="G9" s="27" t="inlineStr">
        <is>
          <t>7-day query data is available. One raw keyword in the data violates the profanity filter.</t>
        </is>
      </c>
      <c r="H9" s="27" t="inlineStr">
        <is>
          <t>1. Go to the Pre-search screen.
2. Look at the "Trending Searches" block.
3. Check the icon and color for #1, #2, #3 vs #4 onward.</t>
        </is>
      </c>
      <c r="I9" s="27" t="inlineStr">
        <is>
          <t>Sample trending keywords (Clean Eggs #1, Organic Morning Glory #2, Spicy Instant Noodles #3, Fish Sauce #4, TH True Milk #5)</t>
        </is>
      </c>
      <c r="J9" s="27" t="inlineStr">
        <is>
          <t>#1-3: red fire icon plus red rank number. #4 onward: grey trend (arrow) icon.</t>
        </is>
      </c>
      <c r="K9" s="27" t="inlineStr">
        <is>
          <t>Medium</t>
        </is>
      </c>
      <c r="L9" s="28" t="n"/>
      <c r="M9" s="28" t="inlineStr">
        <is>
          <t>Not Run</t>
        </is>
      </c>
      <c r="N9" s="28" t="n"/>
      <c r="O9" s="28" t="n"/>
      <c r="P9" s="27" t="n"/>
      <c r="Q9" s="27" t="n"/>
    </row>
    <row r="10" ht="57.45" customHeight="1" s="17">
      <c r="A10" s="26" t="inlineStr">
        <is>
          <t>SS-SCR-001-SC3-TC2</t>
        </is>
      </c>
      <c r="B10" s="26" t="inlineStr">
        <is>
          <t>SS-SCR-001-SC3</t>
        </is>
      </c>
      <c r="C10" s="26" t="inlineStr">
        <is>
          <t>SS-SCR-001</t>
        </is>
      </c>
      <c r="D10" s="26" t="inlineStr">
        <is>
          <t>FR-SP-02, FR-IS-02, FR-VS-02, FR-PS-01, FR-PS-02, FR-PS-03, FR-PS-04</t>
        </is>
      </c>
      <c r="E10" s="26" t="inlineStr">
        <is>
          <t>Boundary</t>
        </is>
      </c>
      <c r="F10" s="26" t="inlineStr">
        <is>
          <t>Trending Searches shows exactly Top 5; system still queries Top 10 total (confirmed via QnA-17)</t>
        </is>
      </c>
      <c r="G10" s="26" t="inlineStr">
        <is>
          <t>7-day query data is available. One raw keyword in the data violates the profanity filter.</t>
        </is>
      </c>
      <c r="H10" s="26" t="inlineStr">
        <is>
          <t>1. Go to the Pre-search screen with 10 or more valid trending keywords available in the system.
2. Count the actual number of rows shown in the "Trending Searches" block.
3. Confirm the block always shows exactly 5 rows regardless of how many valid trending keywords exist.
4. Separately confirm (via backend/admin data) that the system still queries the Top 10 trending keywords internally.</t>
        </is>
      </c>
      <c r="I10" s="26" t="inlineStr">
        <is>
          <t>10 or more valid trending keywords</t>
        </is>
      </c>
      <c r="J10" s="26" t="inlineStr">
        <is>
          <t>CONFIRMED (QnA-17): the "Trending Searches" block always shows exactly Top 5 keywords, per BRD §6.2 and the real Figma design. The system still queries the Top 10 trending keywords internally — ranks #6-10 are not shown in this block, but are used as the data source for the Search Bar's rotating placeholder (FR-PS-04, see SS-SCR-001-SC5-TC2).</t>
        </is>
      </c>
      <c r="K10" s="26" t="inlineStr">
        <is>
          <t>Medium</t>
        </is>
      </c>
      <c r="L10" s="28" t="n"/>
      <c r="M10" s="28" t="inlineStr">
        <is>
          <t>Not Run</t>
        </is>
      </c>
      <c r="N10" s="28" t="n"/>
      <c r="O10" s="28" t="n"/>
      <c r="P10" s="26" t="n"/>
      <c r="Q10" s="26" t="inlineStr">
        <is>
          <t>RESOLVED via QnA-17 (BA confirmed 18-Aug-2026): show Top 5 in Trending Searches; system still queries Top 10, remainder (#6-10) feeds the Search Bar placeholder per FR-PS-04 — see SS-SCR-001-SC5-TC2.</t>
        </is>
      </c>
    </row>
    <row r="11" ht="46.25" customHeight="1" s="17">
      <c r="A11" s="27" t="inlineStr">
        <is>
          <t>SS-SCR-001-SC3-TC3</t>
        </is>
      </c>
      <c r="B11" s="27" t="inlineStr">
        <is>
          <t>SS-SCR-001-SC3</t>
        </is>
      </c>
      <c r="C11" s="27" t="inlineStr">
        <is>
          <t>SS-SCR-001</t>
        </is>
      </c>
      <c r="D11" s="27" t="inlineStr">
        <is>
          <t>FR-SP-02, FR-IS-02, FR-VS-02, FR-PS-01, FR-PS-02, FR-PS-03, FR-PS-04</t>
        </is>
      </c>
      <c r="E11" s="27" t="inlineStr">
        <is>
          <t>Negative</t>
        </is>
      </c>
      <c r="F11" s="27" t="inlineStr">
        <is>
          <t>Keywords with 0 results or banned words are never shown</t>
        </is>
      </c>
      <c r="G11" s="27" t="inlineStr">
        <is>
          <t>7-day query data is available. One raw keyword in the data violates the profanity filter.</t>
        </is>
      </c>
      <c r="H11" s="27" t="inlineStr">
        <is>
          <t>1. Simulate a raw 7-day keyword set that includes: (a) 1 high-volume keyword that returns 0 products, (b) 1 keyword that violates the banned-word list.
2. Re-run the Trending Score calculation.
3. Check the Top list shown on Pre-search.</t>
        </is>
      </c>
      <c r="I11" s="27" t="inlineStr">
        <is>
          <t>A simulated 0-result keyword + a banned keyword</t>
        </is>
      </c>
      <c r="J11" s="27" t="inlineStr">
        <is>
          <t>Both keywords are excluded from the shown list no matter how high their volume/velocity is — confirms the FR-PS-02 rules ("only show keywords with results &gt; 0" and "auto-filter through the banned-word list").</t>
        </is>
      </c>
      <c r="K11" s="27" t="inlineStr">
        <is>
          <t>High</t>
        </is>
      </c>
      <c r="L11" s="28" t="n"/>
      <c r="M11" s="28" t="inlineStr">
        <is>
          <t>Not Run</t>
        </is>
      </c>
      <c r="N11" s="28" t="n"/>
      <c r="O11" s="28" t="n"/>
      <c r="P11" s="27" t="n"/>
      <c r="Q11" s="27" t="n"/>
    </row>
    <row r="12" ht="79.84999999999999" customHeight="1" s="17">
      <c r="A12" s="27" t="inlineStr">
        <is>
          <t>SS-SCR-001-SC3-TC4</t>
        </is>
      </c>
      <c r="B12" s="27" t="inlineStr">
        <is>
          <t>SS-SCR-001-SC3</t>
        </is>
      </c>
      <c r="C12" s="27" t="inlineStr">
        <is>
          <t>SS-SCR-001</t>
        </is>
      </c>
      <c r="D12" s="27" t="inlineStr">
        <is>
          <t>FR-SP-02, FR-IS-02, FR-VS-02, FR-PS-01, FR-PS-02, FR-PS-03, FR-PS-04</t>
        </is>
      </c>
      <c r="E12" s="27" t="inlineStr">
        <is>
          <t>Functional</t>
        </is>
      </c>
      <c r="F12" s="27" t="inlineStr">
        <is>
          <t>Tapping a Trending Searches item fills the Search Bar, re-searches, and is added to Recent Searches</t>
        </is>
      </c>
      <c r="G12" s="27" t="inlineStr">
        <is>
          <t>The "Trending Searches" block shows 1 or more keywords.</t>
        </is>
      </c>
      <c r="H12" s="27" t="inlineStr">
        <is>
          <t>1. Note the current "Recent Searches" list (if any).
2. Tap 1 keyword in the "Trending Searches" block (e.g. rank #2).
3. Check the Search Bar's text and the results shown.
4. Go back to Pre-search and check the "Recent Searches" block.</t>
        </is>
      </c>
      <c r="I12" s="27" t="inlineStr">
        <is>
          <t>A Trending Searches list with 5 keywords shown, tap keyword rank #2.</t>
        </is>
      </c>
      <c r="J12" s="27" t="inlineStr">
        <is>
          <t>Tapping the trending keyword overrides the Search Bar text with that exact keyword (same override behavior as tapping a Recent Search chip, see SS-SCR-001-SC2-TC4) and runs a new search for it. Back on Pre-search, the tapped trending keyword is now added to the front of "Recent Searches" (per the same FIFO rule as SS-SCR-001-SC2-TC1), confirming a Trending tap counts as a real search for history purposes.</t>
        </is>
      </c>
      <c r="K12" s="27" t="inlineStr">
        <is>
          <t>Medium</t>
        </is>
      </c>
      <c r="L12" s="28" t="n"/>
      <c r="M12" s="28" t="inlineStr">
        <is>
          <t>Not Run</t>
        </is>
      </c>
      <c r="N12" s="28" t="n"/>
      <c r="O12" s="28" t="n"/>
      <c r="P12" s="27" t="n"/>
      <c r="Q12" s="27" t="n"/>
    </row>
    <row r="13" ht="79.84999999999999" customHeight="1" s="17">
      <c r="A13" s="35" t="inlineStr">
        <is>
          <t>SS-SCR-001-SC4-TC1</t>
        </is>
      </c>
      <c r="B13" s="35" t="inlineStr">
        <is>
          <t>SS-SCR-001-SC4</t>
        </is>
      </c>
      <c r="C13" s="35" t="inlineStr">
        <is>
          <t>SS-SCR-001</t>
        </is>
      </c>
      <c r="D13" s="35" t="inlineStr">
        <is>
          <t>FR-SP-02, FR-IS-02, FR-VS-02, FR-PS-01, FR-PS-02, FR-PS-03, FR-PS-04</t>
        </is>
      </c>
      <c r="E13" s="35" t="inlineStr">
        <is>
          <t>Ranking</t>
        </is>
      </c>
      <c r="F13" s="35" t="inlineStr">
        <is>
          <t>"Frequently Purchased" ranks by number of Orders (Order Count), not by item quantity</t>
        </is>
      </c>
      <c r="G13" s="35" t="inlineStr">
        <is>
          <t>OMS has order-history data. Some SKUs are out of stock (stock=0).</t>
        </is>
      </c>
      <c r="H13" s="35" t="inlineStr">
        <is>
          <t>1. Log in to an account with this history: SKU-A bought in 3 separate orders (1 unit each); SKU-B bought in 1 order (5 units in that order).
2. Go to the Pre-search screen, look at "Frequently Purchased".
3. Compare the position of SKU-A and SKU-B.</t>
        </is>
      </c>
      <c r="I13" s="35" t="inlineStr">
        <is>
          <t>SKU-A: 3 orders x 1 unit; SKU-B: 1 order x 5 units</t>
        </is>
      </c>
      <c r="J13" s="35" t="inlineStr">
        <is>
          <t>SKU-A ranks above SKU-B because it counts NUMBER OF ORDERS (3 &gt; 1), not total item quantity (1x3=3 vs 5) — matches FR-PS-03: "never count by quantity inside an order".</t>
        </is>
      </c>
      <c r="K13" s="35" t="inlineStr">
        <is>
          <t>High</t>
        </is>
      </c>
      <c r="L13" s="28" t="n"/>
      <c r="M13" s="28" t="inlineStr">
        <is>
          <t>Not Run</t>
        </is>
      </c>
      <c r="N13" s="28" t="n"/>
      <c r="O13" s="28" t="n"/>
      <c r="P13" s="35" t="inlineStr">
        <is>
          <t>QnA-29</t>
        </is>
      </c>
      <c r="Q13" s="35" t="inlineStr">
        <is>
          <t>Cross-referenced with QnA-29 (Storyboard vs BRD conflict on the order-history lookback window) — the conclusion that SKU-A ranks above SKU-B (counted by order count, not quantity) does not depend on the exact window length; noted here for traceability.</t>
        </is>
      </c>
    </row>
    <row r="14" ht="35.05" customHeight="1" s="17">
      <c r="A14" s="26" t="inlineStr">
        <is>
          <t>SS-SCR-001-SC4-TC2</t>
        </is>
      </c>
      <c r="B14" s="26" t="inlineStr">
        <is>
          <t>SS-SCR-001-SC4</t>
        </is>
      </c>
      <c r="C14" s="26" t="inlineStr">
        <is>
          <t>SS-SCR-001</t>
        </is>
      </c>
      <c r="D14" s="26" t="inlineStr">
        <is>
          <t>FR-SP-02, FR-IS-02, FR-VS-02, FR-PS-01, FR-PS-02, FR-PS-03, FR-PS-04</t>
        </is>
      </c>
      <c r="E14" s="26" t="inlineStr">
        <is>
          <t>Negative</t>
        </is>
      </c>
      <c r="F14" s="26" t="inlineStr">
        <is>
          <t>"Frequently Purchased" block for a Guest (not logged in)</t>
        </is>
      </c>
      <c r="G14" s="26" t="inlineStr">
        <is>
          <t>OMS has order-history data. Some SKUs are out of stock (stock=0).</t>
        </is>
      </c>
      <c r="H14" s="26" t="inlineStr">
        <is>
          <t>1. Open the app as a Guest (not logged in).
2. Go to the Pre-search screen.
3. Check whether the "Frequently Purchased" block appears or not.</t>
        </is>
      </c>
      <c r="I14" s="26" t="inlineStr">
        <is>
          <t>Guest session, no order history</t>
        </is>
      </c>
      <c r="J14" s="26" t="inlineStr">
        <is>
          <t>TBD — waiting on BA/UX to confirm: hide the block entirely, or show "Best-sellers at LOTTE Mart" instead. Do NOT mark Pass/Fail until confirmed (see QnA-01).</t>
        </is>
      </c>
      <c r="K14" s="26" t="inlineStr">
        <is>
          <t>Medium</t>
        </is>
      </c>
      <c r="L14" s="28" t="n"/>
      <c r="M14" s="28" t="inlineStr">
        <is>
          <t>N/A</t>
        </is>
      </c>
      <c r="N14" s="28" t="n"/>
      <c r="O14" s="28" t="n"/>
      <c r="P14" s="26" t="inlineStr">
        <is>
          <t>QnA-01</t>
        </is>
      </c>
      <c r="Q14" s="26" t="inlineStr">
        <is>
          <t>OPEN: Storyboard 'Open items' #2 — BA/UX needs to decide the Guest behavior before this test case can be marked Pass/Fail. Logged as QnA-01.</t>
        </is>
      </c>
    </row>
    <row r="15" ht="35.05" customHeight="1" s="17">
      <c r="A15" s="26" t="inlineStr">
        <is>
          <t>SS-SCR-001-SC4-TC3</t>
        </is>
      </c>
      <c r="B15" s="26" t="inlineStr">
        <is>
          <t>SS-SCR-001-SC4</t>
        </is>
      </c>
      <c r="C15" s="26" t="inlineStr">
        <is>
          <t>SS-SCR-001</t>
        </is>
      </c>
      <c r="D15" s="26" t="inlineStr">
        <is>
          <t>FR-SP-02, FR-IS-02, FR-VS-02, FR-PS-01, FR-PS-02, FR-PS-03, FR-PS-04</t>
        </is>
      </c>
      <c r="E15" s="26" t="inlineStr">
        <is>
          <t>Boundary</t>
        </is>
      </c>
      <c r="F15" s="26" t="inlineStr">
        <is>
          <t>90-day order-history window boundary (~3 months) affects "Frequently Purchased" ranking</t>
        </is>
      </c>
      <c r="G15" s="26" t="inlineStr">
        <is>
          <t>A Member account has COMPLETED orders placed at several different points in time; personalization data is account-specific.</t>
        </is>
      </c>
      <c r="H15" s="26" t="inlineStr">
        <is>
          <t>1. Prepare 1 Member account with 5 different SKUs, each tied to 1 COMPLETED order placed: SKU-A = 85 days ago, SKU-B = 95 days ago, SKU-C = 130 days ago (~month 5), SKU-D = 165 days ago (~month 6), SKU-E = 210+ days ago (~month 7+).
2. Log in to this account, go to the Pre-search screen, look at "Frequently Purchased".
3. Check which SKUs appear and which don't.
4. Log in to a DIFFERENT account (without these orders) and confirm its "Frequently Purchased" is unaffected by the first account's data.</t>
        </is>
      </c>
      <c r="I15" s="26" t="inlineStr">
        <is>
          <t>5 SKUs with COMPLETED orders 85/95/130/165/≥210 days old (~3/4/5/6/7+ months); 1 control account without these orders.</t>
        </is>
      </c>
      <c r="J15" s="26" t="inlineStr">
        <is>
          <t>TBD — the expected outcome depends on which window mechanism is official (see QnA-29): under the Storyboard (fixed 90 days), only SKU-A (85 days) is inside the window. Under the BRD (adaptive 3-6 months, expanding month by month when a month has no order history), SKU-B (95 days, ~month 4) and possibly SKU-C (130 days, ~month 5) could also count, depending on whether the account has orders in the intervening months. Do not mark Pass/Fail against one specific SKU list until BA/TD confirms the official mechanism. The result still applies only to the logged-in account (per-account personalization) regardless of which mechanism is chosen.</t>
        </is>
      </c>
      <c r="K15" s="26" t="inlineStr">
        <is>
          <t>Medium</t>
        </is>
      </c>
      <c r="L15" s="28" t="n"/>
      <c r="M15" s="28" t="inlineStr">
        <is>
          <t>N/A</t>
        </is>
      </c>
      <c r="N15" s="28" t="n"/>
      <c r="O15" s="28" t="n"/>
      <c r="P15" s="26" t="inlineStr">
        <is>
          <t>QnA-29</t>
        </is>
      </c>
      <c r="Q15" s="26" t="inlineStr">
        <is>
          <t>OPEN: blocked by QnA-29 — the Storyboard says a fixed 90 days, the BRD describes an adaptive 3-6 month expanding window; the two mechanisms would produce different results for this test's SKU-B/SKU-C (95/130 days). Do not mark Pass/Fail until confirmed.</t>
        </is>
      </c>
    </row>
    <row r="16" ht="35.05" customHeight="1" s="17">
      <c r="A16" s="26" t="inlineStr">
        <is>
          <t>SS-SCR-001-SC4-TC4</t>
        </is>
      </c>
      <c r="B16" s="26" t="inlineStr">
        <is>
          <t>SS-SCR-001-SC4</t>
        </is>
      </c>
      <c r="C16" s="26" t="inlineStr">
        <is>
          <t>SS-SCR-001</t>
        </is>
      </c>
      <c r="D16" s="26" t="inlineStr">
        <is>
          <t>FR-SP-02, FR-IS-02, FR-VS-02, FR-PS-01, FR-PS-02, FR-PS-03, FR-PS-04</t>
        </is>
      </c>
      <c r="E16" s="26" t="inlineStr">
        <is>
          <t>Edge</t>
        </is>
      </c>
      <c r="F16" s="26" t="inlineStr">
        <is>
          <t>"Frequently Purchased" block for a logged-in Member with zero completed orders</t>
        </is>
      </c>
      <c r="G16" s="26" t="inlineStr">
        <is>
          <t>A valid Member account is logged in, but has NO completed orders in its history (new account / never purchased).</t>
        </is>
      </c>
      <c r="H16" s="26" t="inlineStr">
        <is>
          <t>1. Log in with a new Member account that has never had a successful order (empty order history).
2. Go to the Pre-search screen.
3. Check whether the "Frequently Purchased" block appears, and if so, what it shows.</t>
        </is>
      </c>
      <c r="I16" s="26" t="inlineStr">
        <is>
          <t>A Member account with an empty order history (0 COMPLETED orders)</t>
        </is>
      </c>
      <c r="J16" s="26" t="inlineStr">
        <is>
          <t>TBD — the BRD/Storyboard doesn't define the behavior for a LOGGED-IN Member with no purchase history yet (different from the Guest case in SC4-TC2, which already has its own QnA-01). It's unclear whether the system hides the block, shows "Best-sellers at LOTTE Mart" like the Guest proposal, or does something else. Do not mark Pass/Fail until BA/UX confirms. See QnA-28.</t>
        </is>
      </c>
      <c r="K16" s="26" t="inlineStr">
        <is>
          <t>Medium</t>
        </is>
      </c>
      <c r="L16" s="28" t="n"/>
      <c r="M16" s="28" t="inlineStr">
        <is>
          <t>N/A</t>
        </is>
      </c>
      <c r="N16" s="28" t="n"/>
      <c r="O16" s="28" t="n"/>
      <c r="P16" s="26" t="inlineStr">
        <is>
          <t>QnA-28</t>
        </is>
      </c>
      <c r="Q16" s="26" t="inlineStr">
        <is>
          <t>OPEN: the "Frequently Purchased" block's behavior for a Member with an empty order history is not defined. Logged as QnA-28.</t>
        </is>
      </c>
    </row>
    <row r="17" ht="57.45" customHeight="1" s="17">
      <c r="A17" s="27" t="inlineStr">
        <is>
          <t>SS-SCR-001-SC5-TC1</t>
        </is>
      </c>
      <c r="B17" s="27" t="inlineStr">
        <is>
          <t>SS-SCR-001-SC5</t>
        </is>
      </c>
      <c r="C17" s="27" t="inlineStr">
        <is>
          <t>SS-SCR-001</t>
        </is>
      </c>
      <c r="D17" s="27" t="inlineStr">
        <is>
          <t>FR-SP-02, FR-IS-02, FR-VS-02, FR-PS-01, FR-PS-02, FR-PS-03, FR-PS-04</t>
        </is>
      </c>
      <c r="E17" s="27" t="inlineStr">
        <is>
          <t>Normal</t>
        </is>
      </c>
      <c r="F17" s="27" t="inlineStr">
        <is>
          <t>Placeholder rotates every 3 seconds and stops once typing starts</t>
        </is>
      </c>
      <c r="G17" s="27" t="inlineStr">
        <is>
          <t>Pre-search screen, Search Bar is empty and not focused.</t>
        </is>
      </c>
      <c r="H17" s="27" t="inlineStr">
        <is>
          <t>1. Open the app, go to the Pre-search screen, do not tap the Search Bar.
2. Watch the placeholder text inside the empty Search Bar for at least 12 seconds.
3. Time the interval between each text change.
4. Tap the Search Bar and type 1 character.
5. Check if the placeholder keeps rotating.</t>
        </is>
      </c>
      <c r="I17" s="27" t="inlineStr">
        <is>
          <t>N/A (UI observation only)</t>
        </is>
      </c>
      <c r="J17" s="27" t="inlineStr">
        <is>
          <t>The placeholder text changes to a new keyword about every 3 seconds, drawn from the Top 10 trending list (ranks #1-10) — matches FR-PS-04. Once the shopper types even 1 character, the rotation stops immediately and the input shows the typed text instead.</t>
        </is>
      </c>
      <c r="K17" s="27" t="inlineStr">
        <is>
          <t>Low</t>
        </is>
      </c>
      <c r="L17" s="28" t="n"/>
      <c r="M17" s="28" t="inlineStr">
        <is>
          <t>Not Run</t>
        </is>
      </c>
      <c r="N17" s="28" t="n"/>
      <c r="O17" s="28" t="n"/>
      <c r="P17" s="27" t="n"/>
      <c r="Q17" s="27" t="n"/>
    </row>
    <row r="18" ht="68.65000000000001" customHeight="1" s="17">
      <c r="A18" s="27" t="inlineStr">
        <is>
          <t>SS-SCR-001-SC5-TC2</t>
        </is>
      </c>
      <c r="B18" s="27" t="inlineStr">
        <is>
          <t>SS-SCR-001-SC5</t>
        </is>
      </c>
      <c r="C18" s="27" t="inlineStr">
        <is>
          <t>SS-SCR-001</t>
        </is>
      </c>
      <c r="D18" s="27" t="inlineStr">
        <is>
          <t>FR-SP-02, FR-IS-02, FR-VS-02, FR-PS-01, FR-PS-02, FR-PS-03, FR-PS-04</t>
        </is>
      </c>
      <c r="E18" s="27" t="inlineStr">
        <is>
          <t>Boundary</t>
        </is>
      </c>
      <c r="F18" s="27" t="inlineStr">
        <is>
          <t>Search Bar placeholder rotates through the full Top 10 Trending list (ranks #1-10)</t>
        </is>
      </c>
      <c r="G18" s="27" t="inlineStr">
        <is>
          <t>10 or more valid trending keywords are available.</t>
        </is>
      </c>
      <c r="H18" s="27" t="inlineStr">
        <is>
          <t>1. Record the full Top 10 trending keyword list (ranks #1-10) from backend/admin data.
2. Watch the Search Bar's rotating placeholder for at least 30 seconds (several rotation cycles) without typing.
3. Record every distinct keyword shown in the placeholder rotation.
4. Compare the placeholder's keyword set against the full Top 10 list.</t>
        </is>
      </c>
      <c r="I18" s="27" t="inlineStr">
        <is>
          <t>The full Top 10 trending keyword list (ranks #1-10).</t>
        </is>
      </c>
      <c r="J18" s="27" t="inlineStr">
        <is>
          <t>CONFIRMED: the rotating placeholder draws from the entire Top 10 trending list (ranks #1-10), not limited to ranks #6-10. Every keyword shown in the placeholder must belong to this Top 10 set; no keyword outside the Top 10 ever appears.</t>
        </is>
      </c>
      <c r="K18" s="27" t="inlineStr">
        <is>
          <t>Medium</t>
        </is>
      </c>
      <c r="L18" s="28" t="n"/>
      <c r="M18" s="28" t="inlineStr">
        <is>
          <t>Not Run</t>
        </is>
      </c>
      <c r="N18" s="28" t="n"/>
      <c r="O18" s="28" t="n"/>
      <c r="P18" s="27" t="n"/>
      <c r="Q18" s="27" t="n"/>
    </row>
    <row r="19" ht="79.84999999999999" customHeight="1" s="17">
      <c r="A19" s="27" t="inlineStr">
        <is>
          <t>SS-SCR-001-SC6-TC1</t>
        </is>
      </c>
      <c r="B19" s="27" t="inlineStr">
        <is>
          <t>SS-SCR-001-SC6</t>
        </is>
      </c>
      <c r="C19" s="27" t="inlineStr">
        <is>
          <t>SS-SCR-001</t>
        </is>
      </c>
      <c r="D19" s="27" t="inlineStr">
        <is>
          <t>FR-SP-02, FR-IS-02, FR-VS-02, FR-PS-01, FR-PS-02, FR-PS-03, FR-PS-04</t>
        </is>
      </c>
      <c r="E19" s="27" t="inlineStr">
        <is>
          <t>Boundary</t>
        </is>
      </c>
      <c r="F19" s="27" t="inlineStr">
        <is>
          <t>Badge hidden when cart is empty, shows the correct number normally</t>
        </is>
      </c>
      <c r="G19" s="27" t="inlineStr">
        <is>
          <t>The header bar shows on every screen.</t>
        </is>
      </c>
      <c r="H19" s="27" t="inlineStr">
        <is>
          <t>1. Make sure the cart is empty (0 products), check the Cart icon.
2. Add 45 products to the cart, check the badge.</t>
        </is>
      </c>
      <c r="I19" s="27" t="inlineStr">
        <is>
          <t>0 items / 45 items</t>
        </is>
      </c>
      <c r="J19" s="27" t="inlineStr">
        <is>
          <t>0 items: no badge shown on the icon at all. 45 items: badge correctly shows "45".</t>
        </is>
      </c>
      <c r="K19" s="27" t="inlineStr">
        <is>
          <t>Low</t>
        </is>
      </c>
      <c r="L19" s="28" t="n"/>
      <c r="M19" s="28" t="inlineStr">
        <is>
          <t>Not Run</t>
        </is>
      </c>
      <c r="N19" s="28" t="n"/>
      <c r="O19" s="28" t="n"/>
      <c r="P19" s="27" t="n"/>
      <c r="Q19" s="27" t="n"/>
    </row>
    <row r="20" ht="68.65000000000001" customHeight="1" s="17">
      <c r="A20" s="26" t="inlineStr">
        <is>
          <t>SS-SCR-001-SC6-TC2</t>
        </is>
      </c>
      <c r="B20" s="26" t="inlineStr">
        <is>
          <t>SS-SCR-001-SC6</t>
        </is>
      </c>
      <c r="C20" s="26" t="inlineStr">
        <is>
          <t>SS-SCR-001</t>
        </is>
      </c>
      <c r="D20" s="26" t="inlineStr">
        <is>
          <t>FR-SP-02, FR-IS-02, FR-VS-02, FR-PS-01, FR-PS-02, FR-PS-03, FR-PS-04</t>
        </is>
      </c>
      <c r="E20" s="26" t="inlineStr">
        <is>
          <t>Boundary</t>
        </is>
      </c>
      <c r="F20" s="26" t="inlineStr">
        <is>
          <t>Badge format when going over 2 digits (99+)</t>
        </is>
      </c>
      <c r="G20" s="26" t="inlineStr">
        <is>
          <t>The header bar shows on every screen.</t>
        </is>
      </c>
      <c r="H20" s="26" t="inlineStr">
        <is>
          <t>1. Set the cart to 130 products.
2. Check the badge display format.</t>
        </is>
      </c>
      <c r="I20" s="26" t="inlineStr">
        <is>
          <t>130 items</t>
        </is>
      </c>
      <c r="J20" s="26" t="inlineStr">
        <is>
          <t>TBD — there is no official rule yet for the shortened threshold (99+) vs showing the full number. Do not mark Pass/Fail until UX confirms. See QnA-25.</t>
        </is>
      </c>
      <c r="K20" s="26" t="inlineStr">
        <is>
          <t>Low</t>
        </is>
      </c>
      <c r="L20" s="28" t="n"/>
      <c r="M20" s="28" t="inlineStr">
        <is>
          <t>N/A</t>
        </is>
      </c>
      <c r="N20" s="28" t="n"/>
      <c r="O20" s="28" t="n"/>
      <c r="P20" s="26" t="inlineStr">
        <is>
          <t>QnA-25</t>
        </is>
      </c>
      <c r="Q20" s="26" t="n"/>
    </row>
    <row r="21" ht="68.65000000000001" customHeight="1" s="17">
      <c r="A21" s="27" t="inlineStr">
        <is>
          <t>SS-SCR-001-SC7-TC1</t>
        </is>
      </c>
      <c r="B21" s="27" t="inlineStr">
        <is>
          <t>SS-SCR-001-SC7</t>
        </is>
      </c>
      <c r="C21" s="27" t="inlineStr">
        <is>
          <t>SS-SCR-001</t>
        </is>
      </c>
      <c r="D21" s="27" t="inlineStr">
        <is>
          <t>FR-SP-02, FR-IS-02, FR-VS-02, FR-PS-01, FR-PS-02, FR-PS-03, FR-PS-04</t>
        </is>
      </c>
      <c r="E21" s="27" t="inlineStr">
        <is>
          <t>Functional</t>
        </is>
      </c>
      <c r="F21" s="27" t="inlineStr">
        <is>
          <t>Tapping a Product Card opens the correct PDP</t>
        </is>
      </c>
      <c r="G21" s="27" t="inlineStr">
        <is>
          <t>Logged in, "Frequently Purchased" block shows 1 or more products.</t>
        </is>
      </c>
      <c r="H21" s="27" t="inlineStr">
        <is>
          <t>1. On Pre-search, pick 1 SKU in "Frequently Purchased".
2. Tap the card (not the + button).
3. Check the page that opens.</t>
        </is>
      </c>
      <c r="I21" s="27" t="inlineStr">
        <is>
          <t>1 SKU in Frequently Purchased</t>
        </is>
      </c>
      <c r="J21" s="27" t="inlineStr">
        <is>
          <t>Opens the correct PDP page for the tapped SKU, with full product info.</t>
        </is>
      </c>
      <c r="K21" s="27" t="inlineStr">
        <is>
          <t>Medium</t>
        </is>
      </c>
      <c r="L21" s="28" t="n"/>
      <c r="M21" s="28" t="inlineStr">
        <is>
          <t>Not Run</t>
        </is>
      </c>
      <c r="N21" s="28" t="n"/>
      <c r="O21" s="28" t="n"/>
      <c r="P21" s="27" t="n"/>
      <c r="Q21" s="27" t="n"/>
    </row>
    <row r="22" ht="35.05" customHeight="1" s="17">
      <c r="A22" s="27" t="inlineStr">
        <is>
          <t>SS-SCR-001-SC7-TC2</t>
        </is>
      </c>
      <c r="B22" s="27" t="inlineStr">
        <is>
          <t>SS-SCR-001-SC7</t>
        </is>
      </c>
      <c r="C22" s="27" t="inlineStr">
        <is>
          <t>SS-SCR-001</t>
        </is>
      </c>
      <c r="D22" s="27" t="inlineStr">
        <is>
          <t>FR-SP-02, FR-IS-02, FR-VS-02, FR-PS-01, FR-PS-02, FR-PS-03, FR-PS-04</t>
        </is>
      </c>
      <c r="E22" s="27" t="inlineStr">
        <is>
          <t>Functional</t>
        </is>
      </c>
      <c r="F22" s="27" t="inlineStr">
        <is>
          <t>Tapping (+) on a Frequently Purchased card quick-adds without leaving Pre-search</t>
        </is>
      </c>
      <c r="G22" s="27" t="inlineStr">
        <is>
          <t>Logged in, "Frequently Purchased" block shows 1 or more products.</t>
        </is>
      </c>
      <c r="H22" s="27" t="inlineStr">
        <is>
          <t>1. Tap the (+) button on 1 in-stock card in "Frequently Purchased".
2. Check the cart badge and the confirmation Toast.
3. Confirm you are still on the Pre-search screen.</t>
        </is>
      </c>
      <c r="I22" s="27" t="inlineStr">
        <is>
          <t>1 in-stock SKU</t>
        </is>
      </c>
      <c r="J22" s="27" t="inlineStr">
        <is>
          <t>Badge goes up, the "Added to cart" Toast shows correctly per SS-SCR-011. The screen is still Pre-search, no navigation happened.</t>
        </is>
      </c>
      <c r="K22" s="27" t="inlineStr">
        <is>
          <t>Medium</t>
        </is>
      </c>
      <c r="L22" s="28" t="n"/>
      <c r="M22" s="28" t="inlineStr">
        <is>
          <t>Not Run</t>
        </is>
      </c>
      <c r="N22" s="28" t="n"/>
      <c r="O22" s="28" t="n"/>
      <c r="P22" s="27" t="n"/>
      <c r="Q22" s="27" t="n"/>
    </row>
    <row r="23" ht="57.45" customHeight="1" s="17">
      <c r="A23" s="27" t="inlineStr">
        <is>
          <t>SS-SCR-001-SC8-TC1</t>
        </is>
      </c>
      <c r="B23" s="27" t="inlineStr">
        <is>
          <t>SS-SCR-001-SC8</t>
        </is>
      </c>
      <c r="C23" s="27" t="inlineStr">
        <is>
          <t>SS-SCR-001</t>
        </is>
      </c>
      <c r="D23" s="27" t="inlineStr">
        <is>
          <t>FR-SP-02, FR-IS-02, FR-VS-02, FR-PS-01, FR-PS-02, FR-PS-03, FR-PS-04</t>
        </is>
      </c>
      <c r="E23" s="27" t="inlineStr">
        <is>
          <t>Boundary</t>
        </is>
      </c>
      <c r="F23" s="27" t="inlineStr">
        <is>
          <t>Loads the next batch of 10 SKUs once the first batch is scrolled past</t>
        </is>
      </c>
      <c r="G23" s="27" t="inlineStr">
        <is>
          <t>The shopper has more than 10 SKUs eligible for "Frequently Purchased".</t>
        </is>
      </c>
      <c r="H23" s="27" t="inlineStr">
        <is>
          <t>1. The shopper has 25 SKUs eligible for "Frequently Purchased".
2. Scroll through all 10 cards in the first batch.
3. Keep scrolling, check if more SKUs load.
4. Keep scrolling until all 25 SKUs have shown.</t>
        </is>
      </c>
      <c r="I23" s="27" t="inlineStr">
        <is>
          <t>25 eligible SKUs</t>
        </is>
      </c>
      <c r="J23" s="27" t="inlineStr">
        <is>
          <t>After the first batch of 10, the system auto-loads the next batch (SKUs 11-20, then 21-25) in order of descending purchase frequency. No SKU repeats. Loading stops smoothly once the list ends (no infinite loading).</t>
        </is>
      </c>
      <c r="K23" s="27" t="inlineStr">
        <is>
          <t>Medium</t>
        </is>
      </c>
      <c r="L23" s="28" t="n"/>
      <c r="M23" s="28" t="inlineStr">
        <is>
          <t>Not Run</t>
        </is>
      </c>
      <c r="N23" s="28" t="n"/>
      <c r="O23" s="28" t="n"/>
      <c r="P23" s="27" t="n"/>
      <c r="Q23" s="27" t="n"/>
    </row>
    <row r="24" ht="57.45" customHeight="1" s="17">
      <c r="A24" s="26" t="inlineStr">
        <is>
          <t>SS-SCR-001-SC9-TC1</t>
        </is>
      </c>
      <c r="B24" s="26" t="inlineStr">
        <is>
          <t>SS-SCR-001-SC9</t>
        </is>
      </c>
      <c r="C24" s="26" t="inlineStr">
        <is>
          <t>SS-SCR-001</t>
        </is>
      </c>
      <c r="D24" s="26" t="inlineStr">
        <is>
          <t>FR-SP-02, FR-IS-02, FR-VS-02, FR-PS-01, FR-PS-02, FR-PS-03, FR-PS-04</t>
        </is>
      </c>
      <c r="E24" s="26" t="inlineStr">
        <is>
          <t>Exception</t>
        </is>
      </c>
      <c r="F24" s="26" t="inlineStr">
        <is>
          <t>UI behavior when offline while loading Pre-search — not documented yet</t>
        </is>
      </c>
      <c r="G24" s="26" t="inlineStr">
        <is>
          <t>The test device can simulate no network connection.</t>
        </is>
      </c>
      <c r="H24" s="26" t="inlineStr">
        <is>
          <t>1. Simulate a full network disconnection.
2. Open the app, go to the Pre-search screen.
3. Check the UI of the Trending and Frequently Purchased blocks.</t>
        </is>
      </c>
      <c r="I24" s="26" t="inlineStr">
        <is>
          <t>Fully offline</t>
        </is>
      </c>
      <c r="J24" s="26" t="inlineStr">
        <is>
          <t>TBD — the BRD/storyboard doesn't specify the exact UI (skeleton loading? a per-block local error message? hide the block?) for a network failure right on Pre-search. Do not mark Pass/Fail until UX confirms. See QnA-26. Minimum requirement: no crash, no fully blank screen, and the Search Bar must still show and be usable.</t>
        </is>
      </c>
      <c r="K24" s="26" t="inlineStr">
        <is>
          <t>Medium</t>
        </is>
      </c>
      <c r="L24" s="28" t="n"/>
      <c r="M24" s="28" t="inlineStr">
        <is>
          <t>N/A</t>
        </is>
      </c>
      <c r="N24" s="28" t="n"/>
      <c r="O24" s="28" t="n"/>
      <c r="P24" s="26" t="inlineStr">
        <is>
          <t>QnA-26</t>
        </is>
      </c>
      <c r="Q24" s="26" t="n"/>
    </row>
    <row r="25" ht="57.45" customHeight="1" s="17">
      <c r="A25" s="27" t="inlineStr">
        <is>
          <t>SS-SCR-002-SC1-TC1</t>
        </is>
      </c>
      <c r="B25" s="27" t="inlineStr">
        <is>
          <t>SS-SCR-002-SC1</t>
        </is>
      </c>
      <c r="C25" s="27" t="inlineStr">
        <is>
          <t>SS-SCR-002</t>
        </is>
      </c>
      <c r="D25" s="27" t="inlineStr">
        <is>
          <t>FR-SP-01, FR-GD-02</t>
        </is>
      </c>
      <c r="E25" s="27" t="inlineStr">
        <is>
          <t>Normal</t>
        </is>
      </c>
      <c r="F25" s="27" t="inlineStr">
        <is>
          <t>Suggestions appear with the correct 300ms debounce and bolded match</t>
        </is>
      </c>
      <c r="G25" s="27" t="inlineStr">
        <is>
          <t>Search bar is auto-focused, keyboard is showing.</t>
        </is>
      </c>
      <c r="H25" s="27" t="inlineStr">
        <is>
          <t>1. Tap the Search Bar to open Autocomplete.
2. Type "sữa" and stop typing.
3. Measure the time from stopping typing to the suggestions appearing.
4. Check whether "sữa" is bolded/highlighted in each suggestion row.
5. Count how many suggestion rows are shown.</t>
        </is>
      </c>
      <c r="I25" s="27" t="inlineStr">
        <is>
          <t>"sữa"</t>
        </is>
      </c>
      <c r="J25" s="27" t="inlineStr">
        <is>
          <t>Suggestions appear within 300ms after typing stops (P95, per NFR-002/FR-GD-02). Max 10 rows. "sữa" is bolded in every row (e.g. **sữa** tươi không đường, **sữa** chua Vinamilk).</t>
        </is>
      </c>
      <c r="K25" s="27" t="inlineStr">
        <is>
          <t>High</t>
        </is>
      </c>
      <c r="L25" s="28" t="n"/>
      <c r="M25" s="28" t="inlineStr">
        <is>
          <t>Not Run</t>
        </is>
      </c>
      <c r="N25" s="28" t="n"/>
      <c r="O25" s="28" t="n"/>
      <c r="P25" s="27" t="n"/>
      <c r="Q25" s="27" t="n"/>
    </row>
    <row r="26" ht="57.45" customHeight="1" s="17">
      <c r="A26" s="27" t="inlineStr">
        <is>
          <t>SS-SCR-002-SC1-TC2</t>
        </is>
      </c>
      <c r="B26" s="27" t="inlineStr">
        <is>
          <t>SS-SCR-002-SC1</t>
        </is>
      </c>
      <c r="C26" s="27" t="inlineStr">
        <is>
          <t>SS-SCR-002</t>
        </is>
      </c>
      <c r="D26" s="27" t="inlineStr">
        <is>
          <t>FR-SP-01, FR-GD-02</t>
        </is>
      </c>
      <c r="E26" s="27" t="inlineStr">
        <is>
          <t>Boundary</t>
        </is>
      </c>
      <c r="F26" s="27" t="inlineStr">
        <is>
          <t>Debounce blocks requests while typing fast, under 300ms apart</t>
        </is>
      </c>
      <c r="G26" s="27" t="inlineStr">
        <is>
          <t>Search bar is auto-focused, keyboard is showing.</t>
        </is>
      </c>
      <c r="H26" s="27" t="inlineStr">
        <is>
          <t>1. Open Autocomplete.
2. Type "s" "sữ" "sữa" "sữa " "sữa t" quickly, with less than 300ms between each keystroke (no pause).
3. Watch how many suggestion API calls fire, using a network monitor.
4. Stop typing fully at "sữa tươi" and wait.</t>
        </is>
      </c>
      <c r="I26" s="27" t="inlineStr">
        <is>
          <t>Fast continuous typing, no pause over 300ms until the last character</t>
        </is>
      </c>
      <c r="J26" s="27" t="inlineStr">
        <is>
          <t>No suggestion request is sent while typing continuously. Only 1 request is sent, after the shopper stops typing for a full 300ms at "sữa tươi" — confirms the FR-SP-01 debounce logic.</t>
        </is>
      </c>
      <c r="K26" s="27" t="inlineStr">
        <is>
          <t>High</t>
        </is>
      </c>
      <c r="L26" s="28" t="n"/>
      <c r="M26" s="28" t="inlineStr">
        <is>
          <t>Not Run</t>
        </is>
      </c>
      <c r="N26" s="28" t="n"/>
      <c r="O26" s="28" t="n"/>
      <c r="P26" s="27" t="n"/>
      <c r="Q26" s="27" t="n"/>
    </row>
    <row r="27" ht="57.45" customHeight="1" s="17">
      <c r="A27" s="27" t="inlineStr">
        <is>
          <t>SS-SCR-002-SC1-TC3</t>
        </is>
      </c>
      <c r="B27" s="27" t="inlineStr">
        <is>
          <t>SS-SCR-002-SC1</t>
        </is>
      </c>
      <c r="C27" s="27" t="inlineStr">
        <is>
          <t>SS-SCR-002</t>
        </is>
      </c>
      <c r="D27" s="27" t="inlineStr">
        <is>
          <t>FR-SP-01, FR-GD-02</t>
        </is>
      </c>
      <c r="E27" s="27" t="inlineStr">
        <is>
          <t>Functional</t>
        </is>
      </c>
      <c r="F27" s="27" t="inlineStr">
        <is>
          <t>Autocomplete suggestions are popular search keywords matching the prefix, not product-name matches</t>
        </is>
      </c>
      <c r="G27" s="27" t="inlineStr">
        <is>
          <t>Search-query volume data exists for popular keywords; the catalogue is indexed by product title.</t>
        </is>
      </c>
      <c r="H27" s="27" t="inlineStr">
        <is>
          <t>1. Type a common prefix that has several popular SEARCH KEYWORDS starting with it, none of which exactly match any product title (e.g. "sua tu").
2. Check the suggestion list.
3. For each row, check whether it's a popular SEARCH TERM or a product TITLE match.</t>
        </is>
      </c>
      <c r="I27" s="27" t="inlineStr">
        <is>
          <t>"sua tu" (a prefix with rich search-volume data)</t>
        </is>
      </c>
      <c r="J27" s="27" t="inlineStr">
        <is>
          <t>Every suggestion is a popular SEARCH KEYWORD, sorted by descending search volume, matching the typed prefix — per FR-SP-01. Suggestions are NOT pulled directly from catalogue product titles, even if a title happens to match the typed string.</t>
        </is>
      </c>
      <c r="K27" s="27" t="inlineStr">
        <is>
          <t>High</t>
        </is>
      </c>
      <c r="L27" s="28" t="n"/>
      <c r="M27" s="28" t="inlineStr">
        <is>
          <t>Not Run</t>
        </is>
      </c>
      <c r="N27" s="28" t="n"/>
      <c r="O27" s="28" t="n"/>
      <c r="P27" s="27" t="n"/>
      <c r="Q27" s="27" t="n"/>
    </row>
    <row r="28" ht="57.45" customHeight="1" s="17">
      <c r="A28" s="27" t="inlineStr">
        <is>
          <t>SS-SCR-002-SC1-TC4</t>
        </is>
      </c>
      <c r="B28" s="27" t="inlineStr">
        <is>
          <t>SS-SCR-002-SC1</t>
        </is>
      </c>
      <c r="C28" s="27" t="inlineStr">
        <is>
          <t>SS-SCR-002</t>
        </is>
      </c>
      <c r="D28" s="27" t="inlineStr">
        <is>
          <t>FR-SP-01, FR-GD-02</t>
        </is>
      </c>
      <c r="E28" s="27" t="inlineStr">
        <is>
          <t>Typo</t>
        </is>
      </c>
      <c r="F28" s="27" t="inlineStr">
        <is>
          <t>Autocomplete applies fuzzy matching (max 1-character error) for typos or missing characters</t>
        </is>
      </c>
      <c r="G28" s="27" t="inlineStr">
        <is>
          <t>Search Bar is focused, the Autocomplete screen is open.</t>
        </is>
      </c>
      <c r="H28" s="27" t="inlineStr">
        <is>
          <t>1. Type "vinamild" (1 wrong character at the end, should be "vinamilk").
2. Check whether related keywords/brands for "vinamilk" show up in the suggestions.
3. Clear and type "chocopi" (1 character short of "chocopie").
4. Check whether related keywords for "chocopie" show up.</t>
        </is>
      </c>
      <c r="I28" s="27" t="inlineStr">
        <is>
          <t>"vinamild" (1 wrong character) / "chocopi" (1 missing character)</t>
        </is>
      </c>
      <c r="J28" s="27" t="inlineStr">
        <is>
          <t>Both cases return the correct related suggestions ("vinamilk", "chocopie", ...) despite the 1-character error/omission — the system applies fuzzy matching directly inside Autocomplete (max Levenshtein distance = 1) per FR-SP-01, without waiting for the post-submit Auto-Correct Banner (SS-SCR-003).</t>
        </is>
      </c>
      <c r="K28" s="27" t="inlineStr">
        <is>
          <t>High</t>
        </is>
      </c>
      <c r="L28" s="28" t="n"/>
      <c r="M28" s="28" t="inlineStr">
        <is>
          <t>Not Run</t>
        </is>
      </c>
      <c r="N28" s="28" t="n"/>
      <c r="O28" s="28" t="n"/>
      <c r="P28" s="27" t="n"/>
      <c r="Q28" s="27" t="n"/>
    </row>
    <row r="29" ht="57.45" customHeight="1" s="17">
      <c r="A29" s="27" t="inlineStr">
        <is>
          <t>SS-SCR-002-SC1-TC5</t>
        </is>
      </c>
      <c r="B29" s="27" t="inlineStr">
        <is>
          <t>SS-SCR-002-SC1</t>
        </is>
      </c>
      <c r="C29" s="27" t="inlineStr">
        <is>
          <t>SS-SCR-002</t>
        </is>
      </c>
      <c r="D29" s="27" t="inlineStr">
        <is>
          <t>FR-SP-01, FR-GD-02</t>
        </is>
      </c>
      <c r="E29" s="27" t="inlineStr">
        <is>
          <t>Functional</t>
        </is>
      </c>
      <c r="F29" s="27" t="inlineStr">
        <is>
          <t>Tapping the header Back button on Autocomplete exits without keeping the unsubmitted typed text</t>
        </is>
      </c>
      <c r="G29" s="27" t="inlineStr">
        <is>
          <t>On the Autocomplete screen (opened from Pre-search via the Search Bar), with unsubmitted typed text present.</t>
        </is>
      </c>
      <c r="H29" s="27" t="inlineStr">
        <is>
          <t>1. From Pre-search, tap the Search Bar to open Autocomplete.
2. Type a partial string, WITHOUT pressing Enter or tapping any suggestion (not yet searched).
3. Tap the Back button (arrow) on the Autocomplete header.
4. Check the destination screen and the Search Bar's state after going back.</t>
        </is>
      </c>
      <c r="I29" s="27" t="inlineStr">
        <is>
          <t>Partially typed "sữa tư" (not submitted), tap Back</t>
        </is>
      </c>
      <c r="J29" s="27" t="inlineStr">
        <is>
          <t>Tapping Back correctly navigates to the previous screen (Pre-search), WITHOUT running a search for the unsubmitted text. The partially-typed "sữa tư" is discarded (not saved to Recent Searches, since it was never a real search); the Search Bar returns to its empty/placeholder state as it was before Autocomplete opened.</t>
        </is>
      </c>
      <c r="K29" s="27" t="inlineStr">
        <is>
          <t>Medium</t>
        </is>
      </c>
      <c r="L29" s="28" t="n"/>
      <c r="M29" s="28" t="inlineStr">
        <is>
          <t>Not Run</t>
        </is>
      </c>
      <c r="N29" s="28" t="n"/>
      <c r="O29" s="28" t="n"/>
      <c r="P29" s="27" t="n"/>
      <c r="Q29" s="27" t="n"/>
    </row>
    <row r="30" ht="46.25" customHeight="1" s="17">
      <c r="A30" s="27" t="inlineStr">
        <is>
          <t>SS-SCR-002-SC2-TC1</t>
        </is>
      </c>
      <c r="B30" s="27" t="inlineStr">
        <is>
          <t>SS-SCR-002-SC2</t>
        </is>
      </c>
      <c r="C30" s="27" t="inlineStr">
        <is>
          <t>SS-SCR-002</t>
        </is>
      </c>
      <c r="D30" s="27" t="inlineStr">
        <is>
          <t>FR-SP-01, FR-GD-02</t>
        </is>
      </c>
      <c r="E30" s="27" t="inlineStr">
        <is>
          <t>Edge</t>
        </is>
      </c>
      <c r="F30" s="27" t="inlineStr">
        <is>
          <t>Empty API result hides the list, no empty-state message</t>
        </is>
      </c>
      <c r="G30" s="27" t="inlineStr">
        <is>
          <t>Catalogue is indexed. The API returns empty for this input.</t>
        </is>
      </c>
      <c r="H30" s="27" t="inlineStr">
        <is>
          <t>1. Open Autocomplete.
2. Type a string guaranteed to return no suggestions (e.g. "x").
3. Wait out the debounce time.
4. Check the UI.</t>
        </is>
      </c>
      <c r="I30" s="27" t="inlineStr">
        <is>
          <t>"x"</t>
        </is>
      </c>
      <c r="J30" s="27" t="inlineStr">
        <is>
          <t>No dropdown list appears, and no empty-state message appears either. The Pre-search content (Recent Searches/Trending/Frequently Purchased) still shows underneath, unchanged — matches FR-SP-01: "if the API returns no suggestions, hide the list and keep the Pre-search screen as-is".</t>
        </is>
      </c>
      <c r="K30" s="27" t="inlineStr">
        <is>
          <t>High</t>
        </is>
      </c>
      <c r="L30" s="28" t="n"/>
      <c r="M30" s="28" t="inlineStr">
        <is>
          <t>Not Run</t>
        </is>
      </c>
      <c r="N30" s="28" t="n"/>
      <c r="O30" s="28" t="n"/>
      <c r="P30" s="27" t="n"/>
      <c r="Q30" s="27" t="n"/>
    </row>
    <row r="31" ht="46.25" customHeight="1" s="17">
      <c r="A31" s="27" t="inlineStr">
        <is>
          <t>SS-SCR-002-SC3-TC1</t>
        </is>
      </c>
      <c r="B31" s="27" t="inlineStr">
        <is>
          <t>SS-SCR-002-SC3</t>
        </is>
      </c>
      <c r="C31" s="27" t="inlineStr">
        <is>
          <t>SS-SCR-002</t>
        </is>
      </c>
      <c r="D31" s="27" t="inlineStr">
        <is>
          <t>FR-SP-01, FR-GD-02</t>
        </is>
      </c>
      <c r="E31" s="27" t="inlineStr">
        <is>
          <t>Functional</t>
        </is>
      </c>
      <c r="F31" s="27" t="inlineStr">
        <is>
          <t>Tapping a suggestion uses that exact row's text (not necessarily the first row)</t>
        </is>
      </c>
      <c r="G31" s="27" t="inlineStr">
        <is>
          <t>The suggestion list is showing.</t>
        </is>
      </c>
      <c r="H31" s="27" t="inlineStr">
        <is>
          <t>1. Type "sữa", wait for 3 or more suggestion rows.
2. Tap the 3rd suggestion row (not the first).
3. Check which keyword gets searched.</t>
        </is>
      </c>
      <c r="I31" s="27" t="inlineStr">
        <is>
          <t>"sữa", tap suggestion #3</t>
        </is>
      </c>
      <c r="J31" s="27" t="inlineStr">
        <is>
          <t>The input box fills with exactly suggestion row #3's text (not row #1). The app searches for that exact keyword.</t>
        </is>
      </c>
      <c r="K31" s="27" t="inlineStr">
        <is>
          <t>High</t>
        </is>
      </c>
      <c r="L31" s="28" t="n"/>
      <c r="M31" s="28" t="inlineStr">
        <is>
          <t>Not Run</t>
        </is>
      </c>
      <c r="N31" s="28" t="n"/>
      <c r="O31" s="28" t="n"/>
      <c r="P31" s="27" t="n"/>
      <c r="Q31" s="27" t="n"/>
    </row>
    <row r="32" ht="35.05" customHeight="1" s="17">
      <c r="A32" s="27" t="inlineStr">
        <is>
          <t>SS-SCR-002-SC3-TC2</t>
        </is>
      </c>
      <c r="B32" s="27" t="inlineStr">
        <is>
          <t>SS-SCR-002-SC3</t>
        </is>
      </c>
      <c r="C32" s="27" t="inlineStr">
        <is>
          <t>SS-SCR-002</t>
        </is>
      </c>
      <c r="D32" s="27" t="inlineStr">
        <is>
          <t>FR-SP-01, FR-GD-02</t>
        </is>
      </c>
      <c r="E32" s="27" t="inlineStr">
        <is>
          <t>Functional</t>
        </is>
      </c>
      <c r="F32" s="27" t="inlineStr">
        <is>
          <t>Pressing Enter searches the exact typed text, ignoring the suggestion</t>
        </is>
      </c>
      <c r="G32" s="27" t="inlineStr">
        <is>
          <t>The suggestion list is showing.</t>
        </is>
      </c>
      <c r="H32" s="27" t="inlineStr">
        <is>
          <t>1. Type "sữa tươi ít béo" (a string that doesn't fully match the currently shown suggestion #1).
2. Press Enter on the keyboard instead of tapping a suggestion.
3. Check which keyword gets searched.</t>
        </is>
      </c>
      <c r="I32" s="27" t="inlineStr">
        <is>
          <t>"sữa tươi ít béo"</t>
        </is>
      </c>
      <c r="J32" s="27" t="inlineStr">
        <is>
          <t>The app searches for exactly what was typed, "sữa tươi ít béo", NOT auto-replacing it with the currently shown suggestion #1.</t>
        </is>
      </c>
      <c r="K32" s="27" t="inlineStr">
        <is>
          <t>High</t>
        </is>
      </c>
      <c r="L32" s="28" t="n"/>
      <c r="M32" s="28" t="inlineStr">
        <is>
          <t>Not Run</t>
        </is>
      </c>
      <c r="N32" s="28" t="n"/>
      <c r="O32" s="28" t="n"/>
      <c r="P32" s="27" t="n"/>
      <c r="Q32" s="27" t="n"/>
    </row>
    <row r="33" ht="79.84999999999999" customHeight="1" s="17">
      <c r="A33" s="27" t="inlineStr">
        <is>
          <t>SS-SCR-002-SC4-TC1</t>
        </is>
      </c>
      <c r="B33" s="27" t="inlineStr">
        <is>
          <t>SS-SCR-002-SC4</t>
        </is>
      </c>
      <c r="C33" s="27" t="inlineStr">
        <is>
          <t>SS-SCR-002</t>
        </is>
      </c>
      <c r="D33" s="27" t="inlineStr">
        <is>
          <t>FR-SP-01, FR-GD-02</t>
        </is>
      </c>
      <c r="E33" s="27" t="inlineStr">
        <is>
          <t>Boundary</t>
        </is>
      </c>
      <c r="F33" s="27" t="inlineStr">
        <is>
          <t>Deleting down to empty correctly returns to Pre-search, no leftover suggestions</t>
        </is>
      </c>
      <c r="G33" s="27" t="inlineStr">
        <is>
          <t>On the Autocomplete screen with suggestions showing.</t>
        </is>
      </c>
      <c r="H33" s="27" t="inlineStr">
        <is>
          <t>1. Type "sữa", wait for suggestions.
2. Delete one character at a time (backspace) until the input is fully empty.
3. Check the screen right after the last character is deleted.</t>
        </is>
      </c>
      <c r="I33" s="27" t="inlineStr">
        <is>
          <t>"sữa" then delete down to empty</t>
        </is>
      </c>
      <c r="J33" s="27" t="inlineStr">
        <is>
          <t>Once the input is empty, the screen correctly shows the Pre-search content (Recent Searches/Trending/Frequently Purchased) again, with no leftover suggestion list from the previous character.</t>
        </is>
      </c>
      <c r="K33" s="27" t="inlineStr">
        <is>
          <t>Medium</t>
        </is>
      </c>
      <c r="L33" s="28" t="n"/>
      <c r="M33" s="28" t="inlineStr">
        <is>
          <t>Not Run</t>
        </is>
      </c>
      <c r="N33" s="28" t="n"/>
      <c r="O33" s="28" t="n"/>
      <c r="P33" s="27" t="n"/>
      <c r="Q33" s="27" t="n"/>
    </row>
    <row r="34" ht="79.84999999999999" customHeight="1" s="17">
      <c r="A34" s="27" t="inlineStr">
        <is>
          <t>SS-SCR-002-SC4-TC2</t>
        </is>
      </c>
      <c r="B34" s="27" t="inlineStr">
        <is>
          <t>SS-SCR-002-SC4</t>
        </is>
      </c>
      <c r="C34" s="27" t="inlineStr">
        <is>
          <t>SS-SCR-002</t>
        </is>
      </c>
      <c r="D34" s="27" t="inlineStr">
        <is>
          <t>FR-SP-01, FR-GD-02</t>
        </is>
      </c>
      <c r="E34" s="27" t="inlineStr">
        <is>
          <t>Boundary</t>
        </is>
      </c>
      <c r="F34" s="27" t="inlineStr">
        <is>
          <t>Tapping (X) clears the input instantly, returning to the exact Pre-search state</t>
        </is>
      </c>
      <c r="G34" s="27" t="inlineStr">
        <is>
          <t>On the Autocomplete screen, the input has text and the (X) button is showing.</t>
        </is>
      </c>
      <c r="H34" s="27" t="inlineStr">
        <is>
          <t>1. Type "sữa tươi", wait for suggestions.
2. Tap the (X) button at the end of the input (not backspacing character by character).
3. Check the input and the screen right after tapping (X).</t>
        </is>
      </c>
      <c r="I34" s="27" t="inlineStr">
        <is>
          <t>"sữa tươi", tap (X)</t>
        </is>
      </c>
      <c r="J34" s="27" t="inlineStr">
        <is>
          <t>The (X) button clears the ENTIRE input INSTANTLY in a single tap; the screen returns to the exact Pre-search state, identical to the result in SS-SCR-002-SC4-TC1 after manually deleting down to empty — no leftover suggestions. The keyboard stays open and the input keeps focus.</t>
        </is>
      </c>
      <c r="K34" s="27" t="inlineStr">
        <is>
          <t>Medium</t>
        </is>
      </c>
      <c r="L34" s="28" t="n"/>
      <c r="M34" s="28" t="inlineStr">
        <is>
          <t>Not Run</t>
        </is>
      </c>
      <c r="N34" s="28" t="n"/>
      <c r="O34" s="28" t="n"/>
      <c r="P34" s="27" t="n"/>
      <c r="Q34" s="27" t="n"/>
    </row>
    <row r="35" ht="79.84999999999999" customHeight="1" s="17">
      <c r="A35" s="27" t="inlineStr">
        <is>
          <t>SS-SCR-002-SC5-TC1</t>
        </is>
      </c>
      <c r="B35" s="27" t="inlineStr">
        <is>
          <t>SS-SCR-002-SC5</t>
        </is>
      </c>
      <c r="C35" s="27" t="inlineStr">
        <is>
          <t>SS-SCR-002</t>
        </is>
      </c>
      <c r="D35" s="27" t="inlineStr">
        <is>
          <t>FR-SP-01, FR-GD-02</t>
        </is>
      </c>
      <c r="E35" s="27" t="inlineStr">
        <is>
          <t>Edge</t>
        </is>
      </c>
      <c r="F35" s="27" t="inlineStr">
        <is>
          <t>Typing special characters/emoji does not crash or break the UI</t>
        </is>
      </c>
      <c r="G35" s="27" t="inlineStr">
        <is>
          <t>Search Bar is focused.</t>
        </is>
      </c>
      <c r="H35" s="27" t="inlineStr">
        <is>
          <t>1. Type the special-character string "@@@###!!!" into the search box.
2. Check the UI.
3. Clear it and type the emoji "😀🥛".
4. Check the UI.</t>
        </is>
      </c>
      <c r="I35" s="27" t="inlineStr">
        <is>
          <t>"@@@###!!!" / "😀🥛"</t>
        </is>
      </c>
      <c r="J35" s="27" t="inlineStr">
        <is>
          <t>No app crash. The suggestion list is hidden (per FR-SP-01's empty-API logic) or shows an appropriate message. No broken/garbled layout.</t>
        </is>
      </c>
      <c r="K35" s="27" t="inlineStr">
        <is>
          <t>Medium</t>
        </is>
      </c>
      <c r="L35" s="28" t="n"/>
      <c r="M35" s="28" t="inlineStr">
        <is>
          <t>Not Run</t>
        </is>
      </c>
      <c r="N35" s="28" t="n"/>
      <c r="O35" s="28" t="n"/>
      <c r="P35" s="27" t="n"/>
      <c r="Q35" s="27" t="n"/>
    </row>
    <row r="36" ht="35.05" customHeight="1" s="17">
      <c r="A36" s="26" t="inlineStr">
        <is>
          <t>SS-SCR-002-SC5-TC2</t>
        </is>
      </c>
      <c r="B36" s="26" t="inlineStr">
        <is>
          <t>SS-SCR-002-SC5</t>
        </is>
      </c>
      <c r="C36" s="26" t="inlineStr">
        <is>
          <t>SS-SCR-002</t>
        </is>
      </c>
      <c r="D36" s="26" t="inlineStr">
        <is>
          <t>FR-SP-01, FR-GD-02</t>
        </is>
      </c>
      <c r="E36" s="26" t="inlineStr">
        <is>
          <t>Boundary</t>
        </is>
      </c>
      <c r="F36" s="26" t="inlineStr">
        <is>
          <t>Maximum input length is not defined in the BRD</t>
        </is>
      </c>
      <c r="G36" s="26" t="inlineStr">
        <is>
          <t>Search Bar is focused.</t>
        </is>
      </c>
      <c r="H36" s="26" t="inlineStr">
        <is>
          <t>1. Type or paste a 200-character string into the search box.
2. Check whether the input box blocks further typing, trims the text, or accepts the whole thing.</t>
        </is>
      </c>
      <c r="I36" s="26" t="inlineStr">
        <is>
          <t>A 200-character string</t>
        </is>
      </c>
      <c r="J36" s="26" t="inlineStr">
        <is>
          <t>TBD — the BRD does not define a max length for the search input. Minimum requirement: the input box does not break the layout and does not crash with a long string. Do not mark Pass/Fail against a specific number until this is officially defined. See QnA-04.</t>
        </is>
      </c>
      <c r="K36" s="26" t="inlineStr">
        <is>
          <t>Low</t>
        </is>
      </c>
      <c r="L36" s="28" t="n"/>
      <c r="M36" s="28" t="inlineStr">
        <is>
          <t>N/A</t>
        </is>
      </c>
      <c r="N36" s="28" t="n"/>
      <c r="O36" s="28" t="n"/>
      <c r="P36" s="26" t="inlineStr">
        <is>
          <t>QnA-04</t>
        </is>
      </c>
      <c r="Q36" s="26" t="n"/>
    </row>
    <row r="37" ht="46.25" customHeight="1" s="17">
      <c r="A37" s="27" t="inlineStr">
        <is>
          <t>SS-SCR-002-SC6-TC1</t>
        </is>
      </c>
      <c r="B37" s="27" t="inlineStr">
        <is>
          <t>SS-SCR-002-SC6</t>
        </is>
      </c>
      <c r="C37" s="27" t="inlineStr">
        <is>
          <t>SS-SCR-002</t>
        </is>
      </c>
      <c r="D37" s="27" t="inlineStr">
        <is>
          <t>FR-SP-01, FR-GD-02</t>
        </is>
      </c>
      <c r="E37" s="27" t="inlineStr">
        <is>
          <t>Exception</t>
        </is>
      </c>
      <c r="F37" s="27" t="inlineStr">
        <is>
          <t>A suggestion-API network error does not block the main search flow</t>
        </is>
      </c>
      <c r="G37" s="27" t="inlineStr">
        <is>
          <t>Simulate a network error on the autocomplete endpoint.</t>
        </is>
      </c>
      <c r="H37" s="27" t="inlineStr">
        <is>
          <t>1. Simulate the autocomplete API timing out.
2. Type "sữa" and wait out the debounce.
3. Check the suggestion list.
4. Press Enter on the keyboard.</t>
        </is>
      </c>
      <c r="I37" s="27" t="inlineStr">
        <is>
          <t>"sữa" + suggestion API times out</t>
        </is>
      </c>
      <c r="J37" s="27" t="inlineStr">
        <is>
          <t>Step 3: no suggestion list shows (no crash, no visible UI error). Step 4: pressing Enter still runs a normal search for "sữa", regardless of whether autocomplete failed.</t>
        </is>
      </c>
      <c r="K37" s="27" t="inlineStr">
        <is>
          <t>High</t>
        </is>
      </c>
      <c r="L37" s="28" t="n"/>
      <c r="M37" s="28" t="inlineStr">
        <is>
          <t>Not Run</t>
        </is>
      </c>
      <c r="N37" s="28" t="n"/>
      <c r="O37" s="28" t="n"/>
      <c r="P37" s="27" t="n"/>
      <c r="Q37" s="27" t="n"/>
    </row>
    <row r="38" ht="46.25" customHeight="1" s="17">
      <c r="A38" s="27" t="inlineStr">
        <is>
          <t>SS-SCR-003-SC1-TC1</t>
        </is>
      </c>
      <c r="B38" s="27" t="inlineStr">
        <is>
          <t>SS-SCR-003-SC1</t>
        </is>
      </c>
      <c r="C38" s="27" t="inlineStr">
        <is>
          <t>SS-SCR-003</t>
        </is>
      </c>
      <c r="D38" s="27" t="inlineStr">
        <is>
          <t>FR-AC-01, FR-AC-03</t>
        </is>
      </c>
      <c r="E38" s="27" t="inlineStr">
        <is>
          <t>Typo</t>
        </is>
      </c>
      <c r="F38" s="27" t="inlineStr">
        <is>
          <t>Correction banner appears, input is not auto-overwritten</t>
        </is>
      </c>
      <c r="G38" s="27" t="inlineStr">
        <is>
          <t>The fuzzy-match engine is running.</t>
        </is>
      </c>
      <c r="H38" s="27" t="inlineStr">
        <is>
          <t>1. Open Autocomplete.
2. Type "sua toui".
3. Check the input box content and the correction banner.
4. Tap the corrected keyword link ("sữa tươi").</t>
        </is>
      </c>
      <c r="I38" s="27" t="inlineStr">
        <is>
          <t>"sua toui"</t>
        </is>
      </c>
      <c r="J38" s="27" t="inlineStr">
        <is>
          <t>Step 3: the input box still shows exactly "sua toui"; the banner shows the suggestion "sữa tươi". Step 4: the app searches for "sữa tươi" and moves to the results page (SS-SCR-005).</t>
        </is>
      </c>
      <c r="K38" s="27" t="inlineStr">
        <is>
          <t>High</t>
        </is>
      </c>
      <c r="L38" s="28" t="n"/>
      <c r="M38" s="28" t="inlineStr">
        <is>
          <t>Not Run</t>
        </is>
      </c>
      <c r="N38" s="28" t="n"/>
      <c r="O38" s="28" t="n"/>
      <c r="P38" s="27" t="n"/>
      <c r="Q38" s="27" t="n"/>
    </row>
    <row r="39" ht="68.65000000000001" customHeight="1" s="17">
      <c r="A39" s="27" t="inlineStr">
        <is>
          <t>SS-SCR-003-SC1-TC2</t>
        </is>
      </c>
      <c r="B39" s="27" t="inlineStr">
        <is>
          <t>SS-SCR-003-SC1</t>
        </is>
      </c>
      <c r="C39" s="27" t="inlineStr">
        <is>
          <t>SS-SCR-003</t>
        </is>
      </c>
      <c r="D39" s="27" t="inlineStr">
        <is>
          <t>FR-AC-01, FR-AC-03</t>
        </is>
      </c>
      <c r="E39" s="27" t="inlineStr">
        <is>
          <t>Negative</t>
        </is>
      </c>
      <c r="F39" s="27" t="inlineStr">
        <is>
          <t>Close the banner with the "X" button — no auto-correction happens</t>
        </is>
      </c>
      <c r="G39" s="27" t="inlineStr">
        <is>
          <t>The fuzzy-match engine is running.</t>
        </is>
      </c>
      <c r="H39" s="27" t="inlineStr">
        <is>
          <t>1. Type "sua toui", wait for the banner.
2. Tap the "X" on the banner.
3. Check the UI, then keep typing more characters.</t>
        </is>
      </c>
      <c r="I39" s="27" t="inlineStr">
        <is>
          <t>"sua toui" + tap X</t>
        </is>
      </c>
      <c r="J39" s="27" t="inlineStr">
        <is>
          <t>Banner closes right away. The input field still shows the shopper's original text "sua toui". Nothing was auto-redirected or auto-overwritten.</t>
        </is>
      </c>
      <c r="K39" s="27" t="inlineStr">
        <is>
          <t>Medium</t>
        </is>
      </c>
      <c r="L39" s="28" t="n"/>
      <c r="M39" s="28" t="inlineStr">
        <is>
          <t>Not Run</t>
        </is>
      </c>
      <c r="N39" s="28" t="n"/>
      <c r="O39" s="28" t="n"/>
      <c r="P39" s="27" t="n"/>
      <c r="Q39" s="27" t="n"/>
    </row>
    <row r="40" ht="46.25" customHeight="1" s="17">
      <c r="A40" s="27" t="inlineStr">
        <is>
          <t>SS-SCR-003-SC2-TC1</t>
        </is>
      </c>
      <c r="B40" s="27" t="inlineStr">
        <is>
          <t>SS-SCR-003-SC2</t>
        </is>
      </c>
      <c r="C40" s="27" t="inlineStr">
        <is>
          <t>SS-SCR-003</t>
        </is>
      </c>
      <c r="D40" s="27" t="inlineStr">
        <is>
          <t>FR-AC-01, FR-AC-03</t>
        </is>
      </c>
      <c r="E40" s="27" t="inlineStr">
        <is>
          <t>Exception</t>
        </is>
      </c>
      <c r="F40" s="27" t="inlineStr">
        <is>
          <t>No banner shown when the query is already a valid brand/dictionary term</t>
        </is>
      </c>
      <c r="G40" s="27" t="inlineStr">
        <is>
          <t>"Milo" exists as a valid brand/catalogue term.</t>
        </is>
      </c>
      <c r="H40" s="27" t="inlineStr">
        <is>
          <t>1. Open Autocomplete.
2. Type "Milo".
3. Check whether the correction banner shows or not.</t>
        </is>
      </c>
      <c r="I40" s="27" t="inlineStr">
        <is>
          <t>"Milo"</t>
        </is>
      </c>
      <c r="J40" s="27" t="inlineStr">
        <is>
          <t>No correction banner appears at all — matches FR-AC-03: "the system hides the correction banner if the query is already a valid product term, brand name, or dictionary word".</t>
        </is>
      </c>
      <c r="K40" s="27" t="inlineStr">
        <is>
          <t>Medium</t>
        </is>
      </c>
      <c r="L40" s="28" t="n"/>
      <c r="M40" s="28" t="inlineStr">
        <is>
          <t>Not Run</t>
        </is>
      </c>
      <c r="N40" s="28" t="n"/>
      <c r="O40" s="28" t="n"/>
      <c r="P40" s="27" t="n"/>
      <c r="Q40" s="27" t="n"/>
    </row>
    <row r="41" ht="35.05" customHeight="1" s="17">
      <c r="A41" s="27" t="inlineStr">
        <is>
          <t>SS-SCR-003-SC3-TC1</t>
        </is>
      </c>
      <c r="B41" s="27" t="inlineStr">
        <is>
          <t>SS-SCR-003-SC3</t>
        </is>
      </c>
      <c r="C41" s="27" t="inlineStr">
        <is>
          <t>SS-SCR-003</t>
        </is>
      </c>
      <c r="D41" s="27" t="inlineStr">
        <is>
          <t>FR-AC-01, FR-AC-03</t>
        </is>
      </c>
      <c r="E41" s="27" t="inlineStr">
        <is>
          <t>Edge</t>
        </is>
      </c>
      <c r="F41" s="27" t="inlineStr">
        <is>
          <t>The banner updates as the shopper keeps typing</t>
        </is>
      </c>
      <c r="G41" s="27" t="inlineStr">
        <is>
          <t>The correction banner is currently showing for "sua toui".</t>
        </is>
      </c>
      <c r="H41" s="27" t="inlineStr">
        <is>
          <t>1. Type "sua toui", wait for the "sữa tươi" banner.
2. Keep typing to make it "sua tuoi khong duong", without tapping the banner.
3. Check the banner content after the extra typing.</t>
        </is>
      </c>
      <c r="I41" s="27" t="inlineStr">
        <is>
          <t>"sua toui" then "sua tuoi khong duong"</t>
        </is>
      </c>
      <c r="J41" s="27" t="inlineStr">
        <is>
          <t>The banner updates with a new suggestion matching the full current text (e.g. "sữa tươi không đường"), not still showing the old "sữa tươi" suggestion.</t>
        </is>
      </c>
      <c r="K41" s="27" t="inlineStr">
        <is>
          <t>Medium</t>
        </is>
      </c>
      <c r="L41" s="28" t="n"/>
      <c r="M41" s="28" t="inlineStr">
        <is>
          <t>Not Run</t>
        </is>
      </c>
      <c r="N41" s="28" t="n"/>
      <c r="O41" s="28" t="n"/>
      <c r="P41" s="27" t="n"/>
      <c r="Q41" s="27" t="n"/>
    </row>
    <row r="42" ht="35.05" customHeight="1" s="17">
      <c r="A42" s="27" t="inlineStr">
        <is>
          <t>SS-SCR-003-SC4-TC1</t>
        </is>
      </c>
      <c r="B42" s="27" t="inlineStr">
        <is>
          <t>SS-SCR-003-SC4</t>
        </is>
      </c>
      <c r="C42" s="27" t="inlineStr">
        <is>
          <t>SS-SCR-003</t>
        </is>
      </c>
      <c r="D42" s="27" t="inlineStr">
        <is>
          <t>FR-AC-01, FR-AC-03</t>
        </is>
      </c>
      <c r="E42" s="27" t="inlineStr">
        <is>
          <t>Multilingual</t>
        </is>
      </c>
      <c r="F42" s="27" t="inlineStr">
        <is>
          <t>Detects a spelling error for an English keyword while the UI is Vietnamese</t>
        </is>
      </c>
      <c r="G42" s="27" t="inlineStr">
        <is>
          <t>UI language = VI; "milkk" is "milk" with one extra letter.</t>
        </is>
      </c>
      <c r="H42" s="27" t="inlineStr">
        <is>
          <t>1. Set UI language = VI.
2. Type "milkk" (one extra k).
3. Check the correction banner.</t>
        </is>
      </c>
      <c r="I42" s="27" t="inlineStr">
        <is>
          <t>"milkk" (UI=VI)</t>
        </is>
      </c>
      <c r="J42" s="27" t="inlineStr">
        <is>
          <t>The banner correctly suggests "milk", not skipped just because the input is English while the UI is Vietnamese.</t>
        </is>
      </c>
      <c r="K42" s="27" t="inlineStr">
        <is>
          <t>Medium</t>
        </is>
      </c>
      <c r="L42" s="28" t="n"/>
      <c r="M42" s="28" t="inlineStr">
        <is>
          <t>Not Run</t>
        </is>
      </c>
      <c r="N42" s="28" t="n"/>
      <c r="O42" s="28" t="n"/>
      <c r="P42" s="27" t="n"/>
      <c r="Q42" s="27" t="n"/>
    </row>
    <row r="43" ht="46.25" customHeight="1" s="17">
      <c r="A43" s="26" t="inlineStr">
        <is>
          <t>SS-SCR-004-SC1-TC1</t>
        </is>
      </c>
      <c r="B43" s="26" t="inlineStr">
        <is>
          <t>SS-SCR-004-SC1</t>
        </is>
      </c>
      <c r="C43" s="26" t="inlineStr">
        <is>
          <t>SS-SCR-004</t>
        </is>
      </c>
      <c r="D43" s="26" t="inlineStr">
        <is>
          <t>FR-GD-01, FR-GD-03 (loading UI — exact NFR ID unconfirmed, see QnA-11)</t>
        </is>
      </c>
      <c r="E43" s="26" t="inlineStr">
        <is>
          <t>Performance</t>
        </is>
      </c>
      <c r="F43" s="26" t="inlineStr">
        <is>
          <t>Loading shows after 300ms; network-error fallback after 5s</t>
        </is>
      </c>
      <c r="G43" s="26" t="inlineStr">
        <is>
          <t>The test device can simulate network delay.</t>
        </is>
      </c>
      <c r="H43" s="26" t="inlineStr">
        <is>
          <t>1. Simulate a 200ms backend delay, do a text search, check if the Loading screen shows.
2. Simulate a 1.5s delay, repeat, check the Loading screen (3-ring ripple + "Searching for you..." message + keyword chip).
3. Simulate a 6s delay, repeat, check the UI after the 5s mark.</t>
        </is>
      </c>
      <c r="I43" s="26" t="inlineStr">
        <is>
          <t>Simulated network delay: 200ms / 1.5s / 6s</t>
        </is>
      </c>
      <c r="J43" s="26" t="inlineStr">
        <is>
          <t>200ms: Loading screen does NOT appear (goes straight to results). 1.5s: Loading screen shows correctly with the ripple + message + keyword chip. 6s: after the 5s mark, the UI switches to a network-error message with a "Try again" button, instead of staying stuck on Loading forever.</t>
        </is>
      </c>
      <c r="K43" s="26" t="inlineStr">
        <is>
          <t>High</t>
        </is>
      </c>
      <c r="L43" s="28" t="n"/>
      <c r="M43" s="28" t="inlineStr">
        <is>
          <t>N/A</t>
        </is>
      </c>
      <c r="N43" s="28" t="n"/>
      <c r="O43" s="28" t="n"/>
      <c r="P43" s="26" t="inlineStr">
        <is>
          <t>QnA-11</t>
        </is>
      </c>
      <c r="Q43" s="26" t="inlineStr">
        <is>
          <t>Note: the storyboard tags this screen with REQ ID 'NFR-SS-01' — this ID does not exist in the BRD v0.0.3 list (NFR-001..014). BA needs to confirm which official NFR applies (likely NFR-001/004/005). See QnA-11.</t>
        </is>
      </c>
    </row>
    <row r="44" ht="57.45" customHeight="1" s="17">
      <c r="A44" s="27" t="inlineStr">
        <is>
          <t>SS-SCR-004-SC1-TC2</t>
        </is>
      </c>
      <c r="B44" s="27" t="inlineStr">
        <is>
          <t>SS-SCR-004-SC1</t>
        </is>
      </c>
      <c r="C44" s="27" t="inlineStr">
        <is>
          <t>SS-SCR-004</t>
        </is>
      </c>
      <c r="D44" s="27" t="inlineStr">
        <is>
          <t>FR-GD-01, FR-GD-03 (loading UI — exact NFR ID unconfirmed, see QnA-11)</t>
        </is>
      </c>
      <c r="E44" s="27" t="inlineStr">
        <is>
          <t>Integration</t>
        </is>
      </c>
      <c r="F44" s="27" t="inlineStr">
        <is>
          <t>The same Loading component is shared by Text/Image/Voice</t>
        </is>
      </c>
      <c r="G44" s="27" t="inlineStr">
        <is>
          <t>The test device can simulate network delay.</t>
        </is>
      </c>
      <c r="H44" s="27" t="inlineStr">
        <is>
          <t>1. Do a text search with more than 300ms delay, screenshot the Loading screen.
2. Do an image search (SS-SCR-013 to SS-SCR-004) with the same delay, screenshot the Loading screen.
3. Do a voice search (SS-SCR-017 to SS-SCR-004) with the same delay, screenshot the Loading screen.
4. Compare the 3 screenshots.</t>
        </is>
      </c>
      <c r="I44" s="27" t="inlineStr">
        <is>
          <t>3 queries with about the same 1.5s delay</t>
        </is>
      </c>
      <c r="J44" s="27" t="inlineStr">
        <is>
          <t>All 3 methods share the same Loading component (3-ring ripple around a magnifying-glass icon + message + waveform); only the keyword chip/recognition content shown differs.</t>
        </is>
      </c>
      <c r="K44" s="27" t="inlineStr">
        <is>
          <t>Low</t>
        </is>
      </c>
      <c r="L44" s="28" t="n"/>
      <c r="M44" s="28" t="inlineStr">
        <is>
          <t>Not Run</t>
        </is>
      </c>
      <c r="N44" s="28" t="n"/>
      <c r="O44" s="28" t="n"/>
      <c r="P44" s="27" t="n"/>
      <c r="Q44" s="27" t="n"/>
    </row>
    <row r="45" ht="79.84999999999999" customHeight="1" s="17">
      <c r="A45" s="27" t="inlineStr">
        <is>
          <t>SS-SCR-004-SC2-TC1</t>
        </is>
      </c>
      <c r="B45" s="27" t="inlineStr">
        <is>
          <t>SS-SCR-004-SC2</t>
        </is>
      </c>
      <c r="C45" s="27" t="inlineStr">
        <is>
          <t>SS-SCR-004</t>
        </is>
      </c>
      <c r="D45" s="27" t="inlineStr">
        <is>
          <t>FR-GD-01, FR-GD-03 (loading UI — exact NFR ID unconfirmed, see QnA-11)</t>
        </is>
      </c>
      <c r="E45" s="27" t="inlineStr">
        <is>
          <t>Edge</t>
        </is>
      </c>
      <c r="F45" s="27" t="inlineStr">
        <is>
          <t>Tapping Back during Loading correctly cancels the request, no stuck screen</t>
        </is>
      </c>
      <c r="G45" s="27" t="inlineStr">
        <is>
          <t>On the Loading screen (SS-SCR-004), waiting for results.</t>
        </is>
      </c>
      <c r="H45" s="27" t="inlineStr">
        <is>
          <t>1. Type a keyword and submit, check it switches to the Loading screen.
2. While Loading is showing, tap the Back button (system or in-app).
3. Check the screen right after tapping Back.
4. Wait a few more seconds, check if the old search result unexpectedly shows up.</t>
        </is>
      </c>
      <c r="I45" s="27" t="inlineStr">
        <is>
          <t>Any keyword, tap Back mid-search</t>
        </is>
      </c>
      <c r="J45" s="27" t="inlineStr">
        <is>
          <t>Correctly goes back to the screen before Loading. Not stuck on Loading. The cancelled request's result does NOT unexpectedly show up afterward (race condition).</t>
        </is>
      </c>
      <c r="K45" s="27" t="inlineStr">
        <is>
          <t>Medium</t>
        </is>
      </c>
      <c r="L45" s="28" t="n"/>
      <c r="M45" s="28" t="inlineStr">
        <is>
          <t>Not Run</t>
        </is>
      </c>
      <c r="N45" s="28" t="n"/>
      <c r="O45" s="28" t="n"/>
      <c r="P45" s="27" t="n"/>
      <c r="Q45" s="27" t="n"/>
    </row>
    <row r="46" ht="57.45" customHeight="1" s="17">
      <c r="A46" s="27" t="inlineStr">
        <is>
          <t>SS-SCR-004-SC3-TC1</t>
        </is>
      </c>
      <c r="B46" s="27" t="inlineStr">
        <is>
          <t>SS-SCR-004-SC3</t>
        </is>
      </c>
      <c r="C46" s="27" t="inlineStr">
        <is>
          <t>SS-SCR-004</t>
        </is>
      </c>
      <c r="D46" s="27" t="inlineStr">
        <is>
          <t>FR-GD-01, FR-GD-03 (loading UI — exact NFR ID unconfirmed, see QnA-11)</t>
        </is>
      </c>
      <c r="E46" s="27" t="inlineStr">
        <is>
          <t>Boundary</t>
        </is>
      </c>
      <c r="F46" s="27" t="inlineStr">
        <is>
          <t>A long keyword chip does not break the Loading screen layout</t>
        </is>
      </c>
      <c r="G46" s="27" t="inlineStr">
        <is>
          <t>On the Loading screen.</t>
        </is>
      </c>
      <c r="H46" s="27" t="inlineStr">
        <is>
          <t>1. Search a very long keyword (about 60 characters).
2. Check the keyword chip shown on the Loading screen.</t>
        </is>
      </c>
      <c r="I46" s="27" t="inlineStr">
        <is>
          <t>A 60-character string</t>
        </is>
      </c>
      <c r="J46" s="27" t="inlineStr">
        <is>
          <t>The chip shows a sensibly shortened version (with an ellipsis "..."), without overflowing the screen or pushing other elements out of place.</t>
        </is>
      </c>
      <c r="K46" s="27" t="inlineStr">
        <is>
          <t>Low</t>
        </is>
      </c>
      <c r="L46" s="28" t="n"/>
      <c r="M46" s="28" t="inlineStr">
        <is>
          <t>Not Run</t>
        </is>
      </c>
      <c r="N46" s="28" t="n"/>
      <c r="O46" s="28" t="n"/>
      <c r="P46" s="27" t="n"/>
      <c r="Q46" s="27" t="n"/>
    </row>
    <row r="47" ht="57.45" customHeight="1" s="17">
      <c r="A47" s="26" t="inlineStr">
        <is>
          <t>SS-SCR-005-SC1-TC1</t>
        </is>
      </c>
      <c r="B47" s="26" t="inlineStr">
        <is>
          <t>SS-SCR-005-SC1</t>
        </is>
      </c>
      <c r="C47" s="26" t="inlineStr">
        <is>
          <t>SS-SCR-005</t>
        </is>
      </c>
      <c r="D47" s="26" t="inlineStr">
        <is>
          <t>FR-PR-01, FR-PR-02, FR-PR-05, FR-PR-07, FR-SF-01</t>
        </is>
      </c>
      <c r="E47" s="26" t="inlineStr">
        <is>
          <t>Functional</t>
        </is>
      </c>
      <c r="F47" s="26" t="inlineStr">
        <is>
          <t>Sticky Sort/Filter bar while scrolling the results</t>
        </is>
      </c>
      <c r="G47" s="26" t="inlineStr">
        <is>
          <t>Search results have loaded.</t>
        </is>
      </c>
      <c r="H47" s="26" t="inlineStr">
        <is>
          <t>1. Search "sữa", go to the grid results page.
2. Scroll down through the product list.
3. Check the Sort &amp; Filter bar.</t>
        </is>
      </c>
      <c r="I47" s="26" t="inlineStr">
        <is>
          <t>"sữa"</t>
        </is>
      </c>
      <c r="J47" s="26" t="inlineStr">
        <is>
          <t>The Sort &amp; Filter bar stays visible (sticky) at the top of the content area even after scrolling far down. "Filter" opens SS-SCR-009, "Most Relevant" opens the sort screen (see QnA-14 about SS-SCR-007).</t>
        </is>
      </c>
      <c r="K47" s="26" t="inlineStr">
        <is>
          <t>Medium</t>
        </is>
      </c>
      <c r="L47" s="28" t="n"/>
      <c r="M47" s="28" t="inlineStr">
        <is>
          <t>N/A</t>
        </is>
      </c>
      <c r="N47" s="28" t="n"/>
      <c r="O47" s="28" t="n"/>
      <c r="P47" s="26" t="inlineStr">
        <is>
          <t>QnA-14</t>
        </is>
      </c>
      <c r="Q47" s="26" t="n"/>
    </row>
    <row r="48" ht="46.25" customHeight="1" s="17">
      <c r="A48" s="27" t="inlineStr">
        <is>
          <t>SS-SCR-005-SC1-TC2</t>
        </is>
      </c>
      <c r="B48" s="27" t="inlineStr">
        <is>
          <t>SS-SCR-005-SC1</t>
        </is>
      </c>
      <c r="C48" s="27" t="inlineStr">
        <is>
          <t>SS-SCR-005</t>
        </is>
      </c>
      <c r="D48" s="27" t="inlineStr">
        <is>
          <t>FR-PR-01, FR-PR-02, FR-PR-05, FR-PR-07, FR-SF-01</t>
        </is>
      </c>
      <c r="E48" s="27" t="inlineStr">
        <is>
          <t>Boundary</t>
        </is>
      </c>
      <c r="F48" s="27" t="inlineStr">
        <is>
          <t>Grid/List view toggle is remembered for the session</t>
        </is>
      </c>
      <c r="G48" s="27" t="inlineStr">
        <is>
          <t>Search results have loaded.</t>
        </is>
      </c>
      <c r="H48" s="27" t="inlineStr">
        <is>
          <t>1. On the results page (default Grid), tap the toggle to switch to List (SS-SCR-006).
2. Leave the results page, search a different keyword.
3. Go to the new results page.</t>
        </is>
      </c>
      <c r="I48" s="27" t="inlineStr">
        <is>
          <t>Switch Grid to List once</t>
        </is>
      </c>
      <c r="J48" s="27" t="inlineStr">
        <is>
          <t>The new keyword's results page correctly opens in List view (the choice is remembered from the shopper's last selection, saved in local storage) — matches FR-PR-07.</t>
        </is>
      </c>
      <c r="K48" s="27" t="inlineStr">
        <is>
          <t>Medium</t>
        </is>
      </c>
      <c r="L48" s="28" t="n"/>
      <c r="M48" s="28" t="inlineStr">
        <is>
          <t>Not Run</t>
        </is>
      </c>
      <c r="N48" s="28" t="n"/>
      <c r="O48" s="28" t="n"/>
      <c r="P48" s="27" t="n"/>
      <c r="Q48" s="27" t="n"/>
    </row>
    <row r="49" ht="57.45" customHeight="1" s="17">
      <c r="A49" s="27" t="inlineStr">
        <is>
          <t>SS-SCR-005-SC2-TC1</t>
        </is>
      </c>
      <c r="B49" s="27" t="inlineStr">
        <is>
          <t>SS-SCR-005-SC2</t>
        </is>
      </c>
      <c r="C49" s="27" t="inlineStr">
        <is>
          <t>SS-SCR-005</t>
        </is>
      </c>
      <c r="D49" s="27" t="inlineStr">
        <is>
          <t>FR-PR-01, FR-PR-02, FR-PR-05, FR-PR-07, FR-SF-01</t>
        </is>
      </c>
      <c r="E49" s="27" t="inlineStr">
        <is>
          <t>Sponsored</t>
        </is>
      </c>
      <c r="F49" s="27" t="inlineStr">
        <is>
          <t>The Sponsored label is clearly visible, never hidden</t>
        </is>
      </c>
      <c r="G49" s="27" t="inlineStr">
        <is>
          <t>1 or more sponsored products are in the result set.</t>
        </is>
      </c>
      <c r="H49" s="27" t="inlineStr">
        <is>
          <t>1. Search "sữa chua" while a sponsored campaign is active.
2. Find the card(s) tagged Sponsored.
3. Check that the label is not covered by the product photo, discount badge, or the (+) button, in both Grid and List view.</t>
        </is>
      </c>
      <c r="I49" s="27" t="inlineStr">
        <is>
          <t>"sữa chua", 1 or more sponsored SKUs</t>
        </is>
      </c>
      <c r="J49" s="27" t="inlineStr">
        <is>
          <t>The "Sponsored" label is fully visible, not overlapped or hidden by other elements, in both view modes — matches the required ad-transparency rule (FR-PR-05).</t>
        </is>
      </c>
      <c r="K49" s="27" t="inlineStr">
        <is>
          <t>High</t>
        </is>
      </c>
      <c r="L49" s="28" t="n"/>
      <c r="M49" s="28" t="inlineStr">
        <is>
          <t>Not Run</t>
        </is>
      </c>
      <c r="N49" s="28" t="n"/>
      <c r="O49" s="28" t="n"/>
      <c r="P49" s="27" t="n"/>
      <c r="Q49" s="27" t="n"/>
    </row>
    <row r="50" ht="57.45" customHeight="1" s="17">
      <c r="A50" s="26" t="inlineStr">
        <is>
          <t>SS-SCR-005-SC2-TC2</t>
        </is>
      </c>
      <c r="B50" s="26" t="inlineStr">
        <is>
          <t>SS-SCR-005-SC2</t>
        </is>
      </c>
      <c r="C50" s="26" t="inlineStr">
        <is>
          <t>SS-SCR-005</t>
        </is>
      </c>
      <c r="D50" s="26" t="inlineStr">
        <is>
          <t>FR-PR-01, FR-PR-02, FR-PR-05, FR-PR-07, FR-SF-01</t>
        </is>
      </c>
      <c r="E50" s="26" t="inlineStr">
        <is>
          <t>Boundary</t>
        </is>
      </c>
      <c r="F50" s="26" t="inlineStr">
        <is>
          <t>An out-of-stock Sponsored product still sinks below in-stock items</t>
        </is>
      </c>
      <c r="G50" s="26" t="inlineStr">
        <is>
          <t>1 or more sponsored products are in the result set.</t>
        </is>
      </c>
      <c r="H50" s="26" t="inlineStr">
        <is>
          <t>1. Set 1 Sponsored SKU to stock = 0.
2. Search a keyword that triggers that SKU's campaign.
3. Check its position compared to in-stock SKUs (sponsored or not).</t>
        </is>
      </c>
      <c r="I50" s="26" t="inlineStr">
        <is>
          <t>A Sponsored SKU, stock = 0</t>
        </is>
      </c>
      <c r="J50" s="26" t="inlineStr">
        <is>
          <t>The out-of-stock Sponsored SKU still ranks below all in-stock SKUs, no matter that it's sponsored — the out-of-stock override rule applies to sponsored products too.</t>
        </is>
      </c>
      <c r="K50" s="26" t="inlineStr">
        <is>
          <t>High</t>
        </is>
      </c>
      <c r="L50" s="28" t="n"/>
      <c r="M50" s="28" t="inlineStr">
        <is>
          <t>N/A</t>
        </is>
      </c>
      <c r="N50" s="28" t="n"/>
      <c r="O50" s="28" t="n"/>
      <c r="P50" s="26" t="inlineStr">
        <is>
          <t>QnA-07</t>
        </is>
      </c>
      <c r="Q50" s="26" t="inlineStr">
        <is>
          <t>Whether the insertion slot is fixed or auction-based is still TBD, see QnA-07.</t>
        </is>
      </c>
    </row>
    <row r="51" ht="57.45" customHeight="1" s="17">
      <c r="A51" s="27" t="inlineStr">
        <is>
          <t>SS-SCR-005-SC3-TC1</t>
        </is>
      </c>
      <c r="B51" s="27" t="inlineStr">
        <is>
          <t>SS-SCR-005-SC3</t>
        </is>
      </c>
      <c r="C51" s="27" t="inlineStr">
        <is>
          <t>SS-SCR-005</t>
        </is>
      </c>
      <c r="D51" s="27" t="inlineStr">
        <is>
          <t>FR-PR-01, FR-PR-02, FR-PR-05, FR-PR-07, FR-SF-01</t>
        </is>
      </c>
      <c r="E51" s="27" t="inlineStr">
        <is>
          <t>Functional</t>
        </is>
      </c>
      <c r="F51" s="27" t="inlineStr">
        <is>
          <t>Tapping a Product Card (outside the + button) opens the correct PDP</t>
        </is>
      </c>
      <c r="G51" s="27" t="inlineStr">
        <is>
          <t>The results page has loaded.</t>
        </is>
      </c>
      <c r="H51" s="27" t="inlineStr">
        <is>
          <t>1. On the "sữa" results page, tap the photo/name area of 1 card (not the + button).
2. Check the page that opens.</t>
        </is>
      </c>
      <c r="I51" s="27" t="inlineStr">
        <is>
          <t>Any card</t>
        </is>
      </c>
      <c r="J51" s="27" t="inlineStr">
        <is>
          <t>Opens the correct PDP for the tapped product. Does not accidentally trigger add-to-cart.</t>
        </is>
      </c>
      <c r="K51" s="27" t="inlineStr">
        <is>
          <t>High</t>
        </is>
      </c>
      <c r="L51" s="28" t="n"/>
      <c r="M51" s="28" t="inlineStr">
        <is>
          <t>Not Run</t>
        </is>
      </c>
      <c r="N51" s="28" t="n"/>
      <c r="O51" s="28" t="n"/>
      <c r="P51" s="27" t="n"/>
      <c r="Q51" s="27" t="n"/>
    </row>
    <row r="52" ht="57.45" customHeight="1" s="17">
      <c r="A52" s="27" t="inlineStr">
        <is>
          <t>SS-SCR-005-SC3-TC2</t>
        </is>
      </c>
      <c r="B52" s="27" t="inlineStr">
        <is>
          <t>SS-SCR-005-SC3</t>
        </is>
      </c>
      <c r="C52" s="27" t="inlineStr">
        <is>
          <t>SS-SCR-005</t>
        </is>
      </c>
      <c r="D52" s="27" t="inlineStr">
        <is>
          <t>FR-PR-01, FR-PR-02, FR-PR-05, FR-PR-07, FR-SF-01</t>
        </is>
      </c>
      <c r="E52" s="27" t="inlineStr">
        <is>
          <t>Functional</t>
        </is>
      </c>
      <c r="F52" s="27" t="inlineStr">
        <is>
          <t>The Search Bar's (X) button clears the keyword and reopens Autocomplete</t>
        </is>
      </c>
      <c r="G52" s="27" t="inlineStr">
        <is>
          <t>The results page has loaded.</t>
        </is>
      </c>
      <c r="H52" s="27" t="inlineStr">
        <is>
          <t>1. On the "sữa" results page, tap the (X) on the Search Bar.
2. Check the UI right after clearing it.</t>
        </is>
      </c>
      <c r="I52" s="27" t="inlineStr">
        <is>
          <t>Keyword "sữa"</t>
        </is>
      </c>
      <c r="J52" s="27" t="inlineStr">
        <is>
          <t>The input is cleared. The app switches to the typing state (Autocomplete screen, keyboard shown), not just showing an empty results page.</t>
        </is>
      </c>
      <c r="K52" s="27" t="inlineStr">
        <is>
          <t>Medium</t>
        </is>
      </c>
      <c r="L52" s="28" t="n"/>
      <c r="M52" s="28" t="inlineStr">
        <is>
          <t>Not Run</t>
        </is>
      </c>
      <c r="N52" s="28" t="n"/>
      <c r="O52" s="28" t="n"/>
      <c r="P52" s="27" t="n"/>
      <c r="Q52" s="27" t="n"/>
    </row>
    <row r="53" ht="46.25" customHeight="1" s="17">
      <c r="A53" s="27" t="inlineStr">
        <is>
          <t>SS-SCR-005-SC4-TC1</t>
        </is>
      </c>
      <c r="B53" s="27" t="inlineStr">
        <is>
          <t>SS-SCR-005-SC4</t>
        </is>
      </c>
      <c r="C53" s="27" t="inlineStr">
        <is>
          <t>SS-SCR-005</t>
        </is>
      </c>
      <c r="D53" s="27" t="inlineStr">
        <is>
          <t>FR-PR-01, FR-PR-02, FR-PR-05, FR-PR-07, FR-SF-01</t>
        </is>
      </c>
      <c r="E53" s="27" t="inlineStr">
        <is>
          <t>Boundary</t>
        </is>
      </c>
      <c r="F53" s="27" t="inlineStr">
        <is>
          <t>Shows the correct total result count at 1 and at a large number (over 999)</t>
        </is>
      </c>
      <c r="G53" s="27" t="inlineStr">
        <is>
          <t>Three different query cases.</t>
        </is>
      </c>
      <c r="H53" s="27" t="inlineStr">
        <is>
          <t>1. Search a keyword that matches exactly 1 product, check the total-count line.
2. Search a common keyword matching over 999 products, check the number format.</t>
        </is>
      </c>
      <c r="I53" s="27" t="inlineStr">
        <is>
          <t>A 1-result keyword / a 999+-result keyword</t>
        </is>
      </c>
      <c r="J53" s="27" t="inlineStr">
        <is>
          <t>Case 1: shows "1 product". Case 2: shows the correct large number with thousands separators (e.g. "1,245 products"), not cut off or overflowing the UI.</t>
        </is>
      </c>
      <c r="K53" s="27" t="inlineStr">
        <is>
          <t>Low</t>
        </is>
      </c>
      <c r="L53" s="28" t="n"/>
      <c r="M53" s="28" t="inlineStr">
        <is>
          <t>Not Run</t>
        </is>
      </c>
      <c r="N53" s="28" t="n"/>
      <c r="O53" s="28" t="n"/>
      <c r="P53" s="27" t="n"/>
      <c r="Q53" s="27" t="n"/>
    </row>
    <row r="54" ht="68.65000000000001" customHeight="1" s="17">
      <c r="A54" s="26" t="inlineStr">
        <is>
          <t>SS-SCR-005-SC5-TC1</t>
        </is>
      </c>
      <c r="B54" s="26" t="inlineStr">
        <is>
          <t>SS-SCR-005-SC5</t>
        </is>
      </c>
      <c r="C54" s="26" t="inlineStr">
        <is>
          <t>SS-SCR-005</t>
        </is>
      </c>
      <c r="D54" s="26" t="inlineStr">
        <is>
          <t>FR-PR-01, FR-PR-02, FR-PR-05, FR-PR-07, FR-SF-01</t>
        </is>
      </c>
      <c r="E54" s="26" t="inlineStr">
        <is>
          <t>Sponsored</t>
        </is>
      </c>
      <c r="F54" s="26" t="inlineStr">
        <is>
          <t>Several Sponsored SKUs at once all show the correct label, none missing</t>
        </is>
      </c>
      <c r="G54" s="26" t="inlineStr">
        <is>
          <t>Several ad campaigns are running for the same keyword.</t>
        </is>
      </c>
      <c r="H54" s="26" t="inlineStr">
        <is>
          <t>1. Set up 3 SKUs sponsored for the same keyword "sữa".
2. Search "sữa".
3. Check each sponsored SKU in the results has the "Sponsored" label.</t>
        </is>
      </c>
      <c r="I54" s="26" t="inlineStr">
        <is>
          <t>3 sponsored SKUs</t>
        </is>
      </c>
      <c r="J54" s="26" t="inlineStr">
        <is>
          <t>All 3 SKUs show a clear "Sponsored" label, none missing it, and no 2 SKUs share one merged label.</t>
        </is>
      </c>
      <c r="K54" s="26" t="inlineStr">
        <is>
          <t>Medium</t>
        </is>
      </c>
      <c r="L54" s="28" t="n"/>
      <c r="M54" s="28" t="inlineStr">
        <is>
          <t>N/A</t>
        </is>
      </c>
      <c r="N54" s="28" t="n"/>
      <c r="O54" s="28" t="n"/>
      <c r="P54" s="26" t="inlineStr">
        <is>
          <t>QnA-07</t>
        </is>
      </c>
      <c r="Q54" s="26" t="inlineStr">
        <is>
          <t>The relative order between sponsored SKUs (by auction or by campaign creation time) is still TBD, see QnA-07.</t>
        </is>
      </c>
    </row>
    <row r="55" ht="46.25" customHeight="1" s="17">
      <c r="A55" s="26" t="inlineStr">
        <is>
          <t>SS-SCR-005-SC6-TC1</t>
        </is>
      </c>
      <c r="B55" s="26" t="inlineStr">
        <is>
          <t>SS-SCR-005-SC6</t>
        </is>
      </c>
      <c r="C55" s="26" t="inlineStr">
        <is>
          <t>SS-SCR-005</t>
        </is>
      </c>
      <c r="D55" s="26" t="inlineStr">
        <is>
          <t>FR-PR-01, FR-PR-02, FR-PR-05, FR-PR-07, FR-SF-01</t>
        </is>
      </c>
      <c r="E55" s="26" t="inlineStr">
        <is>
          <t>Functional</t>
        </is>
      </c>
      <c r="F55" s="26" t="inlineStr">
        <is>
          <t>Switching from Text results to Voice/Image search — filter/sort state not confirmed</t>
        </is>
      </c>
      <c r="G55" s="26" t="inlineStr">
        <is>
          <t>On the Text Search results page.</t>
        </is>
      </c>
      <c r="H55" s="26" t="inlineStr">
        <is>
          <t>1. On the "sữa" results page, apply the "No sugar" filter and "Price: low to high" sort.
2. Tap the Camera icon on the Search Bar.
3. Do a successful image search, check if the new image results page keeps the old filter/sort.</t>
        </is>
      </c>
      <c r="I55" s="26" t="inlineStr">
        <is>
          <t>Filter=No sugar, Sort=Price ascending, then switch to Image Search</t>
        </is>
      </c>
      <c r="J55" s="26" t="inlineStr">
        <is>
          <t>TBD — there is no documentation on whether the earlier Text Search's filter/sort should carry over when switching to another method (Image/Voice), or auto-reset. Do not mark Pass/Fail until BA confirms. Minimum requirement: no crash; the new image results page works normally whether or not the old filter carries over. See QnA-19.</t>
        </is>
      </c>
      <c r="K55" s="26" t="inlineStr">
        <is>
          <t>Medium</t>
        </is>
      </c>
      <c r="L55" s="28" t="n"/>
      <c r="M55" s="28" t="inlineStr">
        <is>
          <t>N/A</t>
        </is>
      </c>
      <c r="N55" s="28" t="n"/>
      <c r="O55" s="28" t="n"/>
      <c r="P55" s="26" t="inlineStr">
        <is>
          <t>QnA-19</t>
        </is>
      </c>
      <c r="Q55" s="26" t="n"/>
    </row>
    <row r="56" ht="102.2" customHeight="1" s="17">
      <c r="A56" s="27" t="inlineStr">
        <is>
          <t>SS-SCR-006-SC1-TC1</t>
        </is>
      </c>
      <c r="B56" s="27" t="inlineStr">
        <is>
          <t>SS-SCR-006-SC1</t>
        </is>
      </c>
      <c r="C56" s="27" t="inlineStr">
        <is>
          <t>SS-SCR-006</t>
        </is>
      </c>
      <c r="D56" s="27" t="inlineStr">
        <is>
          <t>FR-PR-01, FR-PR-07</t>
        </is>
      </c>
      <c r="E56" s="27" t="inlineStr">
        <is>
          <t>Functional</t>
        </is>
      </c>
      <c r="F56" s="27" t="inlineStr">
        <is>
          <t>Switching view mode does not reset filter/sort</t>
        </is>
      </c>
      <c r="G56" s="27" t="inlineStr">
        <is>
          <t>View mode = List.</t>
        </is>
      </c>
      <c r="H56" s="27" t="inlineStr">
        <is>
          <t>1. On the Grid results, apply the "No sugar" filter and "Price: low to high" sort.
2. Switch to List view.
3. Check the "No sugar" filter chip and the sort label on the sticky bar.</t>
        </is>
      </c>
      <c r="I56" s="27" t="inlineStr">
        <is>
          <t>Filter=No sugar, Sort=Price ascending</t>
        </is>
      </c>
      <c r="J56" s="27" t="inlineStr">
        <is>
          <t>After switching to List, the "No sugar" filter and "Price: low to high" sort are both still applied, not reset to default.</t>
        </is>
      </c>
      <c r="K56" s="27" t="inlineStr">
        <is>
          <t>Medium</t>
        </is>
      </c>
      <c r="L56" s="28" t="n"/>
      <c r="M56" s="28" t="inlineStr">
        <is>
          <t>Not Run</t>
        </is>
      </c>
      <c r="N56" s="28" t="n"/>
      <c r="O56" s="28" t="n"/>
      <c r="P56" s="27" t="n"/>
      <c r="Q56" s="27" t="n"/>
    </row>
    <row r="57" ht="57.45" customHeight="1" s="17">
      <c r="A57" s="27" t="inlineStr">
        <is>
          <t>SS-SCR-006-SC1-TC2</t>
        </is>
      </c>
      <c r="B57" s="27" t="inlineStr">
        <is>
          <t>SS-SCR-006-SC1</t>
        </is>
      </c>
      <c r="C57" s="27" t="inlineStr">
        <is>
          <t>SS-SCR-006</t>
        </is>
      </c>
      <c r="D57" s="27" t="inlineStr">
        <is>
          <t>FR-PR-01, FR-PR-07</t>
        </is>
      </c>
      <c r="E57" s="27" t="inlineStr">
        <is>
          <t>Boundary</t>
        </is>
      </c>
      <c r="F57" s="27" t="inlineStr">
        <is>
          <t>Infinite scroll never duplicates a SKU when loading the next batch</t>
        </is>
      </c>
      <c r="G57" s="27" t="inlineStr">
        <is>
          <t>View mode = List.</t>
        </is>
      </c>
      <c r="H57" s="27" t="inlineStr">
        <is>
          <t>1. Go to the List results page with more than 40 products.
2. Scroll to the end of the first batch, wait for the next batch to load.
3. Record the Product IDs of both batches and compare.</t>
        </is>
      </c>
      <c r="I57" s="27" t="inlineStr">
        <is>
          <t>A result set with more than 40 SKUs</t>
        </is>
      </c>
      <c r="J57" s="27" t="inlineStr">
        <is>
          <t>No Product ID repeats between the two batches. The batch size is consistent with the agreed config (20 or 40 SKUs per batch — see the storyboard note "need to confirm batch size").</t>
        </is>
      </c>
      <c r="K57" s="27" t="inlineStr">
        <is>
          <t>Medium</t>
        </is>
      </c>
      <c r="L57" s="28" t="n"/>
      <c r="M57" s="28" t="inlineStr">
        <is>
          <t>Not Run</t>
        </is>
      </c>
      <c r="N57" s="28" t="n"/>
      <c r="O57" s="28" t="n"/>
      <c r="P57" s="27" t="n"/>
      <c r="Q57" s="27" t="inlineStr">
        <is>
          <t>Batch size (20/40) and what happens if the connection drops mid-load are not confirmed by the storyboard yet; this test case uses whatever the real config is at execution time.</t>
        </is>
      </c>
    </row>
    <row r="58" ht="57.45" customHeight="1" s="17">
      <c r="A58" s="27" t="inlineStr">
        <is>
          <t>SS-SCR-006-SC2-TC1</t>
        </is>
      </c>
      <c r="B58" s="27" t="inlineStr">
        <is>
          <t>SS-SCR-006-SC2</t>
        </is>
      </c>
      <c r="C58" s="27" t="inlineStr">
        <is>
          <t>SS-SCR-006</t>
        </is>
      </c>
      <c r="D58" s="27" t="inlineStr">
        <is>
          <t>FR-PR-01, FR-PR-07</t>
        </is>
      </c>
      <c r="E58" s="27" t="inlineStr">
        <is>
          <t>Edge</t>
        </is>
      </c>
      <c r="F58" s="27" t="inlineStr">
        <is>
          <t>Placeholder shown when a product image fails to load in List view</t>
        </is>
      </c>
      <c r="G58" s="27" t="inlineStr">
        <is>
          <t>The List results page is loading.</t>
        </is>
      </c>
      <c r="H58" s="27" t="inlineStr">
        <is>
          <t>1. Set up 1 SKU with an invalid image URL.
2. Search a keyword matching that SKU, switch to List view.
3. Check the image box for that SKU.</t>
        </is>
      </c>
      <c r="I58" s="27" t="inlineStr">
        <is>
          <t>1 SKU with a broken image</t>
        </is>
      </c>
      <c r="J58" s="27" t="inlineStr">
        <is>
          <t>Shows a neutral placeholder (not the system's default broken-image icon). The name, price, and rating for that row still show fully; the layout stays aligned.</t>
        </is>
      </c>
      <c r="K58" s="27" t="inlineStr">
        <is>
          <t>Medium</t>
        </is>
      </c>
      <c r="L58" s="28" t="n"/>
      <c r="M58" s="28" t="inlineStr">
        <is>
          <t>Not Run</t>
        </is>
      </c>
      <c r="N58" s="28" t="n"/>
      <c r="O58" s="28" t="n"/>
      <c r="P58" s="27" t="n"/>
      <c r="Q58" s="27" t="n"/>
    </row>
    <row r="59" ht="68.65000000000001" customHeight="1" s="17">
      <c r="A59" s="26" t="inlineStr">
        <is>
          <t>SS-SCR-006-SC3-TC1</t>
        </is>
      </c>
      <c r="B59" s="26" t="inlineStr">
        <is>
          <t>SS-SCR-006-SC3</t>
        </is>
      </c>
      <c r="C59" s="26" t="inlineStr">
        <is>
          <t>SS-SCR-006</t>
        </is>
      </c>
      <c r="D59" s="26" t="inlineStr">
        <is>
          <t>FR-PR-01, FR-PR-07</t>
        </is>
      </c>
      <c r="E59" s="26" t="inlineStr">
        <is>
          <t>Boundary</t>
        </is>
      </c>
      <c r="F59" s="26" t="inlineStr">
        <is>
          <t>How to show the rating for a 0-review product — approach not confirmed</t>
        </is>
      </c>
      <c r="G59" s="26" t="inlineStr">
        <is>
          <t>A new product with no reviews yet.</t>
        </is>
      </c>
      <c r="H59" s="26" t="inlineStr">
        <is>
          <t>1. Set up 1 SKU with 0 reviews.
2. Search a keyword matching that SKU, switch to List view.
3. Check the rating area for that SKU.</t>
        </is>
      </c>
      <c r="I59" s="26" t="inlineStr">
        <is>
          <t>1 SKU with 0 reviews</t>
        </is>
      </c>
      <c r="J59" s="26" t="inlineStr">
        <is>
          <t>TBD — the BRD doesn't clearly define how to show 0 reviews (hide the star area entirely, or show "No reviews yet"). Minimum requirement: must NOT show "0.0 stars (0)" or a NaN/empty value that looks bad. See QnA-04 (the group of not-yet-confirmed UI thresholds/rules).</t>
        </is>
      </c>
      <c r="K59" s="26" t="inlineStr">
        <is>
          <t>Low</t>
        </is>
      </c>
      <c r="L59" s="28" t="n"/>
      <c r="M59" s="28" t="inlineStr">
        <is>
          <t>N/A</t>
        </is>
      </c>
      <c r="N59" s="28" t="n"/>
      <c r="O59" s="28" t="n"/>
      <c r="P59" s="26" t="inlineStr">
        <is>
          <t>QnA-35</t>
        </is>
      </c>
      <c r="Q59" s="26" t="n"/>
    </row>
    <row r="60" ht="57.45" customHeight="1" s="17">
      <c r="A60" s="27" t="inlineStr">
        <is>
          <t>SS-SCR-008-SC1-TC1</t>
        </is>
      </c>
      <c r="B60" s="27" t="inlineStr">
        <is>
          <t>SS-SCR-008-SC1</t>
        </is>
      </c>
      <c r="C60" s="27" t="inlineStr">
        <is>
          <t>SS-SCR-008</t>
        </is>
      </c>
      <c r="D60" s="27" t="inlineStr">
        <is>
          <t>FR-SF-02, FR-PR-06</t>
        </is>
      </c>
      <c r="E60" s="27" t="inlineStr">
        <is>
          <t>Sort</t>
        </is>
      </c>
      <c r="F60" s="27" t="inlineStr">
        <is>
          <t>Picking a sort option applies instantly and keeps the filter</t>
        </is>
      </c>
      <c r="G60" s="27" t="inlineStr">
        <is>
          <t>On the results page with a filter already applied.</t>
        </is>
      </c>
      <c r="H60" s="27" t="inlineStr">
        <is>
          <t>1. On the "sữa" results page, apply the "Organic" filter.
2. Open the Sort sheet (tap "Most Relevant" on the sticky bar).
3. Pick "Price: low to high".
4. Check the UI right after picking it.</t>
        </is>
      </c>
      <c r="I60" s="27" t="inlineStr">
        <is>
          <t>Filter=Organic, pick Sort=Price ascending</t>
        </is>
      </c>
      <c r="J60" s="27" t="inlineStr">
        <is>
          <t>The sheet closes immediately, no separate Apply button needed. The list re-runs sorted by ascending price WITHIN the "Organic" filter. It scrolls back to the top. The sticky bar label changes to "Price: low to high".</t>
        </is>
      </c>
      <c r="K60" s="27" t="inlineStr">
        <is>
          <t>High</t>
        </is>
      </c>
      <c r="L60" s="28" t="n"/>
      <c r="M60" s="28" t="inlineStr">
        <is>
          <t>Not Run</t>
        </is>
      </c>
      <c r="N60" s="28" t="n"/>
      <c r="O60" s="28" t="n"/>
      <c r="P60" s="27" t="n"/>
      <c r="Q60" s="27" t="n"/>
    </row>
    <row r="61" ht="57.45" customHeight="1" s="17">
      <c r="A61" s="26" t="inlineStr">
        <is>
          <t>SS-SCR-008-SC1-TC2</t>
        </is>
      </c>
      <c r="B61" s="26" t="inlineStr">
        <is>
          <t>SS-SCR-008-SC1</t>
        </is>
      </c>
      <c r="C61" s="26" t="inlineStr">
        <is>
          <t>SS-SCR-008</t>
        </is>
      </c>
      <c r="D61" s="26" t="inlineStr">
        <is>
          <t>FR-SF-02, FR-PR-06</t>
        </is>
      </c>
      <c r="E61" s="26" t="inlineStr">
        <is>
          <t>Validation</t>
        </is>
      </c>
      <c r="F61" s="26" t="inlineStr">
        <is>
          <t>The 8 sort options match the confirmed spec</t>
        </is>
      </c>
      <c r="G61" s="26" t="inlineStr">
        <is>
          <t>On the results page with a filter already applied.</t>
        </is>
      </c>
      <c r="H61" s="26" t="inlineStr">
        <is>
          <t>1. Open the Sort sheet.
2. Count and compare each option's name against the official confirmed list.</t>
        </is>
      </c>
      <c r="I61" s="26" t="inlineStr">
        <is>
          <t>N/A</t>
        </is>
      </c>
      <c r="J61" s="26" t="inlineStr">
        <is>
          <t>TBD — there is currently a mismatch between the storyboard's 8 options (which include "Most Viewed") and the BRD FR-PR-06 description (which doesn't clearly list "Most Viewed"). Do not mark Pass/Fail until BA confirms the official list. See QnA-15.</t>
        </is>
      </c>
      <c r="K61" s="26" t="inlineStr">
        <is>
          <t>Medium</t>
        </is>
      </c>
      <c r="L61" s="28" t="n"/>
      <c r="M61" s="28" t="inlineStr">
        <is>
          <t>N/A</t>
        </is>
      </c>
      <c r="N61" s="28" t="n"/>
      <c r="O61" s="28" t="n"/>
      <c r="P61" s="26" t="inlineStr">
        <is>
          <t>QnA-15</t>
        </is>
      </c>
      <c r="Q61" s="26" t="inlineStr">
        <is>
          <t>OPEN — waiting for BA confirmation.</t>
        </is>
      </c>
    </row>
    <row r="62" ht="46.25" customHeight="1" s="17">
      <c r="A62" s="27" t="inlineStr">
        <is>
          <t>SS-SCR-008-SC2-TC1</t>
        </is>
      </c>
      <c r="B62" s="27" t="inlineStr">
        <is>
          <t>SS-SCR-008-SC2</t>
        </is>
      </c>
      <c r="C62" s="27" t="inlineStr">
        <is>
          <t>SS-SCR-008</t>
        </is>
      </c>
      <c r="D62" s="27" t="inlineStr">
        <is>
          <t>FR-SF-02, FR-PR-06</t>
        </is>
      </c>
      <c r="E62" s="27" t="inlineStr">
        <is>
          <t>Functional</t>
        </is>
      </c>
      <c r="F62" s="27" t="inlineStr">
        <is>
          <t>Tapping outside the overlay closes the sheet, keeping the old choice</t>
        </is>
      </c>
      <c r="G62" s="27" t="inlineStr">
        <is>
          <t>The Sort bottom sheet is open, current sort = "Most Relevant".</t>
        </is>
      </c>
      <c r="H62" s="27" t="inlineStr">
        <is>
          <t>1. Open the Sort sheet (currently on "Most Relevant").
2. Tap the dark area outside the sheet (without picking a different option).
3. Check the label on the sticky bar after the sheet closes.</t>
        </is>
      </c>
      <c r="I62" s="27" t="inlineStr">
        <is>
          <t>N/A</t>
        </is>
      </c>
      <c r="J62" s="27" t="inlineStr">
        <is>
          <t>The sheet closes; the sticky bar label still says "Most Relevant"; no new query is triggered.</t>
        </is>
      </c>
      <c r="K62" s="27" t="inlineStr">
        <is>
          <t>Low</t>
        </is>
      </c>
      <c r="L62" s="28" t="n"/>
      <c r="M62" s="28" t="inlineStr">
        <is>
          <t>Not Run</t>
        </is>
      </c>
      <c r="N62" s="28" t="n"/>
      <c r="O62" s="28" t="n"/>
      <c r="P62" s="27" t="n"/>
      <c r="Q62" s="27" t="n"/>
    </row>
    <row r="63" ht="46.25" customHeight="1" s="17">
      <c r="A63" s="27" t="inlineStr">
        <is>
          <t>SS-SCR-008-SC3-TC1</t>
        </is>
      </c>
      <c r="B63" s="27" t="inlineStr">
        <is>
          <t>SS-SCR-008-SC3</t>
        </is>
      </c>
      <c r="C63" s="27" t="inlineStr">
        <is>
          <t>SS-SCR-008</t>
        </is>
      </c>
      <c r="D63" s="27" t="inlineStr">
        <is>
          <t>FR-SF-02, FR-PR-06</t>
        </is>
      </c>
      <c r="E63" s="27" t="inlineStr">
        <is>
          <t>Boundary</t>
        </is>
      </c>
      <c r="F63" s="27" t="inlineStr">
        <is>
          <t>Re-selecting the already-active option causes no error/UI flicker</t>
        </is>
      </c>
      <c r="G63" s="27" t="inlineStr">
        <is>
          <t>Currently sorted by "Price: low to high".</t>
        </is>
      </c>
      <c r="H63" s="27" t="inlineStr">
        <is>
          <t>1. Apply the "Price: low to high" sort.
2. Reopen the Sort sheet, tap the same already-active "Price: low to high" option.
3. Check the UI.</t>
        </is>
      </c>
      <c r="I63" s="27" t="inlineStr">
        <is>
          <t>Re-select the already-active option</t>
        </is>
      </c>
      <c r="J63" s="27" t="inlineStr">
        <is>
          <t>The sheet closes normally; the result list does not flicker; the product order stays the same (still correctly ascending by price).</t>
        </is>
      </c>
      <c r="K63" s="27" t="inlineStr">
        <is>
          <t>Low</t>
        </is>
      </c>
      <c r="L63" s="28" t="n"/>
      <c r="M63" s="28" t="inlineStr">
        <is>
          <t>Not Run</t>
        </is>
      </c>
      <c r="N63" s="28" t="n"/>
      <c r="O63" s="28" t="n"/>
      <c r="P63" s="27" t="n"/>
      <c r="Q63" s="27" t="n"/>
    </row>
    <row r="64" ht="79.84999999999999" customHeight="1" s="17">
      <c r="A64" s="27" t="inlineStr">
        <is>
          <t>SS-SCR-009-SC1-TC1</t>
        </is>
      </c>
      <c r="B64" s="27" t="inlineStr">
        <is>
          <t>SS-SCR-009-SC1</t>
        </is>
      </c>
      <c r="C64" s="27" t="inlineStr">
        <is>
          <t>SS-SCR-009</t>
        </is>
      </c>
      <c r="D64" s="27" t="inlineStr">
        <is>
          <t>FR-SF-01, FR-SF-04</t>
        </is>
      </c>
      <c r="E64" s="27" t="inlineStr">
        <is>
          <t>Filter</t>
        </is>
      </c>
      <c r="F64" s="27" t="inlineStr">
        <is>
          <t>Combine several condition groups and apply them together</t>
        </is>
      </c>
      <c r="G64" s="27" t="inlineStr">
        <is>
          <t>Results page has loaded with 1 or more products.</t>
        </is>
      </c>
      <c r="H64" s="27" t="inlineStr">
        <is>
          <t>1. Open Filter from the "sữa" results page.
2. Pick Category "Food &amp; Beverage".
3. Switch to the Tags tab, pick "No sugar" and "Organic" chips.
4. Switch to the Rating tab, pick "4 stars and up".
5. Tap "Apply (n)".</t>
        </is>
      </c>
      <c r="I64" s="27" t="inlineStr">
        <is>
          <t>Category=Food &amp; Beverage; Tags=[No sugar, Organic]; Rating=4+ stars</t>
        </is>
      </c>
      <c r="J64" s="27" t="inlineStr">
        <is>
          <t>The sheet closes, and the results page re-runs the query with all 3 conditions combined (AND). The "Filter" button badge shows the count (3, or n depending on whether each tag counts separately). Result count updates live.</t>
        </is>
      </c>
      <c r="K64" s="27" t="inlineStr">
        <is>
          <t>High</t>
        </is>
      </c>
      <c r="L64" s="28" t="n"/>
      <c r="M64" s="28" t="inlineStr">
        <is>
          <t>Not Run</t>
        </is>
      </c>
      <c r="N64" s="28" t="n"/>
      <c r="O64" s="28" t="n"/>
      <c r="P64" s="27" t="n"/>
      <c r="Q64" s="27" t="n"/>
    </row>
    <row r="65" ht="57.45" customHeight="1" s="17">
      <c r="A65" s="27" t="inlineStr">
        <is>
          <t>SS-SCR-009-SC1-TC2</t>
        </is>
      </c>
      <c r="B65" s="27" t="inlineStr">
        <is>
          <t>SS-SCR-009-SC1</t>
        </is>
      </c>
      <c r="C65" s="27" t="inlineStr">
        <is>
          <t>SS-SCR-009</t>
        </is>
      </c>
      <c r="D65" s="27" t="inlineStr">
        <is>
          <t>FR-SF-01, FR-SF-04</t>
        </is>
      </c>
      <c r="E65" s="27" t="inlineStr">
        <is>
          <t>Validation</t>
        </is>
      </c>
      <c r="F65" s="27" t="inlineStr">
        <is>
          <t>Category is an exclusive tree — only 1 branch can be picked</t>
        </is>
      </c>
      <c r="G65" s="27" t="inlineStr">
        <is>
          <t>Results page has loaded with 1 or more products.</t>
        </is>
      </c>
      <c r="H65" s="27" t="inlineStr">
        <is>
          <t>1. Open Filter, go to the Category tab.
2. Pick "Fresh Food".
3. Pick "Mom &amp; Baby" too, without unpicking the first branch.</t>
        </is>
      </c>
      <c r="I65" s="27" t="inlineStr">
        <is>
          <t>Pick 2 Category branches in a row</t>
        </is>
      </c>
      <c r="J65" s="27" t="inlineStr">
        <is>
          <t>Picking the second branch automatically unpicks the first one — only 1 Category branch can be active at a time (an exclusive tree structure, unlike Tags which are flat and multi-select).</t>
        </is>
      </c>
      <c r="K65" s="27" t="inlineStr">
        <is>
          <t>Medium</t>
        </is>
      </c>
      <c r="L65" s="28" t="n"/>
      <c r="M65" s="28" t="inlineStr">
        <is>
          <t>Not Run</t>
        </is>
      </c>
      <c r="N65" s="28" t="n"/>
      <c r="O65" s="28" t="n"/>
      <c r="P65" s="27" t="n"/>
      <c r="Q65" s="27" t="n"/>
    </row>
    <row r="66" ht="57.45" customHeight="1" s="17">
      <c r="A66" s="26" t="inlineStr">
        <is>
          <t>SS-SCR-009-SC1-TC3</t>
        </is>
      </c>
      <c r="B66" s="26" t="inlineStr">
        <is>
          <t>SS-SCR-009-SC1</t>
        </is>
      </c>
      <c r="C66" s="26" t="inlineStr">
        <is>
          <t>SS-SCR-009</t>
        </is>
      </c>
      <c r="D66" s="26" t="inlineStr">
        <is>
          <t>FR-SF-01, FR-SF-04</t>
        </is>
      </c>
      <c r="E66" s="26" t="inlineStr">
        <is>
          <t>Validation</t>
        </is>
      </c>
      <c r="F66" s="26" t="inlineStr">
        <is>
          <t>Fixed bottom action bar ("Reset"/"Apply") — re-checked against the real Figma photo</t>
        </is>
      </c>
      <c r="G66" s="26" t="inlineStr">
        <is>
          <t>Results page has loaded with 1 or more products.</t>
        </is>
      </c>
      <c r="H66" s="26" t="inlineStr">
        <is>
          <t>1. Open Filter.
2. Scroll to the bottom of the sheet on different screen sizes.
3. Check if the "Reset" and "Apply" buttons always stay visible (sticky) or scroll out of view.</t>
        </is>
      </c>
      <c r="I66" s="26" t="inlineStr">
        <is>
          <t>N/A</t>
        </is>
      </c>
      <c r="J66" s="26" t="inlineStr">
        <is>
          <t>The real Figma photo (Text Search.png) AND the updated storyboard (v0.1-20260819) now agree: the Filter sheet DOES have a fixed bottom action bar with a "Reset" (outline) button on the left and an "Apply" (solid red, full-width) button on the right, always visible regardless of scroll position (sticky). The source conflict is resolved — this can now be scored Pass/Fail normally. See QnA-18 (now Resolved).</t>
        </is>
      </c>
      <c r="K66" s="26" t="inlineStr">
        <is>
          <t>Medium</t>
        </is>
      </c>
      <c r="L66" s="28" t="n"/>
      <c r="M66" s="28" t="inlineStr">
        <is>
          <t>Not Run</t>
        </is>
      </c>
      <c r="N66" s="28" t="n"/>
      <c r="O66" s="28" t="n"/>
      <c r="P66" s="26" t="inlineStr">
        <is>
          <t>QnA-18</t>
        </is>
      </c>
      <c r="Q66" s="26" t="inlineStr">
        <is>
          <t>RESOLVED — QnA-18: xem chi tiết trong file QnA log. Both sources (Figma + the updated storyboard) now agree.</t>
        </is>
      </c>
    </row>
    <row r="67" ht="68.65000000000001" customHeight="1" s="17">
      <c r="A67" s="27" t="inlineStr">
        <is>
          <t>SS-SCR-009-SC2-TC1</t>
        </is>
      </c>
      <c r="B67" s="27" t="inlineStr">
        <is>
          <t>SS-SCR-009-SC2</t>
        </is>
      </c>
      <c r="C67" s="27" t="inlineStr">
        <is>
          <t>SS-SCR-009</t>
        </is>
      </c>
      <c r="D67" s="27" t="inlineStr">
        <is>
          <t>FR-SF-01, FR-SF-04</t>
        </is>
      </c>
      <c r="E67" s="27" t="inlineStr">
        <is>
          <t>Validation</t>
        </is>
      </c>
      <c r="F67" s="27" t="inlineStr">
        <is>
          <t>Price preset and manual Min-Max are mutually exclusive</t>
        </is>
      </c>
      <c r="G67" s="27" t="inlineStr">
        <is>
          <t>Results page has loaded; Price tab in the Filter sheet.</t>
        </is>
      </c>
      <c r="H67" s="27" t="inlineStr">
        <is>
          <t>1. Open Filter, go to the Price tab.
2. Pick the "30%-70% of average price" preset.
3. Check the state of the manual Min-Max fields.
4. Manually enter a range of 20,000d-50,000d.
5. Check the state of the previously picked preset.</t>
        </is>
      </c>
      <c r="I67" s="27" t="inlineStr">
        <is>
          <t>Preset=30-70%, then manual=20,000-50,000d</t>
        </is>
      </c>
      <c r="J67" s="27" t="inlineStr">
        <is>
          <t>Step 3: picking the preset disables/clears the manual fields. Step 5: entering manual values automatically unpicks the earlier preset — only one of the two mechanisms is active at a time, per the "pick one range OR enter manually" rule (FR-SF-04).</t>
        </is>
      </c>
      <c r="K67" s="27" t="inlineStr">
        <is>
          <t>Medium</t>
        </is>
      </c>
      <c r="L67" s="28" t="n"/>
      <c r="M67" s="28" t="inlineStr">
        <is>
          <t>Not Run</t>
        </is>
      </c>
      <c r="N67" s="28" t="n"/>
      <c r="O67" s="28" t="n"/>
      <c r="P67" s="27" t="n"/>
      <c r="Q67" s="27" t="n"/>
    </row>
    <row r="68" ht="79.84999999999999" customHeight="1" s="17">
      <c r="A68" s="27" t="inlineStr">
        <is>
          <t>SS-SCR-009-SC3-TC1</t>
        </is>
      </c>
      <c r="B68" s="27" t="inlineStr">
        <is>
          <t>SS-SCR-009-SC3</t>
        </is>
      </c>
      <c r="C68" s="27" t="inlineStr">
        <is>
          <t>SS-SCR-009</t>
        </is>
      </c>
      <c r="D68" s="27" t="inlineStr">
        <is>
          <t>FR-SF-01, FR-SF-04</t>
        </is>
      </c>
      <c r="E68" s="27" t="inlineStr">
        <is>
          <t>Filter</t>
        </is>
      </c>
      <c r="F68" s="27" t="inlineStr">
        <is>
          <t>Selecting several Tag chips at once, deselecting each one independently</t>
        </is>
      </c>
      <c r="G68" s="27" t="inlineStr">
        <is>
          <t>On the Tags tab.</t>
        </is>
      </c>
      <c r="H68" s="27" t="inlineStr">
        <is>
          <t>1. On the Tags tab, select 4 chips in a row: No sugar, Organic, Imported, Pasteurized.
2. Check all 4 chips are active.
3. Deselect just the "Organic" chip.
4. Check the other 3 chips.</t>
        </is>
      </c>
      <c r="I68" s="27" t="inlineStr">
        <is>
          <t>4 Tag chips</t>
        </is>
      </c>
      <c r="J68" s="27" t="inlineStr">
        <is>
          <t>Step 2: all 4 chips turn active (red background) at the same time — no limit on how many can be picked. Step 4: only "Organic" goes back to unselected; the other 3 chips stay active.</t>
        </is>
      </c>
      <c r="K68" s="27" t="inlineStr">
        <is>
          <t>Medium</t>
        </is>
      </c>
      <c r="L68" s="28" t="n"/>
      <c r="M68" s="28" t="inlineStr">
        <is>
          <t>Not Run</t>
        </is>
      </c>
      <c r="N68" s="28" t="n"/>
      <c r="O68" s="28" t="n"/>
      <c r="P68" s="27" t="n"/>
      <c r="Q68" s="27" t="n"/>
    </row>
    <row r="69" ht="46.25" customHeight="1" s="17">
      <c r="A69" s="27" t="inlineStr">
        <is>
          <t>SS-SCR-009-SC4-TC1</t>
        </is>
      </c>
      <c r="B69" s="27" t="inlineStr">
        <is>
          <t>SS-SCR-009-SC4</t>
        </is>
      </c>
      <c r="C69" s="27" t="inlineStr">
        <is>
          <t>SS-SCR-009</t>
        </is>
      </c>
      <c r="D69" s="27" t="inlineStr">
        <is>
          <t>FR-SF-01, FR-SF-04</t>
        </is>
      </c>
      <c r="E69" s="27" t="inlineStr">
        <is>
          <t>Functional</t>
        </is>
      </c>
      <c r="F69" s="27" t="inlineStr">
        <is>
          <t>Expanding multiple Category levels and picking the correct filter scope</t>
        </is>
      </c>
      <c r="G69" s="27" t="inlineStr">
        <is>
          <t>This branch of the category tree has 3 or more levels.</t>
        </is>
      </c>
      <c r="H69" s="27" t="inlineStr">
        <is>
          <t>1. On the Category tab, tap the (&gt;) arrow on "Food &amp; Beverage" to open its sub-level.
2. Tap the (&gt;) arrow on "Milk &amp; Eggs" to open the next sub-level.
3. Pick "Fresh Milk" at the deepest sub-level, tap Apply.
4. Check the scope of the returned results.</t>
        </is>
      </c>
      <c r="I69" s="27" t="inlineStr">
        <is>
          <t>Food &amp; Beverage &gt; Milk &amp; Eggs &gt; Fresh Milk</t>
        </is>
      </c>
      <c r="J69" s="27" t="inlineStr">
        <is>
          <t>The results only include products in the "Fresh Milk" branch (the deepest level picked), not the whole "Milk &amp; Eggs" or "Food &amp; Beverage" category.</t>
        </is>
      </c>
      <c r="K69" s="27" t="inlineStr">
        <is>
          <t>Medium</t>
        </is>
      </c>
      <c r="L69" s="28" t="n"/>
      <c r="M69" s="28" t="inlineStr">
        <is>
          <t>Not Run</t>
        </is>
      </c>
      <c r="N69" s="28" t="n"/>
      <c r="O69" s="28" t="n"/>
      <c r="P69" s="27" t="n"/>
      <c r="Q69" s="27" t="n"/>
    </row>
    <row r="70" ht="46.25" customHeight="1" s="17">
      <c r="A70" s="27" t="inlineStr">
        <is>
          <t>SS-SCR-009-SC5-TC1</t>
        </is>
      </c>
      <c r="B70" s="27" t="inlineStr">
        <is>
          <t>SS-SCR-009-SC5</t>
        </is>
      </c>
      <c r="C70" s="27" t="inlineStr">
        <is>
          <t>SS-SCR-009</t>
        </is>
      </c>
      <c r="D70" s="27" t="inlineStr">
        <is>
          <t>FR-SF-01, FR-SF-04</t>
        </is>
      </c>
      <c r="E70" s="27" t="inlineStr">
        <is>
          <t>Negative</t>
        </is>
      </c>
      <c r="F70" s="27" t="inlineStr">
        <is>
          <t>Closing via (X) does not apply changes, correctly restores the old state</t>
        </is>
      </c>
      <c r="G70" s="27" t="inlineStr">
        <is>
          <t>1 filter is already active (e.g. "No sugar").</t>
        </is>
      </c>
      <c r="H70" s="27" t="inlineStr">
        <is>
          <t>1. Apply the "No sugar" filter on the results page.
2. Reopen Filter, additionally pick "Organic" and "Imported" (do not tap Apply yet).
3. Tap the (X) button to close the sheet.
4. Check the filter badge count and the result list.</t>
        </is>
      </c>
      <c r="I70" s="27" t="inlineStr">
        <is>
          <t>Old filter=No sugar; picked 2 new ones, then cancelled</t>
        </is>
      </c>
      <c r="J70" s="27" t="inlineStr">
        <is>
          <t>The badge still correctly shows 1 (only "No sugar"); the result list is unchanged from before the sheet was opened; "Organic"/"Imported" were never applied.</t>
        </is>
      </c>
      <c r="K70" s="27" t="inlineStr">
        <is>
          <t>High</t>
        </is>
      </c>
      <c r="L70" s="28" t="n"/>
      <c r="M70" s="28" t="inlineStr">
        <is>
          <t>Not Run</t>
        </is>
      </c>
      <c r="N70" s="28" t="n"/>
      <c r="O70" s="28" t="n"/>
      <c r="P70" s="27" t="n"/>
      <c r="Q70" s="27" t="n"/>
    </row>
    <row r="71" ht="102.2" customHeight="1" s="17">
      <c r="A71" s="27" t="inlineStr">
        <is>
          <t>SS-SCR-010-SC1-TC1</t>
        </is>
      </c>
      <c r="B71" s="27" t="inlineStr">
        <is>
          <t>SS-SCR-010-SC1</t>
        </is>
      </c>
      <c r="C71" s="27" t="inlineStr">
        <is>
          <t>SS-SCR-010</t>
        </is>
      </c>
      <c r="D71" s="27" t="inlineStr">
        <is>
          <t>FR-SF-03</t>
        </is>
      </c>
      <c r="E71" s="27" t="inlineStr">
        <is>
          <t>Boundary</t>
        </is>
      </c>
      <c r="F71" s="27" t="inlineStr">
        <is>
          <t>0 filtered results shows its own UI, different from the keyword Zero-Result page</t>
        </is>
      </c>
      <c r="G71" s="27" t="inlineStr">
        <is>
          <t>The filtered results page returns 0 products.</t>
        </is>
      </c>
      <c r="H71" s="27" t="inlineStr">
        <is>
          <t>1. Search "sữa" (128 products).
2. Apply a filter combo guaranteed to match nothing (Price &lt; 10,000d + Tags=Imported).
3. Check the results UI.
4. Tap "Clear filter".</t>
        </is>
      </c>
      <c r="I71" s="27" t="inlineStr">
        <is>
          <t>Price &lt; 10,000d AND Tags=Imported</t>
        </is>
      </c>
      <c r="J71" s="27" t="inlineStr">
        <is>
          <t>Step 3: shows the correct "No products match this filter" message with a "Clear filter" button — different from the Zero Result Page's (SS-SCR-012) message/illustration, without the alternative-suggestion blocks. Step 4: goes back to the original 128 products.</t>
        </is>
      </c>
      <c r="K71" s="27" t="inlineStr">
        <is>
          <t>High</t>
        </is>
      </c>
      <c r="L71" s="28" t="n"/>
      <c r="M71" s="28" t="inlineStr">
        <is>
          <t>Not Run</t>
        </is>
      </c>
      <c r="N71" s="28" t="n"/>
      <c r="O71" s="28" t="n"/>
      <c r="P71" s="27" t="n"/>
      <c r="Q71" s="27" t="n"/>
    </row>
    <row r="72" ht="46.25" customHeight="1" s="17">
      <c r="A72" s="27" t="inlineStr">
        <is>
          <t>SS-SCR-010-SC2-TC1</t>
        </is>
      </c>
      <c r="B72" s="27" t="inlineStr">
        <is>
          <t>SS-SCR-010-SC2</t>
        </is>
      </c>
      <c r="C72" s="27" t="inlineStr">
        <is>
          <t>SS-SCR-010</t>
        </is>
      </c>
      <c r="D72" s="27" t="inlineStr">
        <is>
          <t>FR-SF-03</t>
        </is>
      </c>
      <c r="E72" s="27" t="inlineStr">
        <is>
          <t>Functional</t>
        </is>
      </c>
      <c r="F72" s="27" t="inlineStr">
        <is>
          <t>Quickly turn off 1 filter chip on the results page</t>
        </is>
      </c>
      <c r="G72" s="27" t="inlineStr">
        <is>
          <t>1 or more filter chips are active.</t>
        </is>
      </c>
      <c r="H72" s="27" t="inlineStr">
        <is>
          <t>1. Apply 3 filter conditions, check the badge shows 3.
2. On the active filter chip row, tap the "No sugar" chip (currently red) to turn it off.
3. Check the badge and result count.</t>
        </is>
      </c>
      <c r="I72" s="27" t="inlineStr">
        <is>
          <t>3 filter conditions, turn off 1</t>
        </is>
      </c>
      <c r="J72" s="27" t="inlineStr">
        <is>
          <t>The "No sugar" chip goes back to unselected (default background). The badge drops to 2. Result count updates right away, without reopening the Filter sheet.</t>
        </is>
      </c>
      <c r="K72" s="27" t="inlineStr">
        <is>
          <t>Medium</t>
        </is>
      </c>
      <c r="L72" s="28" t="n"/>
      <c r="M72" s="28" t="inlineStr">
        <is>
          <t>Not Run</t>
        </is>
      </c>
      <c r="N72" s="28" t="n"/>
      <c r="O72" s="28" t="n"/>
      <c r="P72" s="27" t="n"/>
      <c r="Q72" s="27" t="n"/>
    </row>
    <row r="73" ht="57.45" customHeight="1" s="17">
      <c r="A73" s="27" t="inlineStr">
        <is>
          <t>SS-SCR-010-SC3-TC1</t>
        </is>
      </c>
      <c r="B73" s="27" t="inlineStr">
        <is>
          <t>SS-SCR-010-SC3</t>
        </is>
      </c>
      <c r="C73" s="27" t="inlineStr">
        <is>
          <t>SS-SCR-010</t>
        </is>
      </c>
      <c r="D73" s="27" t="inlineStr">
        <is>
          <t>FR-SF-03</t>
        </is>
      </c>
      <c r="E73" s="27" t="inlineStr">
        <is>
          <t>Boundary</t>
        </is>
      </c>
      <c r="F73" s="27" t="inlineStr">
        <is>
          <t>Deselecting one by one down to 0 filters — badge and results stay in sync</t>
        </is>
      </c>
      <c r="G73" s="27" t="inlineStr">
        <is>
          <t>3 filter conditions are currently active.</t>
        </is>
      </c>
      <c r="H73" s="27" t="inlineStr">
        <is>
          <t>1. Apply 3 filter conditions, confirm the badge shows 3.
2. Deselect chips one at a time, checking the badge after each (3 to 2 to 1 to 0).
3. At the badge=0 step, check the result list.</t>
        </is>
      </c>
      <c r="I73" s="27" t="inlineStr">
        <is>
          <t>3 conditions, deselect down to 0</t>
        </is>
      </c>
      <c r="J73" s="27" t="inlineStr">
        <is>
          <t>Badge drops correctly at each step. Once it hits 0, the "Filter" button no longer shows a badge, and the results go back to the full original set (before any filter was applied).</t>
        </is>
      </c>
      <c r="K73" s="27" t="inlineStr">
        <is>
          <t>Medium</t>
        </is>
      </c>
      <c r="L73" s="28" t="n"/>
      <c r="M73" s="28" t="inlineStr">
        <is>
          <t>Not Run</t>
        </is>
      </c>
      <c r="N73" s="28" t="n"/>
      <c r="O73" s="28" t="n"/>
      <c r="P73" s="27" t="n"/>
      <c r="Q73" s="27" t="n"/>
    </row>
    <row r="74" ht="46.25" customHeight="1" s="17">
      <c r="A74" s="27" t="inlineStr">
        <is>
          <t>SS-SCR-011-SC1-TC1</t>
        </is>
      </c>
      <c r="B74" s="27" t="inlineStr">
        <is>
          <t>SS-SCR-011-SC1</t>
        </is>
      </c>
      <c r="C74" s="27" t="inlineStr">
        <is>
          <t>SS-SCR-011</t>
        </is>
      </c>
      <c r="D74" s="27" t="inlineStr">
        <is>
          <t>No clear FR ID in the BRD — see QnA-10</t>
        </is>
      </c>
      <c r="E74" s="27" t="inlineStr">
        <is>
          <t>Functional</t>
        </is>
      </c>
      <c r="F74" s="27" t="inlineStr">
        <is>
          <t>Optimistic update plus correct confirmation Toast, auto-hides after 3s</t>
        </is>
      </c>
      <c r="G74" s="27" t="inlineStr">
        <is>
          <t>On the results page (Grid or List).</t>
        </is>
      </c>
      <c r="H74" s="27" t="inlineStr">
        <is>
          <t>1. On the "sữa" results page, tap (+) on 1 in-stock Product Card.
2. Immediately check the cart badge.
3. Check the Toast that appears at the bottom.
4. Time how long until the toast auto-disappears.
5. While the toast is showing, try scrolling the product list.</t>
        </is>
      </c>
      <c r="I74" s="27" t="inlineStr">
        <is>
          <t>1 in-stock SKU</t>
        </is>
      </c>
      <c r="J74" s="27" t="inlineStr">
        <is>
          <t>The badge increases right away (before the API even responds — optimistic). The Toast shows a product photo + "Added to cart" + the correct product name + unit price. The toast auto-hides at exactly 3 seconds. The shopper can still scroll normally while the toast is showing.</t>
        </is>
      </c>
      <c r="K74" s="27" t="inlineStr">
        <is>
          <t>High</t>
        </is>
      </c>
      <c r="L74" s="28" t="n"/>
      <c r="M74" s="28" t="inlineStr">
        <is>
          <t>Not Run</t>
        </is>
      </c>
      <c r="N74" s="28" t="n"/>
      <c r="O74" s="28" t="n"/>
      <c r="P74" s="27" t="n"/>
      <c r="Q74" s="27" t="inlineStr">
        <is>
          <t>Note: several other storyboard slides (SS-SCR-001, 005, 006) reference this toast as "(SS-SCR-010)", but SS-SCR-010 is actually the 'After Filter Applied' screen. The add-to-cart toast really belongs to SS-SCR-011. See QnA-13.</t>
        </is>
      </c>
    </row>
    <row r="75" ht="91" customHeight="1" s="17">
      <c r="A75" s="27" t="inlineStr">
        <is>
          <t>SS-SCR-011-SC1-TC2</t>
        </is>
      </c>
      <c r="B75" s="27" t="inlineStr">
        <is>
          <t>SS-SCR-011-SC1</t>
        </is>
      </c>
      <c r="C75" s="27" t="inlineStr">
        <is>
          <t>SS-SCR-011</t>
        </is>
      </c>
      <c r="D75" s="27" t="inlineStr">
        <is>
          <t>No clear FR ID in the BRD — see QnA-10</t>
        </is>
      </c>
      <c r="E75" s="27" t="inlineStr">
        <is>
          <t>Negative</t>
        </is>
      </c>
      <c r="F75" s="27" t="inlineStr">
        <is>
          <t>Badge rolls back when the add-to-cart API call fails</t>
        </is>
      </c>
      <c r="G75" s="27" t="inlineStr">
        <is>
          <t>On the results page (Grid or List).</t>
        </is>
      </c>
      <c r="H75" s="27" t="inlineStr">
        <is>
          <t>1. Simulate the add-to-cart API returning an error (5xx/timeout).
2. Tap (+) on 1 Product Card.
3. Check the badge right after tapping (optimistic).
4. Wait for the error response, check the badge again.</t>
        </is>
      </c>
      <c r="I75" s="27" t="inlineStr">
        <is>
          <t>Simulated add-to-cart API error</t>
        </is>
      </c>
      <c r="J75" s="27" t="inlineStr">
        <is>
          <t>The badge increases right away at step 3 (optimistic), then ROLLS BACK to the old value once the API returns an error at step 4. An error message is also shown to the shopper.</t>
        </is>
      </c>
      <c r="K75" s="27" t="inlineStr">
        <is>
          <t>High</t>
        </is>
      </c>
      <c r="L75" s="28" t="n"/>
      <c r="M75" s="28" t="inlineStr">
        <is>
          <t>Not Run</t>
        </is>
      </c>
      <c r="N75" s="28" t="n"/>
      <c r="O75" s="28" t="n"/>
      <c r="P75" s="27" t="n"/>
      <c r="Q75" s="27" t="n"/>
    </row>
    <row r="76" ht="46.25" customHeight="1" s="17">
      <c r="A76" s="26" t="inlineStr">
        <is>
          <t>SS-SCR-011-SC1-TC3</t>
        </is>
      </c>
      <c r="B76" s="26" t="inlineStr">
        <is>
          <t>SS-SCR-011-SC1</t>
        </is>
      </c>
      <c r="C76" s="26" t="inlineStr">
        <is>
          <t>SS-SCR-011</t>
        </is>
      </c>
      <c r="D76" s="26" t="inlineStr">
        <is>
          <t>No clear FR ID in the BRD — see QnA-10</t>
        </is>
      </c>
      <c r="E76" s="26" t="inlineStr">
        <is>
          <t>Boundary</t>
        </is>
      </c>
      <c r="F76" s="26" t="inlineStr">
        <is>
          <t>The (+) button is disabled when a product is out of stock or hits a purchase limit</t>
        </is>
      </c>
      <c r="G76" s="26" t="inlineStr">
        <is>
          <t>On the results page (Grid or List).</t>
        </is>
      </c>
      <c r="H76" s="26" t="inlineStr">
        <is>
          <t>1. Find 1 out-of-stock SKU (stock=0) and 1 SKU with a max purchase limit (e.g. max 5 per shopper).
2. Check the (+) button state on the out-of-stock SKU.
3. On the limited SKU, increase quantity to the limit, then tap (+) one more time.</t>
        </is>
      </c>
      <c r="I76" s="26" t="inlineStr">
        <is>
          <t>1 out-of-stock SKU; 1 SKU with a max purchase limit of 5</t>
        </is>
      </c>
      <c r="J76" s="26" t="inlineStr">
        <is>
          <t>The (+) button is disabled on the out-of-stock SKU — cannot add it to the cart. For the limited SKU, tapping (+) once the limit is reached does not add more, and a limit warning is shown.</t>
        </is>
      </c>
      <c r="K76" s="26" t="inlineStr">
        <is>
          <t>Medium</t>
        </is>
      </c>
      <c r="L76" s="28" t="n"/>
      <c r="M76" s="28" t="inlineStr">
        <is>
          <t>N/A</t>
        </is>
      </c>
      <c r="N76" s="28" t="n"/>
      <c r="O76" s="28" t="n"/>
      <c r="P76" s="26" t="inlineStr">
        <is>
          <t>QnA-10</t>
        </is>
      </c>
      <c r="Q76" s="26" t="n"/>
    </row>
    <row r="77" ht="46.25" customHeight="1" s="17">
      <c r="A77" s="26" t="inlineStr">
        <is>
          <t>SS-SCR-011-SC2-TC1</t>
        </is>
      </c>
      <c r="B77" s="26" t="inlineStr">
        <is>
          <t>SS-SCR-011-SC2</t>
        </is>
      </c>
      <c r="C77" s="26" t="inlineStr">
        <is>
          <t>SS-SCR-011</t>
        </is>
      </c>
      <c r="D77" s="26" t="inlineStr">
        <is>
          <t>No clear FR ID in the BRD — see QnA-10</t>
        </is>
      </c>
      <c r="E77" s="26" t="inlineStr">
        <is>
          <t>Boundary</t>
        </is>
      </c>
      <c r="F77" s="26" t="inlineStr">
        <is>
          <t>Rapidly tapping (+) many times in a row — the quantity adds up correctly</t>
        </is>
      </c>
      <c r="G77" s="26" t="inlineStr">
        <is>
          <t>An in-stock SKU with no purchase limit.</t>
        </is>
      </c>
      <c r="H77" s="26" t="inlineStr">
        <is>
          <t>1. Pick 1 in-stock SKU with stock of 20 or more, no purchase limit.
2. Tap the (+) button 10 times in a row within less than 1 second.
3. Check that SKU's real quantity in the cart (open the Cart page to confirm).</t>
        </is>
      </c>
      <c r="I77" s="26" t="inlineStr">
        <is>
          <t>10 rapid taps of (+)</t>
        </is>
      </c>
      <c r="J77" s="26" t="inlineStr">
        <is>
          <t>The cart quantity for that SKU is exactly 10 (or the valid number of taps), with no under/over count from a race condition; the Cart icon's badge matches the real data.</t>
        </is>
      </c>
      <c r="K77" s="26" t="inlineStr">
        <is>
          <t>High</t>
        </is>
      </c>
      <c r="L77" s="28" t="n"/>
      <c r="M77" s="28" t="inlineStr">
        <is>
          <t>N/A</t>
        </is>
      </c>
      <c r="N77" s="28" t="n"/>
      <c r="O77" s="28" t="n"/>
      <c r="P77" s="26" t="inlineStr">
        <is>
          <t>QnA-21</t>
        </is>
      </c>
      <c r="Q77" s="26" t="inlineStr">
        <is>
          <t>Related to the open question about the Toast mechanism when tapping fast repeatedly — see QnA-21.</t>
        </is>
      </c>
    </row>
    <row r="78" ht="46.25" customHeight="1" s="17">
      <c r="A78" s="26" t="inlineStr">
        <is>
          <t>SS-SCR-011-SC3-TC1</t>
        </is>
      </c>
      <c r="B78" s="26" t="inlineStr">
        <is>
          <t>SS-SCR-011-SC3</t>
        </is>
      </c>
      <c r="C78" s="26" t="inlineStr">
        <is>
          <t>SS-SCR-011</t>
        </is>
      </c>
      <c r="D78" s="26" t="inlineStr">
        <is>
          <t>No clear FR ID in the BRD — see QnA-10</t>
        </is>
      </c>
      <c r="E78" s="26" t="inlineStr">
        <is>
          <t>Edge</t>
        </is>
      </c>
      <c r="F78" s="26" t="inlineStr">
        <is>
          <t>Toast behavior when adding 2 different products right after each other — not specified yet</t>
        </is>
      </c>
      <c r="G78" s="26" t="inlineStr">
        <is>
          <t>2 different in-stock SKUs.</t>
        </is>
      </c>
      <c r="H78" s="26" t="inlineStr">
        <is>
          <t>1. Tap (+) on SKU-A, and right as SKU-A's toast appears (within less than 3 seconds), tap (+) on SKU-B.
2. Check the Toast shown: is there 1 Toast (with which SKU's info?), 2 overlapping Toasts, or a queue of Toasts one after another?</t>
        </is>
      </c>
      <c r="I78" s="26" t="inlineStr">
        <is>
          <t>SKU-A then SKU-B, less than 3s apart</t>
        </is>
      </c>
      <c r="J78" s="26" t="inlineStr">
        <is>
          <t>TBD — the BRD/storyboard doesn't describe the Toast mechanism for several add-to-cart taps happening close together. Minimum requirement: no 2 Toasts overlapping/covering each other in a messy way; the cart badge always correctly totals both products. Do not mark a specific Toast-behavior Pass/Fail until UX confirms. See QnA-21.</t>
        </is>
      </c>
      <c r="K78" s="26" t="inlineStr">
        <is>
          <t>Medium</t>
        </is>
      </c>
      <c r="L78" s="28" t="n"/>
      <c r="M78" s="28" t="inlineStr">
        <is>
          <t>N/A</t>
        </is>
      </c>
      <c r="N78" s="28" t="n"/>
      <c r="O78" s="28" t="n"/>
      <c r="P78" s="26" t="inlineStr">
        <is>
          <t>QnA-21</t>
        </is>
      </c>
      <c r="Q78" s="26" t="n"/>
    </row>
    <row r="79" ht="68.65000000000001" customHeight="1" s="17">
      <c r="A79" s="27" t="inlineStr">
        <is>
          <t>SS-SCR-011-SC4-TC1</t>
        </is>
      </c>
      <c r="B79" s="27" t="inlineStr">
        <is>
          <t>SS-SCR-011-SC4</t>
        </is>
      </c>
      <c r="C79" s="27" t="inlineStr">
        <is>
          <t>SS-SCR-011</t>
        </is>
      </c>
      <c r="D79" s="27" t="inlineStr">
        <is>
          <t>No clear FR ID in the BRD — see QnA-10</t>
        </is>
      </c>
      <c r="E79" s="27" t="inlineStr">
        <is>
          <t>Exception</t>
        </is>
      </c>
      <c r="F79" s="27" t="inlineStr">
        <is>
          <t>Adding to cart while offline — rolls back with a clear network-error message</t>
        </is>
      </c>
      <c r="G79" s="27" t="inlineStr">
        <is>
          <t>Simulate a full network disconnection.</t>
        </is>
      </c>
      <c r="H79" s="27" t="inlineStr">
        <is>
          <t>1. Simulate a full network disconnection on the device.
2. Tap (+) on 1 in-stock SKU.
3. Check the badge right after tapping, and again after a few seconds.</t>
        </is>
      </c>
      <c r="I79" s="27" t="inlineStr">
        <is>
          <t>Fully offline</t>
        </is>
      </c>
      <c r="J79" s="27" t="inlineStr">
        <is>
          <t>The badge goes up briefly (optimistic), then rolls back to the old value. The error message clearly states a network/connection issue (not a generic system error message).</t>
        </is>
      </c>
      <c r="K79" s="27" t="inlineStr">
        <is>
          <t>Medium</t>
        </is>
      </c>
      <c r="L79" s="28" t="n"/>
      <c r="M79" s="28" t="inlineStr">
        <is>
          <t>Not Run</t>
        </is>
      </c>
      <c r="N79" s="28" t="n"/>
      <c r="O79" s="28" t="n"/>
      <c r="P79" s="27" t="n"/>
      <c r="Q79" s="27" t="n"/>
    </row>
    <row r="80" ht="46.25" customHeight="1" s="17">
      <c r="A80" s="27" t="inlineStr">
        <is>
          <t>SS-SCR-012-SC1-TC1</t>
        </is>
      </c>
      <c r="B80" s="27" t="inlineStr">
        <is>
          <t>SS-SCR-012-SC1</t>
        </is>
      </c>
      <c r="C80" s="27" t="inlineStr">
        <is>
          <t>SS-SCR-012</t>
        </is>
      </c>
      <c r="D80" s="27" t="inlineStr">
        <is>
          <t>FR-ZR-01, FR-ZR-02, FR-SM-07</t>
        </is>
      </c>
      <c r="E80" s="27" t="inlineStr">
        <is>
          <t>No-result</t>
        </is>
      </c>
      <c r="F80" s="27" t="inlineStr">
        <is>
          <t>The Zero-Result message quotes the exact searched keyword</t>
        </is>
      </c>
      <c r="G80" s="27" t="inlineStr">
        <is>
          <t>Catalogue is indexed; nothing directly matches.</t>
        </is>
      </c>
      <c r="H80" s="27" t="inlineStr">
        <is>
          <t>1. Search "xịt muỗi Tesla".
2. Check the title, icon, and message on the Zero Result Page.</t>
        </is>
      </c>
      <c r="I80" s="27" t="inlineStr">
        <is>
          <t>"xịt muỗi Tesla"</t>
        </is>
      </c>
      <c r="J80" s="27" t="inlineStr">
        <is>
          <t>Title: "No results found". Message: "No products match 'xịt muỗi Tesla'. Try a different keyword." — quotes the exact keyword. The icon is neutral, not a negative image.</t>
        </is>
      </c>
      <c r="K80" s="27" t="inlineStr">
        <is>
          <t>High</t>
        </is>
      </c>
      <c r="L80" s="28" t="n"/>
      <c r="M80" s="28" t="inlineStr">
        <is>
          <t>Not Run</t>
        </is>
      </c>
      <c r="N80" s="28" t="n"/>
      <c r="O80" s="28" t="n"/>
      <c r="P80" s="27" t="n"/>
      <c r="Q80" s="27" t="n"/>
    </row>
    <row r="81" ht="46.25" customHeight="1" s="17">
      <c r="A81" s="27" t="inlineStr">
        <is>
          <t>SS-SCR-012-SC1-TC2</t>
        </is>
      </c>
      <c r="B81" s="27" t="inlineStr">
        <is>
          <t>SS-SCR-012-SC1</t>
        </is>
      </c>
      <c r="C81" s="27" t="inlineStr">
        <is>
          <t>SS-SCR-012</t>
        </is>
      </c>
      <c r="D81" s="27" t="inlineStr">
        <is>
          <t>FR-ZR-01, FR-ZR-02, FR-SM-07</t>
        </is>
      </c>
      <c r="E81" s="27" t="inlineStr">
        <is>
          <t>Functional</t>
        </is>
      </c>
      <c r="F81" s="27" t="inlineStr">
        <is>
          <t>3-tier fallback: Substitute then Cross-sell (Basket Analysis) then Best-seller</t>
        </is>
      </c>
      <c r="G81" s="27" t="inlineStr">
        <is>
          <t>Catalogue is indexed; nothing directly matches.</t>
        </is>
      </c>
      <c r="H81" s="27" t="inlineStr">
        <is>
          <t>1. Find an out-of-stock SKU that has similar/same-category products (e.g. "Corona Beer" out of stock).
2. Check the "You might like" block — does it show a Substitute (e.g. Tiger Beer)?
3. Check if there's a Basket Analysis cross-sell block (e.g. snacks/peanuts).
4. Simulate a case with no substitute/cross-sell at all (keyword totally outside the catalogue domain), check the last fallback tier.</t>
        </is>
      </c>
      <c r="I81" s="27" t="inlineStr">
        <is>
          <t>"Corona Beer" (out of stock) / a keyword totally outside the catalogue domain</t>
        </is>
      </c>
      <c r="J81" s="27" t="inlineStr">
        <is>
          <t>Steps 2-3: shows a Substitute (Tiger Beer) and a Basket Analysis cross-sell suggestion. Step 4: with no Substitute/Cross-sell available, the system falls back to the deepest tier — showing LOTTE Mart Best-sellers, at least 10 products (lazy-loaded).</t>
        </is>
      </c>
      <c r="K81" s="27" t="inlineStr">
        <is>
          <t>High</t>
        </is>
      </c>
      <c r="L81" s="28" t="n"/>
      <c r="M81" s="28" t="inlineStr">
        <is>
          <t>Not Run</t>
        </is>
      </c>
      <c r="N81" s="28" t="n"/>
      <c r="O81" s="28" t="n"/>
      <c r="P81" s="27" t="n"/>
      <c r="Q81" s="27" t="n"/>
    </row>
    <row r="82" ht="46.25" customHeight="1" s="17">
      <c r="A82" s="26" t="inlineStr">
        <is>
          <t>SS-SCR-012-SC1-TC3</t>
        </is>
      </c>
      <c r="B82" s="26" t="inlineStr">
        <is>
          <t>SS-SCR-012-SC1</t>
        </is>
      </c>
      <c r="C82" s="26" t="inlineStr">
        <is>
          <t>SS-SCR-012</t>
        </is>
      </c>
      <c r="D82" s="26" t="inlineStr">
        <is>
          <t>FR-ZR-01, FR-ZR-02, FR-SM-07</t>
        </is>
      </c>
      <c r="E82" s="26" t="inlineStr">
        <is>
          <t>Negative</t>
        </is>
      </c>
      <c r="F82" s="26" t="inlineStr">
        <is>
          <t>Two extra blocks ("Similar keywords" and "You might also need") are currently turned off in the wireframe</t>
        </is>
      </c>
      <c r="G82" s="26" t="inlineStr">
        <is>
          <t>Catalogue is indexed; nothing directly matches.</t>
        </is>
      </c>
      <c r="H82" s="26" t="inlineStr">
        <is>
          <t>1. Go to the Zero Result Page on the current wireframe.
2. Check whether the "Similar keywords" and "You might also need" blocks show or not.</t>
        </is>
      </c>
      <c r="I82" s="26" t="inlineStr">
        <is>
          <t>N/A</t>
        </is>
      </c>
      <c r="J82" s="26" t="inlineStr">
        <is>
          <t>TBD — these 2 blocks were designed but are currently turned OFF in the v0.1 wireframe. BA/PO needs to confirm whether they turn on for v1 or a later phase. Do not mark Pass/Fail until confirmed. See QnA-03.</t>
        </is>
      </c>
      <c r="K82" s="26" t="inlineStr">
        <is>
          <t>Medium</t>
        </is>
      </c>
      <c r="L82" s="28" t="n"/>
      <c r="M82" s="28" t="inlineStr">
        <is>
          <t>N/A</t>
        </is>
      </c>
      <c r="N82" s="28" t="n"/>
      <c r="O82" s="28" t="n"/>
      <c r="P82" s="26" t="inlineStr">
        <is>
          <t>QnA-03</t>
        </is>
      </c>
      <c r="Q82" s="26" t="n"/>
    </row>
    <row r="83" ht="35.05" customHeight="1" s="17">
      <c r="A83" s="26" t="inlineStr">
        <is>
          <t>SS-SCR-012-SC2-TC1</t>
        </is>
      </c>
      <c r="B83" s="26" t="inlineStr">
        <is>
          <t>SS-SCR-012-SC2</t>
        </is>
      </c>
      <c r="C83" s="26" t="inlineStr">
        <is>
          <t>SS-SCR-012</t>
        </is>
      </c>
      <c r="D83" s="26" t="inlineStr">
        <is>
          <t>FR-ZR-01, FR-ZR-02, FR-SM-07</t>
        </is>
      </c>
      <c r="E83" s="26" t="inlineStr">
        <is>
          <t>Functional</t>
        </is>
      </c>
      <c r="F83" s="26" t="inlineStr">
        <is>
          <t>Tapping a suggested product on Zero Result — the navigation target is unclear</t>
        </is>
      </c>
      <c r="G83" s="26" t="inlineStr">
        <is>
          <t>On the Zero Result Page with the suggestion block showing.</t>
        </is>
      </c>
      <c r="H83" s="26" t="inlineStr">
        <is>
          <t>1. On the Zero Result Page (keyword "xịt muỗi Tesla"), find 1 or more products in the "You might like" block.
2. Tap 1 card in that block.
3. Check the page that opens.</t>
        </is>
      </c>
      <c r="I83" s="26" t="inlineStr">
        <is>
          <t>Any 1 suggested card</t>
        </is>
      </c>
      <c r="J83" s="26" t="inlineStr">
        <is>
          <t>TBD — it's not clear yet whether it should open the PDP directly or trigger a new search using that product's name. Minimum requirement: it must go to a page with valid content (not an error page or a blank page). See QnA-23.</t>
        </is>
      </c>
      <c r="K83" s="26" t="inlineStr">
        <is>
          <t>Medium</t>
        </is>
      </c>
      <c r="L83" s="28" t="n"/>
      <c r="M83" s="28" t="inlineStr">
        <is>
          <t>N/A</t>
        </is>
      </c>
      <c r="N83" s="28" t="n"/>
      <c r="O83" s="28" t="n"/>
      <c r="P83" s="26" t="inlineStr">
        <is>
          <t>QnA-23</t>
        </is>
      </c>
      <c r="Q83" s="26" t="n"/>
    </row>
    <row r="84" ht="46.25" customHeight="1" s="17">
      <c r="A84" s="27" t="inlineStr">
        <is>
          <t>SS-SCR-012-SC3-TC1</t>
        </is>
      </c>
      <c r="B84" s="27" t="inlineStr">
        <is>
          <t>SS-SCR-012-SC3</t>
        </is>
      </c>
      <c r="C84" s="27" t="inlineStr">
        <is>
          <t>SS-SCR-012</t>
        </is>
      </c>
      <c r="D84" s="27" t="inlineStr">
        <is>
          <t>FR-ZR-01, FR-ZR-02, FR-SM-07</t>
        </is>
      </c>
      <c r="E84" s="27" t="inlineStr">
        <is>
          <t>Functional</t>
        </is>
      </c>
      <c r="F84" s="27" t="inlineStr">
        <is>
          <t>Editing the keyword directly on the Zero Result Page and re-searching works</t>
        </is>
      </c>
      <c r="G84" s="27" t="inlineStr">
        <is>
          <t>On the Zero Result Page.</t>
        </is>
      </c>
      <c r="H84" s="27" t="inlineStr">
        <is>
          <t>1. On the Zero Result Page with keyword "xịt muỗi Tesla".
2. Tap the Search Bar, edit it to "xịt muỗi".
3. Submit the new search.</t>
        </is>
      </c>
      <c r="I84" s="27" t="inlineStr">
        <is>
          <t>"xịt muỗi Tesla" edited to "xịt muỗi"</t>
        </is>
      </c>
      <c r="J84" s="27" t="inlineStr">
        <is>
          <t>The app runs a new query for "xịt muỗi"; if there are results, it switches to the normal Grid results page (SS-SCR-005), leaving the Zero Result Page.</t>
        </is>
      </c>
      <c r="K84" s="27" t="inlineStr">
        <is>
          <t>Medium</t>
        </is>
      </c>
      <c r="L84" s="28" t="n"/>
      <c r="M84" s="28" t="inlineStr">
        <is>
          <t>Not Run</t>
        </is>
      </c>
      <c r="N84" s="28" t="n"/>
      <c r="O84" s="28" t="n"/>
      <c r="P84" s="27" t="n"/>
      <c r="Q84" s="27" t="n"/>
    </row>
    <row r="85" ht="68.65000000000001" customHeight="1" s="17">
      <c r="A85" s="27" t="inlineStr">
        <is>
          <t>SS-SCR-013-SC1-TC1</t>
        </is>
      </c>
      <c r="B85" s="27" t="inlineStr">
        <is>
          <t>SS-SCR-013-SC1</t>
        </is>
      </c>
      <c r="C85" s="27" t="inlineStr">
        <is>
          <t>SS-SCR-013</t>
        </is>
      </c>
      <c r="D85" s="27" t="inlineStr">
        <is>
          <t>FR-IS-01</t>
        </is>
      </c>
      <c r="E85" s="27" t="inlineStr">
        <is>
          <t>Normal</t>
        </is>
      </c>
      <c r="F85" s="27" t="inlineStr">
        <is>
          <t>Basic capture flow: Capture -&gt; Loading -&gt; Recognition result</t>
        </is>
      </c>
      <c r="G85" s="27" t="inlineStr">
        <is>
          <t>Camera permission is already granted.</t>
        </is>
      </c>
      <c r="H85" s="27" t="inlineStr">
        <is>
          <t>1. Tap the Camera icon on the Search Bar (SS-SCR-001), grant camera permission the first time.
2. On the Camera screen, aim at a milk carton, tap Capture.
3. Check it switches to the Loading screen (SS-SCR-004).
4. Wait for processing to finish, check the Recognition Result page (SS-SCR-015).</t>
        </is>
      </c>
      <c r="I85" s="27" t="inlineStr">
        <is>
          <t>A clear JPEG photo of a milk carton</t>
        </is>
      </c>
      <c r="J85" s="27" t="inlineStr">
        <is>
          <t>A successful capture immediately switches to Loading, then to the Recognition Result page, correctly showing a thumbnail of the photo just taken in the search box, plus a list of related products.</t>
        </is>
      </c>
      <c r="K85" s="27" t="inlineStr">
        <is>
          <t>High</t>
        </is>
      </c>
      <c r="L85" s="28" t="n"/>
      <c r="M85" s="28" t="inlineStr">
        <is>
          <t>Not Run</t>
        </is>
      </c>
      <c r="N85" s="28" t="n"/>
      <c r="O85" s="28" t="n"/>
      <c r="P85" s="27" t="n"/>
      <c r="Q85" s="27" t="n"/>
    </row>
    <row r="86" ht="46.25" customHeight="1" s="17">
      <c r="A86" s="27" t="inlineStr">
        <is>
          <t>SS-SCR-013-SC1-TC2</t>
        </is>
      </c>
      <c r="B86" s="27" t="inlineStr">
        <is>
          <t>SS-SCR-013-SC1</t>
        </is>
      </c>
      <c r="C86" s="27" t="inlineStr">
        <is>
          <t>SS-SCR-013</t>
        </is>
      </c>
      <c r="D86" s="27" t="inlineStr">
        <is>
          <t>FR-IS-01</t>
        </is>
      </c>
      <c r="E86" s="27" t="inlineStr">
        <is>
          <t>Functional</t>
        </is>
      </c>
      <c r="F86" s="27" t="inlineStr">
        <is>
          <t>The Close button keeps the previous search state</t>
        </is>
      </c>
      <c r="G86" s="27" t="inlineStr">
        <is>
          <t>Camera permission is already granted.</t>
        </is>
      </c>
      <c r="H86" s="27" t="inlineStr">
        <is>
          <t>1. From Pre-search with recent keywords already showing, tap the Camera icon.
2. On the Camera screen, tap Close (go back).
3. Check the Pre-search screen.</t>
        </is>
      </c>
      <c r="I86" s="27" t="inlineStr">
        <is>
          <t>N/A</t>
        </is>
      </c>
      <c r="J86" s="27" t="inlineStr">
        <is>
          <t>Goes back to the exact Pre-search screen (SS-SCR-001), keeping the earlier keyword/state — matches the storyboard note "do not lose the previous keyword/state".</t>
        </is>
      </c>
      <c r="K86" s="27" t="inlineStr">
        <is>
          <t>Low</t>
        </is>
      </c>
      <c r="L86" s="28" t="n"/>
      <c r="M86" s="28" t="inlineStr">
        <is>
          <t>Not Run</t>
        </is>
      </c>
      <c r="N86" s="28" t="n"/>
      <c r="O86" s="28" t="n"/>
      <c r="P86" s="27" t="n"/>
      <c r="Q86" s="27" t="n"/>
    </row>
    <row r="87" ht="46.25" customHeight="1" s="17">
      <c r="A87" s="26" t="inlineStr">
        <is>
          <t>SS-SCR-013-SC1-TC3</t>
        </is>
      </c>
      <c r="B87" s="26" t="inlineStr">
        <is>
          <t>SS-SCR-013-SC1</t>
        </is>
      </c>
      <c r="C87" s="26" t="inlineStr">
        <is>
          <t>SS-SCR-013</t>
        </is>
      </c>
      <c r="D87" s="26" t="inlineStr">
        <is>
          <t>FR-IS-01</t>
        </is>
      </c>
      <c r="E87" s="26" t="inlineStr">
        <is>
          <t>Negative</t>
        </is>
      </c>
      <c r="F87" s="26" t="inlineStr">
        <is>
          <t>No guide frame for centering the product — a design gap</t>
        </is>
      </c>
      <c r="G87" s="26" t="inlineStr">
        <is>
          <t>Camera permission is already granted.</t>
        </is>
      </c>
      <c r="H87" s="26" t="inlineStr">
        <is>
          <t>1. Open the Camera screen.
2. Check if there is a guide frame/overlay to help center the product in the shot.</t>
        </is>
      </c>
      <c r="I87" s="26" t="inlineStr">
        <is>
          <t>N/A</t>
        </is>
      </c>
      <c r="J87" s="26" t="inlineStr">
        <is>
          <t>TBD — the current wireframe does NOT have a guide frame yet (the storyboard itself flags this as something that could improve recognition rate). Do not mark this a Fail in v0.1; track the scope decision through QnA-12.</t>
        </is>
      </c>
      <c r="K87" s="26" t="inlineStr">
        <is>
          <t>Low</t>
        </is>
      </c>
      <c r="L87" s="28" t="n"/>
      <c r="M87" s="28" t="inlineStr">
        <is>
          <t>N/A</t>
        </is>
      </c>
      <c r="N87" s="28" t="n"/>
      <c r="O87" s="28" t="n"/>
      <c r="P87" s="26" t="inlineStr">
        <is>
          <t>QnA-12</t>
        </is>
      </c>
      <c r="Q87" s="26" t="n"/>
    </row>
    <row r="88" ht="57.45" customHeight="1" s="17">
      <c r="A88" s="27" t="inlineStr">
        <is>
          <t>SS-SCR-013-SC2-TC1</t>
        </is>
      </c>
      <c r="B88" s="27" t="inlineStr">
        <is>
          <t>SS-SCR-013-SC2</t>
        </is>
      </c>
      <c r="C88" s="27" t="inlineStr">
        <is>
          <t>SS-SCR-013</t>
        </is>
      </c>
      <c r="D88" s="27" t="inlineStr">
        <is>
          <t>FR-IS-01</t>
        </is>
      </c>
      <c r="E88" s="27" t="inlineStr">
        <is>
          <t>Functional</t>
        </is>
      </c>
      <c r="F88" s="27" t="inlineStr">
        <is>
          <t>Turning on Flash improves photos taken in low light</t>
        </is>
      </c>
      <c r="G88" s="27" t="inlineStr">
        <is>
          <t>On the Camera screen.</t>
        </is>
      </c>
      <c r="H88" s="27" t="inlineStr">
        <is>
          <t>1. On the Camera screen, in a dim environment.
2. Tap to turn Flash on, confirm the icon changes state.
3. Take a photo of a product, check its brightness.
4. Turn Flash off, take the same photo again, compare.</t>
        </is>
      </c>
      <c r="I88" s="27" t="inlineStr">
        <is>
          <t>A dim environment</t>
        </is>
      </c>
      <c r="J88" s="27" t="inlineStr">
        <is>
          <t>The Flash icon correctly shows its on/off state. The photo taken with Flash on is noticeably brighter than with Flash off.</t>
        </is>
      </c>
      <c r="K88" s="27" t="inlineStr">
        <is>
          <t>Low</t>
        </is>
      </c>
      <c r="L88" s="28" t="n"/>
      <c r="M88" s="28" t="inlineStr">
        <is>
          <t>Not Run</t>
        </is>
      </c>
      <c r="N88" s="28" t="n"/>
      <c r="O88" s="28" t="n"/>
      <c r="P88" s="27" t="n"/>
      <c r="Q88" s="27" t="n"/>
    </row>
    <row r="89" ht="46.25" customHeight="1" s="17">
      <c r="A89" s="26" t="inlineStr">
        <is>
          <t>SS-SCR-013-SC3-TC1</t>
        </is>
      </c>
      <c r="B89" s="26" t="inlineStr">
        <is>
          <t>SS-SCR-013-SC3</t>
        </is>
      </c>
      <c r="C89" s="26" t="inlineStr">
        <is>
          <t>SS-SCR-013</t>
        </is>
      </c>
      <c r="D89" s="26" t="inlineStr">
        <is>
          <t>FR-IS-01</t>
        </is>
      </c>
      <c r="E89" s="26" t="inlineStr">
        <is>
          <t>Exception</t>
        </is>
      </c>
      <c r="F89" s="26" t="inlineStr">
        <is>
          <t>Revoking Camera permission mid-session — UI behavior not documented</t>
        </is>
      </c>
      <c r="G89" s="26" t="inlineStr">
        <is>
          <t>The app is on the Camera screen, or has just come back to the foreground.</t>
        </is>
      </c>
      <c r="H89" s="26" t="inlineStr">
        <is>
          <t>1. Open the Camera screen inside the app (permission was already granted before).
2. Go to system Settings, revoke the app's Camera permission.
3. Return to the app (foreground), check the Camera screen.</t>
        </is>
      </c>
      <c r="I89" s="26" t="inlineStr">
        <is>
          <t>Permission revoked mid-session</t>
        </is>
      </c>
      <c r="J89" s="26" t="inlineStr">
        <is>
          <t>TBD — there's no clear spec for the case of permission being revoked MID-SESSION (different from denying it at the first permission prompt). Minimum requirement: no app crash; show an appropriate message with a link to Settings to re-grant permission. See QnA-24.</t>
        </is>
      </c>
      <c r="K89" s="26" t="inlineStr">
        <is>
          <t>Medium</t>
        </is>
      </c>
      <c r="L89" s="28" t="n"/>
      <c r="M89" s="28" t="inlineStr">
        <is>
          <t>N/A</t>
        </is>
      </c>
      <c r="N89" s="28" t="n"/>
      <c r="O89" s="28" t="n"/>
      <c r="P89" s="26" t="inlineStr">
        <is>
          <t>QnA-24</t>
        </is>
      </c>
      <c r="Q89" s="26" t="n"/>
    </row>
    <row r="90" ht="35.05" customHeight="1" s="17">
      <c r="A90" s="27" t="inlineStr">
        <is>
          <t>SS-SCR-014-SC1-TC1</t>
        </is>
      </c>
      <c r="B90" s="27" t="inlineStr">
        <is>
          <t>SS-SCR-014-SC1</t>
        </is>
      </c>
      <c r="C90" s="27" t="inlineStr">
        <is>
          <t>SS-SCR-014</t>
        </is>
      </c>
      <c r="D90" s="27" t="inlineStr">
        <is>
          <t>FR-IS-02, FR-IS-04</t>
        </is>
      </c>
      <c r="E90" s="27" t="inlineStr">
        <is>
          <t>Boundary</t>
        </is>
      </c>
      <c r="F90" s="27" t="inlineStr">
        <is>
          <t>Exact file-size threshold at the 5MB mark</t>
        </is>
      </c>
      <c r="G90" s="27" t="inlineStr">
        <is>
          <t>Photo library permission is granted; the gallery tray shows a 3-column grid of recent photos.</t>
        </is>
      </c>
      <c r="H90" s="27" t="inlineStr">
        <is>
          <t>1. Open the Gallery tray from the Camera screen.
2. Pick a JPEG file exactly 5.0MB.
3. Check the upload result.
4. Repeat with a 5.1MB JPEG.</t>
        </is>
      </c>
      <c r="I90" s="27" t="inlineStr">
        <is>
          <t>5.0MB JPEG / 5.1MB JPEG</t>
        </is>
      </c>
      <c r="J90" s="27" t="inlineStr">
        <is>
          <t>5.0MB: accepted, goes to Loading (SS-SCR-004). 5.1MB: rejected before upload, shows the correct error Toast per FR-IS-04 ("Invalid image format or file over 5MB. Please try again.").</t>
        </is>
      </c>
      <c r="K90" s="27" t="inlineStr">
        <is>
          <t>High</t>
        </is>
      </c>
      <c r="L90" s="28" t="n"/>
      <c r="M90" s="28" t="inlineStr">
        <is>
          <t>Not Run</t>
        </is>
      </c>
      <c r="N90" s="28" t="n"/>
      <c r="O90" s="28" t="n"/>
      <c r="P90" s="27" t="n"/>
      <c r="Q90" s="27" t="n"/>
    </row>
    <row r="91" ht="57.45" customHeight="1" s="17">
      <c r="A91" s="27" t="inlineStr">
        <is>
          <t>SS-SCR-014-SC1-TC2</t>
        </is>
      </c>
      <c r="B91" s="27" t="inlineStr">
        <is>
          <t>SS-SCR-014-SC1</t>
        </is>
      </c>
      <c r="C91" s="27" t="inlineStr">
        <is>
          <t>SS-SCR-014</t>
        </is>
      </c>
      <c r="D91" s="27" t="inlineStr">
        <is>
          <t>FR-IS-02, FR-IS-04</t>
        </is>
      </c>
      <c r="E91" s="27" t="inlineStr">
        <is>
          <t>Exception</t>
        </is>
      </c>
      <c r="F91" s="27" t="inlineStr">
        <is>
          <t>An unsupported format (GIF) is rejected with a clear message</t>
        </is>
      </c>
      <c r="G91" s="27" t="inlineStr">
        <is>
          <t>Photo library permission is granted; the gallery tray shows a 3-column grid of recent photos.</t>
        </is>
      </c>
      <c r="H91" s="27" t="inlineStr">
        <is>
          <t>1. Open the Gallery tray.
2. Pick a GIF file.
3. Check the UI.</t>
        </is>
      </c>
      <c r="I91" s="27" t="inlineStr">
        <is>
          <t>GIF</t>
        </is>
      </c>
      <c r="J91" s="27" t="inlineStr">
        <is>
          <t>The system rejects the file before uploading, showing the exact FR-IS-04 toast text: "Invalid image format or file size exceeds 5MB. Please try again."; no crash, the Loading Screen never opens.</t>
        </is>
      </c>
      <c r="K91" s="27" t="inlineStr">
        <is>
          <t>High</t>
        </is>
      </c>
      <c r="L91" s="28" t="n"/>
      <c r="M91" s="28" t="inlineStr">
        <is>
          <t>Not Run</t>
        </is>
      </c>
      <c r="N91" s="28" t="n"/>
      <c r="O91" s="28" t="n"/>
      <c r="P91" s="27" t="n"/>
      <c r="Q91" s="27" t="n"/>
    </row>
    <row r="92" ht="35.05" customHeight="1" s="17">
      <c r="A92" s="27" t="inlineStr">
        <is>
          <t>SS-SCR-014-SC1-TC3</t>
        </is>
      </c>
      <c r="B92" s="27" t="inlineStr">
        <is>
          <t>SS-SCR-014-SC1</t>
        </is>
      </c>
      <c r="C92" s="27" t="inlineStr">
        <is>
          <t>SS-SCR-014</t>
        </is>
      </c>
      <c r="D92" s="27" t="inlineStr">
        <is>
          <t>FR-IS-02, FR-IS-04</t>
        </is>
      </c>
      <c r="E92" s="27" t="inlineStr">
        <is>
          <t>Boundary</t>
        </is>
      </c>
      <c r="F92" s="27" t="inlineStr">
        <is>
          <t>Only 1 photo can be picked per session (v1)</t>
        </is>
      </c>
      <c r="G92" s="27" t="inlineStr">
        <is>
          <t>Photo library permission is granted; the gallery tray shows a 3-column grid of recent photos.</t>
        </is>
      </c>
      <c r="H92" s="27" t="inlineStr">
        <is>
          <t>1. Open the Gallery tray (3-column grid).
2. Tap to pick the first photo.
3. Check whether it's possible to pick a second photo too.</t>
        </is>
      </c>
      <c r="I92" s="27" t="inlineStr">
        <is>
          <t>2 photos in the tray</t>
        </is>
      </c>
      <c r="J92" s="27" t="inlineStr">
        <is>
          <t>Picking 1 photo goes straight to the Loading screen right away — there is no multi-select in v1, matching the note "only allow picking one photo in v1".</t>
        </is>
      </c>
      <c r="K92" s="27" t="inlineStr">
        <is>
          <t>Medium</t>
        </is>
      </c>
      <c r="L92" s="28" t="n"/>
      <c r="M92" s="28" t="inlineStr">
        <is>
          <t>Not Run</t>
        </is>
      </c>
      <c r="N92" s="28" t="n"/>
      <c r="O92" s="28" t="n"/>
      <c r="P92" s="27" t="n"/>
      <c r="Q92" s="27" t="n"/>
    </row>
    <row r="93" ht="57.45" customHeight="1" s="17">
      <c r="A93" s="27" t="inlineStr">
        <is>
          <t>SS-SCR-014-SC2-TC1</t>
        </is>
      </c>
      <c r="B93" s="27" t="inlineStr">
        <is>
          <t>SS-SCR-014-SC2</t>
        </is>
      </c>
      <c r="C93" s="27" t="inlineStr">
        <is>
          <t>SS-SCR-014</t>
        </is>
      </c>
      <c r="D93" s="27" t="inlineStr">
        <is>
          <t>FR-IS-02, FR-IS-04</t>
        </is>
      </c>
      <c r="E93" s="27" t="inlineStr">
        <is>
          <t>Edge</t>
        </is>
      </c>
      <c r="F93" s="27" t="inlineStr">
        <is>
          <t>Empty state when the photo library has no photos</t>
        </is>
      </c>
      <c r="G93" s="27" t="inlineStr">
        <is>
          <t>The test device has no photos at all in its library.</t>
        </is>
      </c>
      <c r="H93" s="27" t="inlineStr">
        <is>
          <t>1. On a test device with no photos in its library.
2. Open the Gallery tray from the Camera screen.
3. Check the UI.</t>
        </is>
      </c>
      <c r="I93" s="27" t="inlineStr">
        <is>
          <t>0 photos in the library</t>
        </is>
      </c>
      <c r="J93" s="27" t="inlineStr">
        <is>
          <t>Shows a clear empty-state message (not a plain empty grid with no explanation); there's still a way back to take a new photo.</t>
        </is>
      </c>
      <c r="K93" s="27" t="inlineStr">
        <is>
          <t>Low</t>
        </is>
      </c>
      <c r="L93" s="28" t="n"/>
      <c r="M93" s="28" t="inlineStr">
        <is>
          <t>Not Run</t>
        </is>
      </c>
      <c r="N93" s="28" t="n"/>
      <c r="O93" s="28" t="n"/>
      <c r="P93" s="27" t="n"/>
      <c r="Q93" s="27" t="n"/>
    </row>
    <row r="94" ht="57.45" customHeight="1" s="17">
      <c r="A94" s="27" t="inlineStr">
        <is>
          <t>SS-SCR-014-SC3-TC1</t>
        </is>
      </c>
      <c r="B94" s="27" t="inlineStr">
        <is>
          <t>SS-SCR-014-SC3</t>
        </is>
      </c>
      <c r="C94" s="27" t="inlineStr">
        <is>
          <t>SS-SCR-014</t>
        </is>
      </c>
      <c r="D94" s="27" t="inlineStr">
        <is>
          <t>FR-IS-02, FR-IS-04</t>
        </is>
      </c>
      <c r="E94" s="27" t="inlineStr">
        <is>
          <t>Negative</t>
        </is>
      </c>
      <c r="F94" s="27" t="inlineStr">
        <is>
          <t>Denying Library permission shows guidance to grant it again</t>
        </is>
      </c>
      <c r="G94" s="27" t="inlineStr">
        <is>
          <t>Tap the Library button for the first time, the system asks for permission.</t>
        </is>
      </c>
      <c r="H94" s="27" t="inlineStr">
        <is>
          <t>1. From the Camera screen, tap the Library button for the first time.
2. On the system permission popup, choose "Deny".
3. Check the UI.</t>
        </is>
      </c>
      <c r="I94" s="27" t="inlineStr">
        <is>
          <t>Library permission = Denied</t>
        </is>
      </c>
      <c r="J94" s="27" t="inlineStr">
        <is>
          <t>Shows guidance to open Settings and grant permission again; no crash; the shopper can still use the Take Photo function normally.</t>
        </is>
      </c>
      <c r="K94" s="27" t="inlineStr">
        <is>
          <t>Medium</t>
        </is>
      </c>
      <c r="L94" s="28" t="n"/>
      <c r="M94" s="28" t="inlineStr">
        <is>
          <t>Not Run</t>
        </is>
      </c>
      <c r="N94" s="28" t="n"/>
      <c r="O94" s="28" t="n"/>
      <c r="P94" s="27" t="n"/>
      <c r="Q94" s="27" t="n"/>
    </row>
    <row r="95" ht="68.65000000000001" customHeight="1" s="17">
      <c r="A95" s="27" t="inlineStr">
        <is>
          <t>SS-SCR-015-SC1-TC1</t>
        </is>
      </c>
      <c r="B95" s="27" t="inlineStr">
        <is>
          <t>SS-SCR-015-SC1</t>
        </is>
      </c>
      <c r="C95" s="27" t="inlineStr">
        <is>
          <t>SS-SCR-015</t>
        </is>
      </c>
      <c r="D95" s="27" t="inlineStr">
        <is>
          <t>FR-IS-03, FR-IS-07</t>
        </is>
      </c>
      <c r="E95" s="27" t="inlineStr">
        <is>
          <t>Functional</t>
        </is>
      </c>
      <c r="F95" s="27" t="inlineStr">
        <is>
          <t>Image results page correctly reuses the Text flow's Sort/Filter/Product Card components</t>
        </is>
      </c>
      <c r="G95" s="27" t="inlineStr">
        <is>
          <t>The photo has been processed successfully.</t>
        </is>
      </c>
      <c r="H95" s="27" t="inlineStr">
        <is>
          <t>1. Do a successful image search with a photo of a TH True Milk carton.
2. On the image results page, open Sort, open Filter, add 1 product to the cart.
3. Compare the behavior/UI with the Text Search results page (SS-SCR-005).</t>
        </is>
      </c>
      <c r="I95" s="27" t="inlineStr">
        <is>
          <t>Photo of a TH True Milk carton</t>
        </is>
      </c>
      <c r="J95" s="27" t="inlineStr">
        <is>
          <t>All Sort/Filter/Add-to-cart behavior on the image results page is identical to the Text Search flow — only the query source differs (photo instead of keyword) — matches the "share the results page, saves the most design effort" principle.</t>
        </is>
      </c>
      <c r="K95" s="27" t="inlineStr">
        <is>
          <t>High</t>
        </is>
      </c>
      <c r="L95" s="28" t="n"/>
      <c r="M95" s="28" t="inlineStr">
        <is>
          <t>Not Run</t>
        </is>
      </c>
      <c r="N95" s="28" t="n"/>
      <c r="O95" s="28" t="n"/>
      <c r="P95" s="27" t="n"/>
      <c r="Q95" s="27" t="n"/>
    </row>
    <row r="96" ht="46.25" customHeight="1" s="17">
      <c r="A96" s="27" t="inlineStr">
        <is>
          <t>SS-SCR-015-SC1-TC2</t>
        </is>
      </c>
      <c r="B96" s="27" t="inlineStr">
        <is>
          <t>SS-SCR-015-SC1</t>
        </is>
      </c>
      <c r="C96" s="27" t="inlineStr">
        <is>
          <t>SS-SCR-015</t>
        </is>
      </c>
      <c r="D96" s="27" t="inlineStr">
        <is>
          <t>FR-IS-03, FR-IS-07</t>
        </is>
      </c>
      <c r="E96" s="27" t="inlineStr">
        <is>
          <t>Functional</t>
        </is>
      </c>
      <c r="F96" s="27" t="inlineStr">
        <is>
          <t>Tapping the image thumbnail opens the Crop tool</t>
        </is>
      </c>
      <c r="G96" s="27" t="inlineStr">
        <is>
          <t>The photo has been processed successfully.</t>
        </is>
      </c>
      <c r="H96" s="27" t="inlineStr">
        <is>
          <t>1. On the image results page, tap the photo thumbnail in the Search Bar.
2. Check the Crop tool opens.
3. Drag the rectangle to narrow the scan area, confirm.
4. Check whether the Search Bar thumbnail changes to match the selected crop region afterward, or still shows the original uncropped photo.</t>
        </is>
      </c>
      <c r="I96" s="27" t="inlineStr">
        <is>
          <t>An already-uploaded photo thumbnail</t>
        </is>
      </c>
      <c r="J96" s="27" t="inlineStr">
        <is>
          <t>The Crop overlay tool opens correctly, allowing the rectangle to be dragged to limit the AI scan area; after confirming, the system re-runs the search based on the cropped region; the Search Bar thumbnail must also update to show the CROPPED portion of the photo (no longer the full original image) — giving the customer visual confirmation the system is now searching the selected region.</t>
        </is>
      </c>
      <c r="K96" s="27" t="inlineStr">
        <is>
          <t>Medium</t>
        </is>
      </c>
      <c r="L96" s="28" t="n"/>
      <c r="M96" s="28" t="inlineStr">
        <is>
          <t>Not Run</t>
        </is>
      </c>
      <c r="N96" s="28" t="n"/>
      <c r="O96" s="28" t="n"/>
      <c r="P96" s="27" t="n"/>
      <c r="Q96" s="27" t="n"/>
    </row>
    <row r="97" ht="68.65000000000001" customHeight="1" s="17">
      <c r="A97" s="26" t="inlineStr">
        <is>
          <t>SS-SCR-015-SC1-TC3</t>
        </is>
      </c>
      <c r="B97" s="26" t="inlineStr">
        <is>
          <t>SS-SCR-015-SC1</t>
        </is>
      </c>
      <c r="C97" s="26" t="inlineStr">
        <is>
          <t>SS-SCR-015</t>
        </is>
      </c>
      <c r="D97" s="26" t="inlineStr">
        <is>
          <t>FR-IS-03, FR-IS-07</t>
        </is>
      </c>
      <c r="E97" s="26" t="inlineStr">
        <is>
          <t>Boundary</t>
        </is>
      </c>
      <c r="F97" s="26" t="inlineStr">
        <is>
          <t>The recognition confidence threshold is not confirmed yet</t>
        </is>
      </c>
      <c r="G97" s="26" t="inlineStr">
        <is>
          <t>The photo has been processed successfully.</t>
        </is>
      </c>
      <c r="H97" s="26" t="inlineStr">
        <is>
          <t>1. Simulate a photo that gets a borderline confidence score.
2. Check whether the system returns results or switches to the "Not Recognized" screen (SS-SCR-016).</t>
        </is>
      </c>
      <c r="I97" s="26" t="inlineStr">
        <is>
          <t>A borderline-confidence photo</t>
        </is>
      </c>
      <c r="J97" s="26" t="inlineStr">
        <is>
          <t>TBD — the exact confidence threshold to decide between returning results or an error has not been confirmed by TD. Do not mark a quantitative Pass/Fail until an official number is set. See QnA-04.</t>
        </is>
      </c>
      <c r="K97" s="26" t="inlineStr">
        <is>
          <t>Medium</t>
        </is>
      </c>
      <c r="L97" s="28" t="n"/>
      <c r="M97" s="28" t="inlineStr">
        <is>
          <t>N/A</t>
        </is>
      </c>
      <c r="N97" s="28" t="n"/>
      <c r="O97" s="28" t="n"/>
      <c r="P97" s="26" t="inlineStr">
        <is>
          <t>QnA-04</t>
        </is>
      </c>
      <c r="Q97" s="26" t="n"/>
    </row>
    <row r="98" ht="57.45" customHeight="1" s="17">
      <c r="A98" s="27" t="inlineStr">
        <is>
          <t>SS-SCR-015-SC2-TC1</t>
        </is>
      </c>
      <c r="B98" s="27" t="inlineStr">
        <is>
          <t>SS-SCR-015-SC2</t>
        </is>
      </c>
      <c r="C98" s="27" t="inlineStr">
        <is>
          <t>SS-SCR-015</t>
        </is>
      </c>
      <c r="D98" s="27" t="inlineStr">
        <is>
          <t>FR-IS-03, FR-IS-07</t>
        </is>
      </c>
      <c r="E98" s="27" t="inlineStr">
        <is>
          <t>Performance</t>
        </is>
      </c>
      <c r="F98" s="27" t="inlineStr">
        <is>
          <t>p95 image search response time is under 3,000ms</t>
        </is>
      </c>
      <c r="G98" s="27" t="inlineStr">
        <is>
          <t>Normal network conditions.</t>
        </is>
      </c>
      <c r="H98" s="27" t="inlineStr">
        <is>
          <t>1. Do 30 or more image searches with standard photos, under normal network conditions.
2. Measure the time from sending the photo to the first product showing, for each search.
3. Calculate the p95 of the data set.</t>
        </is>
      </c>
      <c r="I98" s="27" t="inlineStr">
        <is>
          <t>Standard product photo x 30+ searches</t>
        </is>
      </c>
      <c r="J98" s="27" t="inlineStr">
        <is>
          <t>p95 response time is under 3,000ms — meets FR-IS-07/NFR-004.</t>
        </is>
      </c>
      <c r="K98" s="27" t="inlineStr">
        <is>
          <t>High</t>
        </is>
      </c>
      <c r="L98" s="28" t="n"/>
      <c r="M98" s="28" t="inlineStr">
        <is>
          <t>Not Run</t>
        </is>
      </c>
      <c r="N98" s="28" t="n"/>
      <c r="O98" s="28" t="n"/>
      <c r="P98" s="27" t="n"/>
      <c r="Q98" s="27" t="n"/>
    </row>
    <row r="99" ht="57.45" customHeight="1" s="17">
      <c r="A99" s="27" t="inlineStr">
        <is>
          <t>SS-SCR-015-SC3-TC1</t>
        </is>
      </c>
      <c r="B99" s="27" t="inlineStr">
        <is>
          <t>SS-SCR-015-SC3</t>
        </is>
      </c>
      <c r="C99" s="27" t="inlineStr">
        <is>
          <t>SS-SCR-015</t>
        </is>
      </c>
      <c r="D99" s="27" t="inlineStr">
        <is>
          <t>FR-IS-03, FR-IS-07</t>
        </is>
      </c>
      <c r="E99" s="27" t="inlineStr">
        <is>
          <t>Functional</t>
        </is>
      </c>
      <c r="F99" s="27" t="inlineStr">
        <is>
          <t>Removing the image (X) goes back to keyword search, no leftover old results</t>
        </is>
      </c>
      <c r="G99" s="27" t="inlineStr">
        <is>
          <t>On the image results page.</t>
        </is>
      </c>
      <c r="H99" s="27" t="inlineStr">
        <is>
          <t>1. On the image results page (from a milk-carton photo search).
2. Tap (X) on the thumbnail in the search box.
3. Check the UI right after.</t>
        </is>
      </c>
      <c r="I99" s="27" t="inlineStr">
        <is>
          <t>N/A</t>
        </is>
      </c>
      <c r="J99" s="27" t="inlineStr">
        <is>
          <t>The image is removed from the search box; the app switches to keyword-typing mode (empty input, ready to type); the old image query's results are no longer shown.</t>
        </is>
      </c>
      <c r="K99" s="27" t="inlineStr">
        <is>
          <t>Medium</t>
        </is>
      </c>
      <c r="L99" s="28" t="n"/>
      <c r="M99" s="28" t="inlineStr">
        <is>
          <t>Not Run</t>
        </is>
      </c>
      <c r="N99" s="28" t="n"/>
      <c r="O99" s="28" t="n"/>
      <c r="P99" s="27" t="n"/>
      <c r="Q99" s="27" t="n"/>
    </row>
    <row r="100" ht="35.05" customHeight="1" s="17">
      <c r="A100" s="27" t="inlineStr">
        <is>
          <t>SS-SCR-015-SC4-TC1</t>
        </is>
      </c>
      <c r="B100" s="27" t="inlineStr">
        <is>
          <t>SS-SCR-015-SC4</t>
        </is>
      </c>
      <c r="C100" s="27" t="inlineStr">
        <is>
          <t>SS-SCR-015</t>
        </is>
      </c>
      <c r="D100" s="27" t="inlineStr">
        <is>
          <t>FR-IS-03, FR-IS-07</t>
        </is>
      </c>
      <c r="E100" s="27" t="inlineStr">
        <is>
          <t>Boundary</t>
        </is>
      </c>
      <c r="F100" s="27" t="inlineStr">
        <is>
          <t>Stable handling when several SKUs are almost equally similar</t>
        </is>
      </c>
      <c r="G100" s="27" t="inlineStr">
        <is>
          <t>The catalogue has many SKUs with similar packaging.</t>
        </is>
      </c>
      <c r="H100" s="27" t="inlineStr">
        <is>
          <t>1. Take/upload a photo of a milk carton that looks similar to several other brands in the catalogue.
2. Check the returned result list.</t>
        </is>
      </c>
      <c r="I100" s="27" t="inlineStr">
        <is>
          <t>A photo of a product with several similar-looking variants</t>
        </is>
      </c>
      <c r="J100" s="27" t="inlineStr">
        <is>
          <t>Returns a list of several SKUs ranked by descending similarity (not just 1 single result, not empty, no error).</t>
        </is>
      </c>
      <c r="K100" s="27" t="inlineStr">
        <is>
          <t>Medium</t>
        </is>
      </c>
      <c r="L100" s="28" t="n"/>
      <c r="M100" s="28" t="inlineStr">
        <is>
          <t>Not Run</t>
        </is>
      </c>
      <c r="N100" s="28" t="n"/>
      <c r="O100" s="28" t="n"/>
      <c r="P100" s="27" t="n"/>
      <c r="Q100" s="27" t="n"/>
    </row>
    <row r="101" ht="35.05" customHeight="1" s="17">
      <c r="A101" s="27" t="inlineStr">
        <is>
          <t>SS-SCR-016-SC1-TC1</t>
        </is>
      </c>
      <c r="B101" s="27" t="inlineStr">
        <is>
          <t>SS-SCR-016-SC1</t>
        </is>
      </c>
      <c r="C101" s="27" t="inlineStr">
        <is>
          <t>SS-SCR-016</t>
        </is>
      </c>
      <c r="D101" s="27" t="inlineStr">
        <is>
          <t>FR-IS-05</t>
        </is>
      </c>
      <c r="E101" s="27" t="inlineStr">
        <is>
          <t>Edge</t>
        </is>
      </c>
      <c r="F101" s="27" t="inlineStr">
        <is>
          <t>A blurry/unrecognizable photo shows a friendly error screen with 2 ways out</t>
        </is>
      </c>
      <c r="G101" s="27" t="inlineStr">
        <is>
          <t>The file is a valid format/size but the content can't be recognized.</t>
        </is>
      </c>
      <c r="H101" s="27" t="inlineStr">
        <is>
          <t>1. Upload a blurry/out-of-focus photo.
2. Check the results screen.
3. Tap "Retry".
4. Return to the image flow, upload the blurry photo again, this time tap "Search by keyword".
5. Check the state of the Pre-search screen just navigated to: the search box, the Recent Searches/Trending blocks.</t>
        </is>
      </c>
      <c r="I101" s="27" t="inlineStr">
        <is>
          <t>A blurry/out-of-focus photo</t>
        </is>
      </c>
      <c r="J101" s="27" t="inlineStr">
        <is>
          <t>Step 2: correctly shows the "Not recognized" failure screen with specific recovery guidance, no technical error codes. Step 3: returns to the Camera Screen, keeping the previously used front/rear camera mode. Step 4: correctly navigates to the Pre-search Screen (SS-SCR-001) — not back to the Camera Screen like the "Retry" CTA. Step 5: the Pre-search Screen is in a clean, normal state — the search box is empty and ready for new input, the Recent Searches/Trending Search blocks display fully as on a normal Pre-search entry, with no trace of the previous failed image search (no leftover error banner).</t>
        </is>
      </c>
      <c r="K101" s="27" t="inlineStr">
        <is>
          <t>High</t>
        </is>
      </c>
      <c r="L101" s="28" t="n"/>
      <c r="M101" s="28" t="inlineStr">
        <is>
          <t>Not Run</t>
        </is>
      </c>
      <c r="N101" s="28" t="n"/>
      <c r="O101" s="28" t="n"/>
      <c r="P101" s="27" t="n"/>
      <c r="Q101" s="27" t="n"/>
    </row>
    <row r="102" ht="57.45" customHeight="1" s="17">
      <c r="A102" s="27" t="inlineStr">
        <is>
          <t>SS-SCR-016-SC1-TC2</t>
        </is>
      </c>
      <c r="B102" s="27" t="inlineStr">
        <is>
          <t>SS-SCR-016-SC1</t>
        </is>
      </c>
      <c r="C102" s="27" t="inlineStr">
        <is>
          <t>SS-SCR-016</t>
        </is>
      </c>
      <c r="D102" s="27" t="inlineStr">
        <is>
          <t>FR-IS-05</t>
        </is>
      </c>
      <c r="E102" s="27" t="inlineStr">
        <is>
          <t>Edge</t>
        </is>
      </c>
      <c r="F102" s="27" t="inlineStr">
        <is>
          <t>A photo with no product (landscape/blank wall) never forces a wrong result</t>
        </is>
      </c>
      <c r="G102" s="27" t="inlineStr">
        <is>
          <t>The file is a valid format/size but the content can't be recognized.</t>
        </is>
      </c>
      <c r="H102" s="27" t="inlineStr">
        <is>
          <t>1. Upload a landscape photo or a photo of a blank wall (no product in it).
2. Check the result returned.</t>
        </is>
      </c>
      <c r="I102" s="27" t="inlineStr">
        <is>
          <t>A photo with no product content</t>
        </is>
      </c>
      <c r="J102" s="27" t="inlineStr">
        <is>
          <t>The system does NOT force a random guess result. It correctly switches to the friendly "Not recognized" error screen, suggesting text search as a backup.</t>
        </is>
      </c>
      <c r="K102" s="27" t="inlineStr">
        <is>
          <t>High</t>
        </is>
      </c>
      <c r="L102" s="28" t="n"/>
      <c r="M102" s="28" t="inlineStr">
        <is>
          <t>Not Run</t>
        </is>
      </c>
      <c r="N102" s="28" t="n"/>
      <c r="O102" s="28" t="n"/>
      <c r="P102" s="27" t="n"/>
      <c r="Q102" s="27" t="n"/>
    </row>
    <row r="103" ht="35.05" customHeight="1" s="17">
      <c r="A103" s="27" t="inlineStr">
        <is>
          <t>SS-SCR-016-SC2-TC1</t>
        </is>
      </c>
      <c r="B103" s="27" t="inlineStr">
        <is>
          <t>SS-SCR-016-SC2</t>
        </is>
      </c>
      <c r="C103" s="27" t="inlineStr">
        <is>
          <t>SS-SCR-016</t>
        </is>
      </c>
      <c r="D103" s="27" t="inlineStr">
        <is>
          <t>FR-IS-05</t>
        </is>
      </c>
      <c r="E103" s="27" t="inlineStr">
        <is>
          <t>Exception</t>
        </is>
      </c>
      <c r="F103" s="27" t="inlineStr">
        <is>
          <t>3 tries in a row, all failing — the feature is not locked out</t>
        </is>
      </c>
      <c r="G103" s="27" t="inlineStr">
        <is>
          <t>Repeating the Image Search flow several times.</t>
        </is>
      </c>
      <c r="H103" s="27" t="inlineStr">
        <is>
          <t>1. Upload a blurry photo, confirm the error screen shows.
2. Tap "Try again", upload another blurry photo, confirm the error screen shows again (try #2).
3. Repeat for a 3rd time.</t>
        </is>
      </c>
      <c r="I103" s="27" t="inlineStr">
        <is>
          <t>3 blurry photos in a row</t>
        </is>
      </c>
      <c r="J103" s="27" t="inlineStr">
        <is>
          <t>All 3 tries correctly show the "Not recognized" screen with both CTAs (Try again / Search by keyword); there's no lockout mechanism or try-limit.</t>
        </is>
      </c>
      <c r="K103" s="27" t="inlineStr">
        <is>
          <t>Low</t>
        </is>
      </c>
      <c r="L103" s="28" t="n"/>
      <c r="M103" s="28" t="inlineStr">
        <is>
          <t>Not Run</t>
        </is>
      </c>
      <c r="N103" s="28" t="n"/>
      <c r="O103" s="28" t="n"/>
      <c r="P103" s="27" t="n"/>
      <c r="Q103" s="27" t="n"/>
    </row>
    <row r="104" ht="46.25" customHeight="1" s="17">
      <c r="A104" s="27" t="inlineStr">
        <is>
          <t>SS-SCR-017-SC1-TC1</t>
        </is>
      </c>
      <c r="B104" s="27" t="inlineStr">
        <is>
          <t>SS-SCR-017-SC1</t>
        </is>
      </c>
      <c r="C104" s="27" t="inlineStr">
        <is>
          <t>SS-SCR-017</t>
        </is>
      </c>
      <c r="D104" s="27" t="inlineStr">
        <is>
          <t>FR-VS-01, FR-VS-02</t>
        </is>
      </c>
      <c r="E104" s="27" t="inlineStr">
        <is>
          <t>Normal</t>
        </is>
      </c>
      <c r="F104" s="27" t="inlineStr">
        <is>
          <t>Live transcript plus manual Stop button</t>
        </is>
      </c>
      <c r="G104" s="27" t="inlineStr">
        <is>
          <t>Mic permission is granted; recording layer is active.</t>
        </is>
      </c>
      <c r="H104" s="27" t="inlineStr">
        <is>
          <t>1. Tap the Mic icon, grant mic permission the first time.
2. Say "Ba quả chuối 60.000".
3. Watch the "Listening" tag, the waveform, and the transcript updating live.
4. Tap the Stop button before the system auto-stops.</t>
        </is>
      </c>
      <c r="I104" s="27" t="inlineStr">
        <is>
          <t>"Ba quả chuối 60.000"</t>
        </is>
      </c>
      <c r="J104" s="27" t="inlineStr">
        <is>
          <t>The "Listening" tag shows as soon as the first sound comes in. The transcript keeps pace roughly with the speaking speed. Tapping Stop switches right to the Loading screen (SS-SCR-004) without waiting for auto-stop.</t>
        </is>
      </c>
      <c r="K104" s="27" t="inlineStr">
        <is>
          <t>High</t>
        </is>
      </c>
      <c r="L104" s="28" t="n"/>
      <c r="M104" s="28" t="inlineStr">
        <is>
          <t>Not Run</t>
        </is>
      </c>
      <c r="N104" s="28" t="n"/>
      <c r="O104" s="28" t="n"/>
      <c r="P104" s="27" t="n"/>
      <c r="Q104" s="27" t="n"/>
    </row>
    <row r="105">
      <c r="A105" s="26" t="inlineStr">
        <is>
          <t>SS-SCR-017-SC1-TC2</t>
        </is>
      </c>
      <c r="B105" s="26" t="inlineStr">
        <is>
          <t>SS-SCR-017-SC1</t>
        </is>
      </c>
      <c r="C105" s="26" t="inlineStr">
        <is>
          <t>SS-SCR-017</t>
        </is>
      </c>
      <c r="D105" s="26" t="inlineStr">
        <is>
          <t>FR-VS-01, FR-VS-02</t>
        </is>
      </c>
      <c r="E105" s="26" t="inlineStr">
        <is>
          <t>Boundary</t>
        </is>
      </c>
      <c r="F105" s="26" t="inlineStr">
        <is>
          <t>Auto-stop threshold fixed at 6 seconds (confirmed, conflict resolved)</t>
        </is>
      </c>
      <c r="G105" s="26" t="inlineStr">
        <is>
          <t>Mic permission is granted; recording layer is active.</t>
        </is>
      </c>
      <c r="H105" s="26" t="inlineStr">
        <is>
          <t>1. Keep speaking non-stop for more than 6 seconds, check if the system auto-stops at the 6-second mark.
2. On another try, speak, then pause for 2 seconds in the middle, check if it auto-stops at that 2-second pause.</t>
        </is>
      </c>
      <c r="I105" s="26" t="inlineStr">
        <is>
          <t>Continuous speech over 6s / speech plus a 2s pause</t>
        </is>
      </c>
      <c r="J105" s="26" t="inlineStr">
        <is>
          <t>The updated storyboard (v0.1-20260819) removed the "2 seconds of silence / 15 seconds max" proposal — only one official value remains: recording auto-stops exactly 6 seconds after it begins, regardless of any pause in the middle. Step 2 (speak, then pause 2 seconds) must NOT trigger an early auto-stop — the system keeps recording until the 6-second mark. See QnA-05 (now Resolved).</t>
        </is>
      </c>
      <c r="K105" s="26" t="inlineStr">
        <is>
          <t>High</t>
        </is>
      </c>
      <c r="L105" s="28" t="n"/>
      <c r="M105" s="28" t="inlineStr">
        <is>
          <t>Not Run</t>
        </is>
      </c>
      <c r="N105" s="28" t="n"/>
      <c r="O105" s="28" t="n"/>
      <c r="P105" s="26" t="inlineStr">
        <is>
          <t>QnA-05</t>
        </is>
      </c>
      <c r="Q105" s="26" t="inlineStr">
        <is>
          <t>RESOLVED — QnA-05: xem chi tiết trong file QnA log.</t>
        </is>
      </c>
    </row>
    <row r="106">
      <c r="A106" s="27" t="inlineStr">
        <is>
          <t>SS-SCR-017-SC2-TC1</t>
        </is>
      </c>
      <c r="B106" s="27" t="inlineStr">
        <is>
          <t>SS-SCR-017-SC2</t>
        </is>
      </c>
      <c r="C106" s="27" t="inlineStr">
        <is>
          <t>SS-SCR-017</t>
        </is>
      </c>
      <c r="D106" s="27" t="inlineStr">
        <is>
          <t>FR-VS-01, FR-VS-02</t>
        </is>
      </c>
      <c r="E106" s="27" t="inlineStr">
        <is>
          <t>Boundary</t>
        </is>
      </c>
      <c r="F106" s="27" t="inlineStr">
        <is>
          <t>Correctly handles a very short phrase/single word</t>
        </is>
      </c>
      <c r="G106" s="27" t="inlineStr">
        <is>
          <t>Recording has started.</t>
        </is>
      </c>
      <c r="H106" s="27" t="inlineStr">
        <is>
          <t>1. Tap the Mic icon, start recording.
2. Quickly say the single word "sữa" in under 1 second, then go silent.
3. Check the transcript and the result.</t>
        </is>
      </c>
      <c r="I106" s="27" t="inlineStr">
        <is>
          <t>"sữa" (under 1s)</t>
        </is>
      </c>
      <c r="J106" s="27" t="inlineStr">
        <is>
          <t>The transcript correctly shows "sữa"; the system treats it as a valid query, NOT switching to the "Not Recognized" screen just because the phrase was short.</t>
        </is>
      </c>
      <c r="K106" s="27" t="inlineStr">
        <is>
          <t>Medium</t>
        </is>
      </c>
      <c r="L106" s="28" t="n"/>
      <c r="M106" s="28" t="inlineStr">
        <is>
          <t>Not Run</t>
        </is>
      </c>
      <c r="N106" s="28" t="n"/>
      <c r="O106" s="28" t="n"/>
      <c r="P106" s="27" t="n"/>
      <c r="Q106" s="27" t="n"/>
    </row>
    <row r="107">
      <c r="A107" s="26" t="inlineStr">
        <is>
          <t>SS-SCR-017-SC3-TC1</t>
        </is>
      </c>
      <c r="B107" s="26" t="inlineStr">
        <is>
          <t>SS-SCR-017-SC3</t>
        </is>
      </c>
      <c r="C107" s="26" t="inlineStr">
        <is>
          <t>SS-SCR-017</t>
        </is>
      </c>
      <c r="D107" s="26" t="inlineStr">
        <is>
          <t>FR-VS-01, FR-VS-02</t>
        </is>
      </c>
      <c r="E107" s="26" t="inlineStr">
        <is>
          <t>Exception</t>
        </is>
      </c>
      <c r="F107" s="26" t="inlineStr">
        <is>
          <t>Handling numbers and units in speech — approach not confirmed yet</t>
        </is>
      </c>
      <c r="G107" s="26" t="inlineStr">
        <is>
          <t>Currently recording.</t>
        </is>
      </c>
      <c r="H107" s="26" t="inlineStr">
        <is>
          <t>1. Say "sữa tươi hai lít".
2. Check the transcript and the actual query sent (does it keep "hai lít" as text, convert it to "2L"/"2 lít", or drop the number/unit part?).
3. Check the returned results.</t>
        </is>
      </c>
      <c r="I107" s="26" t="inlineStr">
        <is>
          <t>"sữa tươi hai lít"</t>
        </is>
      </c>
      <c r="J107" s="26" t="inlineStr">
        <is>
          <t>TBD — the storyboard itself flags this as an open item ("need to confirm how to handle numbers and units before searching"). Minimum requirement: no crash; the results are still relevant to "sữa tươi". Do not mark Pass/Fail on the exact number/unit handling until officially decided. See QnA-22.</t>
        </is>
      </c>
      <c r="K107" s="26" t="inlineStr">
        <is>
          <t>Medium</t>
        </is>
      </c>
      <c r="L107" s="28" t="n"/>
      <c r="M107" s="28" t="inlineStr">
        <is>
          <t>N/A</t>
        </is>
      </c>
      <c r="N107" s="28" t="n"/>
      <c r="O107" s="28" t="n"/>
      <c r="P107" s="26" t="inlineStr">
        <is>
          <t>QnA-22</t>
        </is>
      </c>
      <c r="Q107" s="26" t="n"/>
    </row>
    <row r="108">
      <c r="A108" s="27" t="inlineStr">
        <is>
          <t>SS-SCR-018-SC1-TC1</t>
        </is>
      </c>
      <c r="B108" s="27" t="inlineStr">
        <is>
          <t>SS-SCR-018-SC1</t>
        </is>
      </c>
      <c r="C108" s="27" t="inlineStr">
        <is>
          <t>SS-SCR-018</t>
        </is>
      </c>
      <c r="D108" s="27" t="inlineStr">
        <is>
          <t>FR-VS-04, FR-VS-05</t>
        </is>
      </c>
      <c r="E108" s="27" t="inlineStr">
        <is>
          <t>Functional</t>
        </is>
      </c>
      <c r="F108" s="27" t="inlineStr">
        <is>
          <t>Goes straight to results, no in-between confirmation screen</t>
        </is>
      </c>
      <c r="G108" s="27" t="inlineStr">
        <is>
          <t>Voice-to-text processing is done.</t>
        </is>
      </c>
      <c r="H108" s="27" t="inlineStr">
        <is>
          <t>1. Say "sữa tươi không đường" and let it auto-stop or tap Stop.
2. Check the transition: is there any separate transcript-confirmation screen before the results?
3. Check the Search Bar content on the results page.</t>
        </is>
      </c>
      <c r="I108" s="27" t="inlineStr">
        <is>
          <t>"sữa tươi không đường"</t>
        </is>
      </c>
      <c r="J108" s="27" t="inlineStr">
        <is>
          <t>No in-between confirmation screen appears. After processing, the app goes straight to the results page (using the same layout as the text flow) with the Search Bar showing exactly "sữa tươi không đường".</t>
        </is>
      </c>
      <c r="K108" s="27" t="inlineStr">
        <is>
          <t>High</t>
        </is>
      </c>
      <c r="L108" s="28" t="n"/>
      <c r="M108" s="28" t="inlineStr">
        <is>
          <t>Not Run</t>
        </is>
      </c>
      <c r="N108" s="28" t="n"/>
      <c r="O108" s="28" t="n"/>
      <c r="P108" s="27" t="n"/>
      <c r="Q108" s="27" t="n"/>
    </row>
    <row r="109">
      <c r="A109" s="27" t="inlineStr">
        <is>
          <t>SS-SCR-018-SC1-TC2</t>
        </is>
      </c>
      <c r="B109" s="27" t="inlineStr">
        <is>
          <t>SS-SCR-018-SC1</t>
        </is>
      </c>
      <c r="C109" s="27" t="inlineStr">
        <is>
          <t>SS-SCR-018</t>
        </is>
      </c>
      <c r="D109" s="27" t="inlineStr">
        <is>
          <t>FR-VS-04, FR-VS-05</t>
        </is>
      </c>
      <c r="E109" s="27" t="inlineStr">
        <is>
          <t>Functional</t>
        </is>
      </c>
      <c r="F109" s="27" t="inlineStr">
        <is>
          <t>Manually fix a wrong transcript using the keyboard</t>
        </is>
      </c>
      <c r="G109" s="27" t="inlineStr">
        <is>
          <t>Voice-to-text processing is done.</t>
        </is>
      </c>
      <c r="H109" s="27" t="inlineStr">
        <is>
          <t>1. Simulate a wrong transcript (e.g. the system hears "sữa tương không đường" instead).
2. Tap the Search Bar on the results page.
3. Fix it to "sữa tươi không đường" using the keyboard and submit.</t>
        </is>
      </c>
      <c r="I109" s="27" t="inlineStr">
        <is>
          <t>Wrong transcript, then manually fixed</t>
        </is>
      </c>
      <c r="J109" s="27" t="inlineStr">
        <is>
          <t>Tapping the Search Bar lets the shopper edit it directly with the keyboard. After fixing and submitting, the app re-runs the search with the new text and returns the matching results.</t>
        </is>
      </c>
      <c r="K109" s="27" t="inlineStr">
        <is>
          <t>Medium</t>
        </is>
      </c>
      <c r="L109" s="28" t="n"/>
      <c r="M109" s="28" t="inlineStr">
        <is>
          <t>Not Run</t>
        </is>
      </c>
      <c r="N109" s="28" t="n"/>
      <c r="O109" s="28" t="n"/>
      <c r="P109" s="27" t="n"/>
      <c r="Q109" s="27" t="n"/>
    </row>
    <row r="110">
      <c r="A110" s="35" t="inlineStr">
        <is>
          <t>SS-SCR-018-SC1-TC3</t>
        </is>
      </c>
      <c r="B110" s="35" t="inlineStr">
        <is>
          <t>SS-SCR-018-SC1</t>
        </is>
      </c>
      <c r="C110" s="35" t="inlineStr">
        <is>
          <t>SS-SCR-018</t>
        </is>
      </c>
      <c r="D110" s="35" t="inlineStr">
        <is>
          <t>FR-VS-04, FR-VS-05</t>
        </is>
      </c>
      <c r="E110" s="35" t="inlineStr">
        <is>
          <t>Edge</t>
        </is>
      </c>
      <c r="F110" s="35" t="inlineStr">
        <is>
          <t>Medium-low confidence shows a suggestion banner — TBD whether this feature is in v1 scope</t>
        </is>
      </c>
      <c r="G110" s="35" t="inlineStr">
        <is>
          <t>Voice-to-text processing is done.</t>
        </is>
      </c>
      <c r="H110" s="35" t="inlineStr">
        <is>
          <t>1. Simulate speech that gets a medium-low confidence transcript (close but not certain).
2. Check the results-page UI.</t>
        </is>
      </c>
      <c r="I110" s="35" t="inlineStr">
        <is>
          <t>Unclear speech / medium confidence</t>
        </is>
      </c>
      <c r="J110" s="35" t="inlineStr">
        <is>
          <t>TBD — the BRD (FR-VS-04/FR-VS-05) does not mention this banner mechanism at all; it only appears in the storyboard's own note. If the feature is confirmed to be in scope: shows a "Did you mean ...?" banner, similar to the Text flow's auto-correct mechanism (SS-SCR-003), instead of directly returning results that might be wrong. Cannot be scored Pass/Fail until BA/TD confirms this feature genuinely exists in v1. See QnA-51.</t>
        </is>
      </c>
      <c r="K110" s="35" t="inlineStr">
        <is>
          <t>Medium</t>
        </is>
      </c>
      <c r="L110" s="28" t="n"/>
      <c r="M110" s="28" t="inlineStr">
        <is>
          <t>N/A</t>
        </is>
      </c>
      <c r="N110" s="28" t="n"/>
      <c r="O110" s="28" t="n"/>
      <c r="P110" s="35" t="inlineStr">
        <is>
          <t>QnA-51</t>
        </is>
      </c>
      <c r="Q110" s="35" t="inlineStr">
        <is>
          <t>OPEN — QnA-51: xem chi tiết trong file QnA log.</t>
        </is>
      </c>
    </row>
    <row r="111">
      <c r="A111" s="27" t="inlineStr">
        <is>
          <t>SS-SCR-018-SC2-TC1</t>
        </is>
      </c>
      <c r="B111" s="27" t="inlineStr">
        <is>
          <t>SS-SCR-018-SC2</t>
        </is>
      </c>
      <c r="C111" s="27" t="inlineStr">
        <is>
          <t>SS-SCR-018</t>
        </is>
      </c>
      <c r="D111" s="27" t="inlineStr">
        <is>
          <t>FR-VS-04, FR-VS-05</t>
        </is>
      </c>
      <c r="E111" s="27" t="inlineStr">
        <is>
          <t>Boundary</t>
        </is>
      </c>
      <c r="F111" s="27" t="inlineStr">
        <is>
          <t>An empty transcript is treated as an error, not shown as an empty, meaningless result page</t>
        </is>
      </c>
      <c r="G111" s="27" t="inlineStr">
        <is>
          <t>Recording has ended and finished processing.</t>
        </is>
      </c>
      <c r="H111" s="27" t="inlineStr">
        <is>
          <t>1. Simulate very quiet speech that makes the engine return an empty transcript ("").
2. Check the screen after processing finishes.</t>
        </is>
      </c>
      <c r="I111" s="27" t="inlineStr">
        <is>
          <t>Transcript = empty</t>
        </is>
      </c>
      <c r="J111" s="27" t="inlineStr">
        <is>
          <t>The app switches to the "Not Recognized" screen (SS-SCR-019), instead of opening a results page with an empty Search Bar (which would confuse the shopper).</t>
        </is>
      </c>
      <c r="K111" s="27" t="inlineStr">
        <is>
          <t>Medium</t>
        </is>
      </c>
      <c r="L111" s="28" t="n"/>
      <c r="M111" s="28" t="inlineStr">
        <is>
          <t>Not Run</t>
        </is>
      </c>
      <c r="N111" s="28" t="n"/>
      <c r="O111" s="28" t="n"/>
      <c r="P111" s="27" t="n"/>
      <c r="Q111" s="27" t="n"/>
    </row>
    <row r="112">
      <c r="A112" s="27" t="inlineStr">
        <is>
          <t>SS-SCR-019-SC1-TC1</t>
        </is>
      </c>
      <c r="B112" s="27" t="inlineStr">
        <is>
          <t>SS-SCR-019-SC1</t>
        </is>
      </c>
      <c r="C112" s="27" t="inlineStr">
        <is>
          <t>SS-SCR-019</t>
        </is>
      </c>
      <c r="D112" s="27" t="inlineStr">
        <is>
          <t>FR-VS-06</t>
        </is>
      </c>
      <c r="E112" s="27" t="inlineStr">
        <is>
          <t>Exception</t>
        </is>
      </c>
      <c r="F112" s="27" t="inlineStr">
        <is>
          <t>Noise/silence shows a friendly error screen, no fake search triggered</t>
        </is>
      </c>
      <c r="G112" s="27" t="inlineStr">
        <is>
          <t>Mic is working, recording has ended (auto-stop or manual stop).</t>
        </is>
      </c>
      <c r="H112" s="27" t="inlineStr">
        <is>
          <t>1. Tap the Mic icon, start recording.
2. Only make background noise (no clear speech) until recording ends.
3. Check the results UI.
4. Tap "Try again".</t>
        </is>
      </c>
      <c r="I112" s="27" t="inlineStr">
        <is>
          <t>Background noise, no clear speech</t>
        </is>
      </c>
      <c r="J112" s="27" t="inlineStr">
        <is>
          <t>Step 3: shows the correct "Not recognized" page with the tip "Speech was not clear. Please try again, speaking louder and clearer." No fake search query is ever triggered/shown with wrong results. Step 4: correctly reopens the recording layer (SS-SCR-017).</t>
        </is>
      </c>
      <c r="K112" s="27" t="inlineStr">
        <is>
          <t>High</t>
        </is>
      </c>
      <c r="L112" s="28" t="n"/>
      <c r="M112" s="28" t="inlineStr">
        <is>
          <t>Not Run</t>
        </is>
      </c>
      <c r="N112" s="28" t="n"/>
      <c r="O112" s="28" t="n"/>
      <c r="P112" s="27" t="n"/>
      <c r="Q112" s="27" t="n"/>
    </row>
    <row r="113">
      <c r="A113" s="27" t="inlineStr">
        <is>
          <t>SS-SCR-019-SC1-TC2</t>
        </is>
      </c>
      <c r="B113" s="27" t="inlineStr">
        <is>
          <t>SS-SCR-019-SC1</t>
        </is>
      </c>
      <c r="C113" s="27" t="inlineStr">
        <is>
          <t>SS-SCR-019</t>
        </is>
      </c>
      <c r="D113" s="27" t="inlineStr">
        <is>
          <t>FR-VS-06</t>
        </is>
      </c>
      <c r="E113" s="27" t="inlineStr">
        <is>
          <t>Functional</t>
        </is>
      </c>
      <c r="F113" s="27" t="inlineStr">
        <is>
          <t>The secondary "Search by keyword" CTA is always a way out</t>
        </is>
      </c>
      <c r="G113" s="27" t="inlineStr">
        <is>
          <t>Mic is working, recording has ended (auto-stop or manual stop).</t>
        </is>
      </c>
      <c r="H113" s="27" t="inlineStr">
        <is>
          <t>1. On the voice flow's "Not recognized" screen.
2. Tap the secondary "Search by keyword" CTA.
3. Check the state of the Pre-search screen just navigated to: the search box, the Recent Searches/Trending blocks.</t>
        </is>
      </c>
      <c r="I113" s="27" t="inlineStr">
        <is>
          <t>N/A</t>
        </is>
      </c>
      <c r="J113" s="27" t="inlineStr">
        <is>
          <t>Correctly goes to the Pre-search Screen (SS-SCR-001) — not back to the recording layer like the "Retry" CTA; the shopper is never stuck on the error screen with no way to switch to another search method. The Pre-search Screen is in a clean, normal state — the search box is empty and ready for new input, the Recent Searches/Trending Search blocks display fully as on a normal Pre-search entry, with no trace of the previous failed voice search (no leftover error banner).</t>
        </is>
      </c>
      <c r="K113" s="27" t="inlineStr">
        <is>
          <t>Medium</t>
        </is>
      </c>
      <c r="L113" s="28" t="n"/>
      <c r="M113" s="28" t="inlineStr">
        <is>
          <t>Not Run</t>
        </is>
      </c>
      <c r="N113" s="28" t="n"/>
      <c r="O113" s="28" t="n"/>
      <c r="P113" s="27" t="n"/>
      <c r="Q113" s="27" t="n"/>
    </row>
    <row r="114">
      <c r="A114" s="27" t="inlineStr">
        <is>
          <t>SS-SCR-019-SC2-TC1</t>
        </is>
      </c>
      <c r="B114" s="27" t="inlineStr">
        <is>
          <t>SS-SCR-019-SC2</t>
        </is>
      </c>
      <c r="C114" s="27" t="inlineStr">
        <is>
          <t>SS-SCR-019</t>
        </is>
      </c>
      <c r="D114" s="27" t="inlineStr">
        <is>
          <t>FR-VS-06</t>
        </is>
      </c>
      <c r="E114" s="27" t="inlineStr">
        <is>
          <t>Boundary</t>
        </is>
      </c>
      <c r="F114" s="27" t="inlineStr">
        <is>
          <t>3 tries in a row, all failing — Voice Search is not locked out</t>
        </is>
      </c>
      <c r="G114" s="27" t="inlineStr">
        <is>
          <t>Repeating the Voice Search flow several times.</t>
        </is>
      </c>
      <c r="H114" s="27" t="inlineStr">
        <is>
          <t>1. Do a Voice Search with noise/silence, confirm the error screen shows.
2. Tap "Try again", repeat 2 more times under the same conditions.</t>
        </is>
      </c>
      <c r="I114" s="27" t="inlineStr">
        <is>
          <t>3 tries in a row, all failing</t>
        </is>
      </c>
      <c r="J114" s="27" t="inlineStr">
        <is>
          <t>All 3 tries correctly show the "Not recognized" screen with both CTAs (Try again / Search by keyword); Voice Search still works normally on try #4 if the shopper keeps going.</t>
        </is>
      </c>
      <c r="K114" s="27" t="inlineStr">
        <is>
          <t>Low</t>
        </is>
      </c>
      <c r="L114" s="28" t="n"/>
      <c r="M114" s="28" t="inlineStr">
        <is>
          <t>Not Run</t>
        </is>
      </c>
      <c r="N114" s="28" t="n"/>
      <c r="O114" s="28" t="n"/>
      <c r="P114" s="27" t="n"/>
      <c r="Q114" s="27" t="n"/>
    </row>
    <row r="115">
      <c r="A115" s="27" t="inlineStr">
        <is>
          <t>SS-SCR-003-SC1-TC3</t>
        </is>
      </c>
      <c r="B115" s="27" t="inlineStr">
        <is>
          <t>SS-SCR-003-SC1</t>
        </is>
      </c>
      <c r="C115" s="27" t="inlineStr">
        <is>
          <t>SS-SCR-003</t>
        </is>
      </c>
      <c r="D115" s="27" t="inlineStr">
        <is>
          <t>FR-AC-01, FR-AC-03</t>
        </is>
      </c>
      <c r="E115" s="27" t="inlineStr">
        <is>
          <t>Edge</t>
        </is>
      </c>
      <c r="F115" s="27" t="inlineStr">
        <is>
          <t>Dismiss the banner via "X" then keep typing appended characters — banner must not reappear (respect the user's dismissal)</t>
        </is>
      </c>
      <c r="G115" s="27" t="inlineStr">
        <is>
          <t>The correction banner is currently shown for "sua toui" (suggesting "sữa tươi").</t>
        </is>
      </c>
      <c r="H115" s="27" t="inlineStr">
        <is>
          <t>1. Type "sua toui", wait for the banner to appear.
2. Tap the "X" to dismiss the banner.
3. Keep typing characters appended to the saved phrase, e.g. into "sua toui tuoi" (nothing deleted, only appended).
4. Check whether the banner reappears.
5. Backspace a few characters until the original saved phrase is broken (e.g. back down to "sua to").
6. Check the banner state after step 5.</t>
        </is>
      </c>
      <c r="I115" s="27" t="inlineStr">
        <is>
          <t>"sua toui" -&gt; X -&gt; "sua toui tuoi" -&gt; backspace down to "sua to"</t>
        </is>
      </c>
      <c r="J115" s="27" t="inlineStr">
        <is>
          <t>Step 4: the banner does NOT reappear even though the string still fully contains the previously-dismissed "sua toui" — the system respects the customer's dismissal as long as they are only appending. Step 6: once backspacing breaks the saved phrase, the "dismissed" state resets — if the remaining string still fuzzy-matches, the banner is free to reappear normally.</t>
        </is>
      </c>
      <c r="K115" s="27" t="inlineStr">
        <is>
          <t>High</t>
        </is>
      </c>
      <c r="L115" s="28" t="n"/>
      <c r="M115" s="28" t="inlineStr">
        <is>
          <t>Not Run</t>
        </is>
      </c>
      <c r="N115" s="28" t="n"/>
      <c r="O115" s="28" t="n"/>
      <c r="P115" s="27" t="n"/>
      <c r="Q115" s="27" t="n"/>
    </row>
    <row r="116">
      <c r="A116" s="27" t="inlineStr">
        <is>
          <t>SS-SCR-003-SC1-TC4</t>
        </is>
      </c>
      <c r="B116" s="27" t="inlineStr">
        <is>
          <t>SS-SCR-003-SC1</t>
        </is>
      </c>
      <c r="C116" s="27" t="inlineStr">
        <is>
          <t>SS-SCR-003</t>
        </is>
      </c>
      <c r="D116" s="27" t="inlineStr">
        <is>
          <t>FR-AC-01, FR-AC-03</t>
        </is>
      </c>
      <c r="E116" s="27" t="inlineStr">
        <is>
          <t>Functional</t>
        </is>
      </c>
      <c r="F116" s="27" t="inlineStr">
        <is>
          <t>The banner's suggested keyword is guaranteed to return &gt;=1 Active SKU</t>
        </is>
      </c>
      <c r="G116" s="27" t="inlineStr">
        <is>
          <t>The fuzzy matcher is active; the catalogue has an active SKU matching the corrected keyword.</t>
        </is>
      </c>
      <c r="H116" s="27" t="inlineStr">
        <is>
          <t>1. Type "sua toui", wait for the banner suggesting "sữa tươi".
2. Tap the corrected-keyword link on the banner.
3. Check the results page returned.
4. Check the count of Active-status products in the results.</t>
        </is>
      </c>
      <c r="I116" s="27" t="inlineStr">
        <is>
          <t>"sua toui" -&gt; tap "sữa tươi"</t>
        </is>
      </c>
      <c r="J116" s="27" t="inlineStr">
        <is>
          <t>The results page returns &gt;=1 product in Active status (still on sale) for the corrected keyword; the system must never suggest a "more accurate" term that leads to a Zero Result or an all-Inactive SKU set — the banner may only suggest phrases already validated to have &gt;=1 Active SKU in the catalogue.</t>
        </is>
      </c>
      <c r="K116" s="27" t="inlineStr">
        <is>
          <t>High</t>
        </is>
      </c>
      <c r="L116" s="28" t="n"/>
      <c r="M116" s="28" t="inlineStr">
        <is>
          <t>Not Run</t>
        </is>
      </c>
      <c r="N116" s="28" t="n"/>
      <c r="O116" s="28" t="n"/>
      <c r="P116" s="27" t="n"/>
      <c r="Q116" s="27" t="n"/>
    </row>
    <row r="117">
      <c r="A117" s="35" t="inlineStr">
        <is>
          <t>SS-SCR-003-SC4-TC2</t>
        </is>
      </c>
      <c r="B117" s="35" t="inlineStr">
        <is>
          <t>SS-SCR-003-SC4</t>
        </is>
      </c>
      <c r="C117" s="35" t="inlineStr">
        <is>
          <t>SS-SCR-003</t>
        </is>
      </c>
      <c r="D117" s="35" t="inlineStr">
        <is>
          <t>FR-AC-01, FR-AC-03</t>
        </is>
      </c>
      <c r="E117" s="35" t="inlineStr">
        <is>
          <t>Multilingual</t>
        </is>
      </c>
      <c r="F117" s="35" t="inlineStr">
        <is>
          <t>Bilingual suggestion when typing English/Russian while UI=VI — behavior TBD</t>
        </is>
      </c>
      <c r="G117" s="35" t="inlineStr">
        <is>
          <t>UI language = VI; "moloko" (Russian for "milk") or "milk" (English) is typed into the search box.</t>
        </is>
      </c>
      <c r="H117" s="35" t="inlineStr">
        <is>
          <t>1. Set UI language = VI.
2. Type "milk" (English, correctly spelled).
3. Check the banner/suggestion content.
4. Repeat with the Russian word "moloko".</t>
        </is>
      </c>
      <c r="I117" s="35" t="inlineStr">
        <is>
          <t>"milk" / "moloko" (UI=VI)</t>
        </is>
      </c>
      <c r="J117" s="35" t="inlineStr">
        <is>
          <t>TBD — not yet confirmed: does the banner show both a suggestion in the language being typed (English/Russian, shown first) AND an equivalent Vietnamese suggestion ("sữa") at the same time? Minimum requirement: no crash, and the system returns results relevant to "sữa" regardless of how the suggestion is displayed. See QnA-36.</t>
        </is>
      </c>
      <c r="K117" s="35" t="inlineStr">
        <is>
          <t>Medium</t>
        </is>
      </c>
      <c r="L117" s="28" t="n"/>
      <c r="M117" s="28" t="inlineStr">
        <is>
          <t>N/A</t>
        </is>
      </c>
      <c r="N117" s="28" t="n"/>
      <c r="O117" s="28" t="n"/>
      <c r="P117" s="35" t="inlineStr">
        <is>
          <t>QnA-36</t>
        </is>
      </c>
      <c r="Q117" s="35" t="inlineStr">
        <is>
          <t>OPEN — QnA-36: xem chi tiết trong file QnA log.</t>
        </is>
      </c>
    </row>
    <row r="118">
      <c r="A118" s="35" t="inlineStr">
        <is>
          <t>SS-SCR-003-SC4-TC3</t>
        </is>
      </c>
      <c r="B118" s="35" t="inlineStr">
        <is>
          <t>SS-SCR-003-SC4</t>
        </is>
      </c>
      <c r="C118" s="35" t="inlineStr">
        <is>
          <t>SS-SCR-003</t>
        </is>
      </c>
      <c r="D118" s="35" t="inlineStr">
        <is>
          <t>FR-AC-01, FR-AC-03</t>
        </is>
      </c>
      <c r="E118" s="35" t="inlineStr">
        <is>
          <t>Multilingual</t>
        </is>
      </c>
      <c r="F118" s="35" t="inlineStr">
        <is>
          <t>Misspelled diacritic-free Vietnamese — suggestion paired with a synonym/related-term equivalent</t>
        </is>
      </c>
      <c r="G118" s="35" t="inlineStr">
        <is>
          <t>UI language = VI; "sua tuoiii" is a typo (extra character) of "sua tuoi" (diacritic-free form of "sữa tươi").</t>
        </is>
      </c>
      <c r="H118" s="35" t="inlineStr">
        <is>
          <t>1. Set UI language = VI.
2. Type "sua tuoiii" (diacritic-free, misspelled).
3. Check the banner suggestion.
4. Check whether the banner also suggests a synonym/related term with the same meaning (e.g. "fresh milk", "sữa nước") in addition to the direct spelling correction.</t>
        </is>
      </c>
      <c r="I118" s="35" t="inlineStr">
        <is>
          <t>"sua tuoiii"</t>
        </is>
      </c>
      <c r="J118" s="35" t="inlineStr">
        <is>
          <t>TBD — the banner must correctly suggest "sữa tươi" (spelling correction + diacritic normalization, per FR-SM-06). Whether the banner itself should also surface a synonym/related-term suggestion (as opposed to the system silently expanding synonyms when computing results per FR-SM-04) is not clearly defined for this specific UI element. See QnA-36.</t>
        </is>
      </c>
      <c r="K118" s="35" t="inlineStr">
        <is>
          <t>Medium</t>
        </is>
      </c>
      <c r="L118" s="28" t="n"/>
      <c r="M118" s="28" t="inlineStr">
        <is>
          <t>N/A</t>
        </is>
      </c>
      <c r="N118" s="28" t="n"/>
      <c r="O118" s="28" t="n"/>
      <c r="P118" s="35" t="inlineStr">
        <is>
          <t>QnA-36</t>
        </is>
      </c>
      <c r="Q118" s="35" t="inlineStr">
        <is>
          <t>OPEN — QnA-36: xem chi tiết trong file QnA log.</t>
        </is>
      </c>
    </row>
    <row r="119">
      <c r="A119" s="35" t="inlineStr">
        <is>
          <t>SS-SCR-005-SC1-TC3</t>
        </is>
      </c>
      <c r="B119" s="35" t="inlineStr">
        <is>
          <t>SS-SCR-005-SC1</t>
        </is>
      </c>
      <c r="C119" s="35" t="inlineStr">
        <is>
          <t>SS-SCR-005</t>
        </is>
      </c>
      <c r="D119" s="35" t="inlineStr">
        <is>
          <t>FR-PR-01, FR-PR-02, FR-PR-05, FR-PR-07, FR-SF-01</t>
        </is>
      </c>
      <c r="E119" s="35" t="inlineStr">
        <is>
          <t>Boundary</t>
        </is>
      </c>
      <c r="F119" s="35" t="inlineStr">
        <is>
          <t>View mode (Grid/List) when a Member logs in for the first time on a different device — sync behavior TBD</t>
        </is>
      </c>
      <c r="G119" s="35" t="inlineStr">
        <is>
          <t>The Member has previously selected List view on Device A (saved in Device A's Local Storage).</t>
        </is>
      </c>
      <c r="H119" s="35" t="inlineStr">
        <is>
          <t>1. On Device A, log in as the Member, switch view mode to List.
2. Log in with the same Member account on Device B (never opened the app/searched on B before).
3. Go to the results page for the first time on Device B.
4. Check the default view mode on Device B.</t>
        </is>
      </c>
      <c r="I119" s="35" t="inlineStr">
        <is>
          <t>Same account, List on A, first visit on B</t>
        </is>
      </c>
      <c r="J119" s="35" t="inlineStr">
        <is>
          <t>TBD — not yet confirmed whether Device B shows the mode saved on Device A (account-level server-side sync) or defaults to Grid (per its own device-local state), since FR-PR-07 only says the mode is saved to the device's Local Storage and does not mention cross-device sync. Cannot be scored Pass/Fail until confirmed. See QnA-34.</t>
        </is>
      </c>
      <c r="K119" s="35" t="inlineStr">
        <is>
          <t>Low</t>
        </is>
      </c>
      <c r="L119" s="28" t="n"/>
      <c r="M119" s="28" t="inlineStr">
        <is>
          <t>N/A</t>
        </is>
      </c>
      <c r="N119" s="28" t="n"/>
      <c r="O119" s="28" t="n"/>
      <c r="P119" s="35" t="inlineStr">
        <is>
          <t>QnA-34</t>
        </is>
      </c>
      <c r="Q119" s="35" t="inlineStr">
        <is>
          <t>OPEN — QnA-34: xem chi tiết trong file QnA log.</t>
        </is>
      </c>
    </row>
    <row r="120">
      <c r="A120" s="35" t="inlineStr">
        <is>
          <t>SS-SCR-005-SC1-TC4</t>
        </is>
      </c>
      <c r="B120" s="35" t="inlineStr">
        <is>
          <t>SS-SCR-005-SC1</t>
        </is>
      </c>
      <c r="C120" s="35" t="inlineStr">
        <is>
          <t>SS-SCR-005</t>
        </is>
      </c>
      <c r="D120" s="35" t="inlineStr">
        <is>
          <t>FR-PR-01, FR-PR-02, FR-PR-05, FR-PR-07, FR-SF-01</t>
        </is>
      </c>
      <c r="E120" s="35" t="inlineStr">
        <is>
          <t>Boundary</t>
        </is>
      </c>
      <c r="F120" s="35" t="inlineStr">
        <is>
          <t>View mode when two different accounts log in one after another on the same device — inheritance TBD</t>
        </is>
      </c>
      <c r="G120" s="35" t="inlineStr">
        <is>
          <t>A shared device; Account 1 has previously selected List on this device.</t>
        </is>
      </c>
      <c r="H120" s="35" t="inlineStr">
        <is>
          <t>1. Account 1 logs in on the device, switches view mode to List, then logs out.
2. Account 2 logs in on the same device (Account 2 has never changed view mode before).
3. Go to the results page.
4. Check the default view mode for Account 2.</t>
        </is>
      </c>
      <c r="I120" s="35" t="inlineStr">
        <is>
          <t>Account 1 (List) logs out -&gt; Account 2 logs in, same device</t>
        </is>
      </c>
      <c r="J120" s="35" t="inlineStr">
        <is>
          <t>TBD — not yet confirmed whether Account 2 inherits List (since it is stored per-device, not per-account) or has its own state (defaulting to Grid). Cannot be scored Pass/Fail until confirmed. See QnA-34.</t>
        </is>
      </c>
      <c r="K120" s="35" t="inlineStr">
        <is>
          <t>Low</t>
        </is>
      </c>
      <c r="L120" s="28" t="n"/>
      <c r="M120" s="28" t="inlineStr">
        <is>
          <t>N/A</t>
        </is>
      </c>
      <c r="N120" s="28" t="n"/>
      <c r="O120" s="28" t="n"/>
      <c r="P120" s="35" t="inlineStr">
        <is>
          <t>QnA-34</t>
        </is>
      </c>
      <c r="Q120" s="35" t="inlineStr">
        <is>
          <t>OPEN — QnA-34: xem chi tiết trong file QnA log.</t>
        </is>
      </c>
    </row>
    <row r="121">
      <c r="A121" s="35" t="inlineStr">
        <is>
          <t>SS-SCR-005-SC3-TC3</t>
        </is>
      </c>
      <c r="B121" s="35" t="inlineStr">
        <is>
          <t>SS-SCR-005-SC3</t>
        </is>
      </c>
      <c r="C121" s="35" t="inlineStr">
        <is>
          <t>SS-SCR-005</t>
        </is>
      </c>
      <c r="D121" s="35" t="inlineStr">
        <is>
          <t>FR-PR-01, FR-PR-02, FR-PR-05, FR-PR-07, FR-SF-01</t>
        </is>
      </c>
      <c r="E121" s="35" t="inlineStr">
        <is>
          <t>Edge</t>
        </is>
      </c>
      <c r="F121" s="35" t="inlineStr">
        <is>
          <t>State of the results page behind the Autocomplete layer after clearing the keyword via (X) — TBD whether filter/results are kept</t>
        </is>
      </c>
      <c r="G121" s="35" t="inlineStr">
        <is>
          <t>The results page has loaded with the "Sugar-free" filter active and "Price low-to-high" sort applied.</t>
        </is>
      </c>
      <c r="H121" s="35" t="inlineStr">
        <is>
          <t>1. On the "milk" results page with "Sugar-free" filter + "Price low-to-high" sort applied.
2. Tap (X) on the Search Bar.
3. Without typing a new keyword, tap outside or press Back to close the Autocomplete layer.
4. Check whether the results page reappears, and whether the "Sugar-free" filter chip/sort are still applied.</t>
        </is>
      </c>
      <c r="I121" s="35" t="inlineStr">
        <is>
          <t>"milk" + filter/sort active -&gt; tap (X) -&gt; close Autocomplete without a new search</t>
        </is>
      </c>
      <c r="J121" s="35" t="inlineStr">
        <is>
          <t>TBD — not yet confirmed whether (a) the results page + filter chip + sort are preserved behind the layer and reappear exactly as before when Autocomplete is closed without a new search, or (b) everything is cleared/reset as soon as (X) is tapped regardless of whether a new search follows. Cannot be scored Pass/Fail until confirmed. See QnA-33.</t>
        </is>
      </c>
      <c r="K121" s="35" t="inlineStr">
        <is>
          <t>Medium</t>
        </is>
      </c>
      <c r="L121" s="28" t="n"/>
      <c r="M121" s="28" t="inlineStr">
        <is>
          <t>N/A</t>
        </is>
      </c>
      <c r="N121" s="28" t="n"/>
      <c r="O121" s="28" t="n"/>
      <c r="P121" s="35" t="inlineStr">
        <is>
          <t>QnA-33</t>
        </is>
      </c>
      <c r="Q121" s="35" t="inlineStr">
        <is>
          <t>OPEN — QnA-33: xem chi tiết trong file QnA log.</t>
        </is>
      </c>
    </row>
    <row r="122">
      <c r="A122" s="27" t="inlineStr">
        <is>
          <t>SS-SCR-005-SC3-TC4</t>
        </is>
      </c>
      <c r="B122" s="27" t="inlineStr">
        <is>
          <t>SS-SCR-005-SC3</t>
        </is>
      </c>
      <c r="C122" s="27" t="inlineStr">
        <is>
          <t>SS-SCR-005</t>
        </is>
      </c>
      <c r="D122" s="27" t="inlineStr">
        <is>
          <t>FR-PR-01, FR-PR-02, FR-PR-05, FR-PR-07, FR-SF-01</t>
        </is>
      </c>
      <c r="E122" s="27" t="inlineStr">
        <is>
          <t>Functional</t>
        </is>
      </c>
      <c r="F122" s="27" t="inlineStr">
        <is>
          <t>Tapping the (+) button on a Product Card adds to cart right on the results page, without accidentally opening the PDP</t>
        </is>
      </c>
      <c r="G122" s="27" t="inlineStr">
        <is>
          <t>The results page has loaded with &gt;=1 in-stock product.</t>
        </is>
      </c>
      <c r="H122" s="27" t="inlineStr">
        <is>
          <t>1. On the "milk" results page, tap precisely on the (+) button of a Product Card (not the image/name area).
2. Check the UI immediately after tapping.
3. Confirm the current page is still the results page (not navigated to the PDP).</t>
        </is>
      </c>
      <c r="I122" s="27" t="inlineStr">
        <is>
          <t>Tap (+) on 1 in-stock card</t>
        </is>
      </c>
      <c r="J122" s="27" t="inlineStr">
        <is>
          <t>The cart badge increments immediately (optimistic update), and a confirmation Toast appears (full behavior already covered in detail in SS-SCR-011); does NOT navigate to the PDP; the (+) tap target is fully separate from the PDP tap target already tested in SC3-TC1.</t>
        </is>
      </c>
      <c r="K122" s="27" t="inlineStr">
        <is>
          <t>High</t>
        </is>
      </c>
      <c r="L122" s="28" t="n"/>
      <c r="M122" s="28" t="inlineStr">
        <is>
          <t>Not Run</t>
        </is>
      </c>
      <c r="N122" s="28" t="n"/>
      <c r="O122" s="28" t="n"/>
      <c r="P122" s="27" t="n"/>
      <c r="Q122" s="27" t="n"/>
    </row>
    <row r="123">
      <c r="A123" s="27" t="inlineStr">
        <is>
          <t>SS-SCR-005-SC7-TC1</t>
        </is>
      </c>
      <c r="B123" s="27" t="inlineStr">
        <is>
          <t>SS-SCR-005-SC7</t>
        </is>
      </c>
      <c r="C123" s="27" t="inlineStr">
        <is>
          <t>SS-SCR-005</t>
        </is>
      </c>
      <c r="D123" s="27" t="inlineStr">
        <is>
          <t>FR-PR-06</t>
        </is>
      </c>
      <c r="E123" s="27" t="inlineStr">
        <is>
          <t>Boundary</t>
        </is>
      </c>
      <c r="F123" s="27" t="inlineStr">
        <is>
          <t>Default sort = "Most Relevant" on first entry to the results page</t>
        </is>
      </c>
      <c r="G123" s="27" t="inlineStr">
        <is>
          <t>The customer has not selected a Sort option in the current session.</t>
        </is>
      </c>
      <c r="H123" s="27" t="inlineStr">
        <is>
          <t>1. Search "milk" for the first time in the session (Sort sheet never opened before).
2. Check the label on the sticky Sort bar.
3. Open the Sort bottom sheet (SS-SCR-008), check which option is marked as selected.</t>
        </is>
      </c>
      <c r="I123" s="27" t="inlineStr">
        <is>
          <t>"milk" (first time in the session)</t>
        </is>
      </c>
      <c r="J123" s="27" t="inlineStr">
        <is>
          <t>The sticky label correctly shows "Most Relevant" from the start; when the Sort sheet is opened, "Most Relevant" is already checked/selected without any prior action from the customer.</t>
        </is>
      </c>
      <c r="K123" s="27" t="inlineStr">
        <is>
          <t>Medium</t>
        </is>
      </c>
      <c r="L123" s="28" t="n"/>
      <c r="M123" s="28" t="inlineStr">
        <is>
          <t>Not Run</t>
        </is>
      </c>
      <c r="N123" s="28" t="n"/>
      <c r="O123" s="28" t="n"/>
      <c r="P123" s="27" t="n"/>
      <c r="Q123" s="27" t="n"/>
    </row>
    <row r="124">
      <c r="A124" s="27" t="inlineStr">
        <is>
          <t>SS-SCR-005-SC8-TC1</t>
        </is>
      </c>
      <c r="B124" s="27" t="inlineStr">
        <is>
          <t>SS-SCR-005-SC8</t>
        </is>
      </c>
      <c r="C124" s="27" t="inlineStr">
        <is>
          <t>SS-SCR-005</t>
        </is>
      </c>
      <c r="D124" s="27" t="inlineStr">
        <is>
          <t>FR-SF-04</t>
        </is>
      </c>
      <c r="E124" s="27" t="inlineStr">
        <is>
          <t>Boundary</t>
        </is>
      </c>
      <c r="F124" s="27" t="inlineStr">
        <is>
          <t>The "Filter" button is in its default (no badge) state when no condition has been applied</t>
        </is>
      </c>
      <c r="G124" s="27" t="inlineStr">
        <is>
          <t>The results page has just loaded; Filter has never been opened/applied.</t>
        </is>
      </c>
      <c r="H124" s="27" t="inlineStr">
        <is>
          <t>1. Search "milk", check the "Filter" button on the sticky bar.
2. Check whether a count badge is shown.
3. Check that no filter chip is active on the results page.</t>
        </is>
      </c>
      <c r="I124" s="27" t="inlineStr">
        <is>
          <t>"milk" (no filter applied)</t>
        </is>
      </c>
      <c r="J124" s="27" t="inlineStr">
        <is>
          <t>The "Filter" button shows no badge (or a badge=0 that is fully hidden, matching the end state of SS-SCR-010-SC3); no filter chip is active; the total result count is the full, unfiltered set.</t>
        </is>
      </c>
      <c r="K124" s="27" t="inlineStr">
        <is>
          <t>Low</t>
        </is>
      </c>
      <c r="L124" s="28" t="n"/>
      <c r="M124" s="28" t="inlineStr">
        <is>
          <t>Not Run</t>
        </is>
      </c>
      <c r="N124" s="28" t="n"/>
      <c r="O124" s="28" t="n"/>
      <c r="P124" s="27" t="n"/>
      <c r="Q124" s="27" t="n"/>
    </row>
    <row r="125">
      <c r="A125" s="27" t="inlineStr">
        <is>
          <t>SS-SCR-005-SC9-TC1</t>
        </is>
      </c>
      <c r="B125" s="27" t="inlineStr">
        <is>
          <t>SS-SCR-005-SC9</t>
        </is>
      </c>
      <c r="C125" s="27" t="inlineStr">
        <is>
          <t>SS-SCR-005</t>
        </is>
      </c>
      <c r="D125" s="27" t="inlineStr">
        <is>
          <t>FR-SF-01, FR-SF-02, FR-SF-03</t>
        </is>
      </c>
      <c r="E125" s="27" t="inlineStr">
        <is>
          <t>Filter</t>
        </is>
      </c>
      <c r="F125" s="27" t="inlineStr">
        <is>
          <t>Tapping 1 Smart Filter Chip applies the filter immediately, without opening the detailed Filter sheet</t>
        </is>
      </c>
      <c r="G125" s="27" t="inlineStr">
        <is>
          <t>The results page has loaded with the Smart Filter Chips row showing &gt;=1 chip.</t>
        </is>
      </c>
      <c r="H125" s="27" t="inlineStr">
        <is>
          <t>1. Search "milk", check the horizontal Smart Filter Chips row above the results grid.
2. Tap any chip (e.g. "Organic").
3. Check the chip state, the Filter button badge, and the result count.</t>
        </is>
      </c>
      <c r="I125" s="27" t="inlineStr">
        <is>
          <t>Tap the "Organic" chip</t>
        </is>
      </c>
      <c r="J125" s="27" t="inlineStr">
        <is>
          <t>The chip switches to an active state (background color changes) immediately on tap, with no separate "Apply" button needed; results update in real time to only matching SKUs; the "Filter" button badge increments by 1; the filtered result count is always &gt;=1 product (per FR-SF-01-&gt;03).</t>
        </is>
      </c>
      <c r="K125" s="27" t="inlineStr">
        <is>
          <t>Medium</t>
        </is>
      </c>
      <c r="L125" s="28" t="n"/>
      <c r="M125" s="28" t="inlineStr">
        <is>
          <t>Not Run</t>
        </is>
      </c>
      <c r="N125" s="28" t="n"/>
      <c r="O125" s="28" t="n"/>
      <c r="P125" s="27" t="n"/>
      <c r="Q125" s="27" t="n"/>
    </row>
    <row r="126">
      <c r="A126" s="27" t="inlineStr">
        <is>
          <t>SS-SCR-005-SC9-TC2</t>
        </is>
      </c>
      <c r="B126" s="27" t="inlineStr">
        <is>
          <t>SS-SCR-005-SC9</t>
        </is>
      </c>
      <c r="C126" s="27" t="inlineStr">
        <is>
          <t>SS-SCR-005</t>
        </is>
      </c>
      <c r="D126" s="27" t="inlineStr">
        <is>
          <t>FR-SF-01, FR-SF-02, FR-SF-03</t>
        </is>
      </c>
      <c r="E126" s="27" t="inlineStr">
        <is>
          <t>Filter</t>
        </is>
      </c>
      <c r="F126" s="27" t="inlineStr">
        <is>
          <t>Tapping a second chip combines filter conditions (AND) on the Smart Filter Chips</t>
        </is>
      </c>
      <c r="G126" s="27" t="inlineStr">
        <is>
          <t>The "Organic" chip is already active.</t>
        </is>
      </c>
      <c r="H126" s="27" t="inlineStr">
        <is>
          <t>1. From the "Organic"-filtered state, tap the "Sugar-free" chip as well.
2. Check the results and badge once both chips are active.
3. Deselect the "Organic" chip, check that results now only reflect "Sugar-free".</t>
        </is>
      </c>
      <c r="I126" s="27" t="inlineStr">
        <is>
          <t>"Organic" + "Sugar-free" chips, then deselect "Organic"</t>
        </is>
      </c>
      <c r="J126" s="27" t="inlineStr">
        <is>
          <t>Both active chips apply a combined (AND) filter; badge = 2; deselecting one chip keeps the other, results automatically update to reflect only the remaining active condition, and the badge drops to 1 — consistent with the chip-removal behavior already tested in SS-SCR-010-SC2.</t>
        </is>
      </c>
      <c r="K126" s="27" t="inlineStr">
        <is>
          <t>Medium</t>
        </is>
      </c>
      <c r="L126" s="28" t="n"/>
      <c r="M126" s="28" t="inlineStr">
        <is>
          <t>Not Run</t>
        </is>
      </c>
      <c r="N126" s="28" t="n"/>
      <c r="O126" s="28" t="n"/>
      <c r="P126" s="27" t="n"/>
      <c r="Q126" s="27" t="n"/>
    </row>
    <row r="127">
      <c r="A127" s="35" t="inlineStr">
        <is>
          <t>SS-SCR-006-SC1-TC3</t>
        </is>
      </c>
      <c r="B127" s="35" t="inlineStr">
        <is>
          <t>SS-SCR-006-SC1</t>
        </is>
      </c>
      <c r="C127" s="35" t="inlineStr">
        <is>
          <t>SS-SCR-006</t>
        </is>
      </c>
      <c r="D127" s="35" t="inlineStr">
        <is>
          <t>FR-PR-01, FR-PR-07</t>
        </is>
      </c>
      <c r="E127" s="35" t="inlineStr">
        <is>
          <t>Boundary</t>
        </is>
      </c>
      <c r="F127" s="35" t="inlineStr">
        <is>
          <t>List view when a Member logs in for the first time on a different device — sync behavior TBD (parallel to SS-SCR-005-SC1-TC3)</t>
        </is>
      </c>
      <c r="G127" s="35" t="inlineStr">
        <is>
          <t>The Member has previously selected List on Device A.</t>
        </is>
      </c>
      <c r="H127" s="35" t="inlineStr">
        <is>
          <t>1. On Device A, switch view mode to List.
2. Log in with the same account on Device B (first time).
3. Go to the results page on Device B, check the default view mode.</t>
        </is>
      </c>
      <c r="I127" s="35" t="inlineStr">
        <is>
          <t>Same mechanism as SS-SCR-005-SC1-TC3, re-verified from the List/new-device angle</t>
        </is>
      </c>
      <c r="J127" s="35" t="inlineStr">
        <is>
          <t>TBD — the same open question as SS-SCR-005-SC1-TC3, since both screens share a single persistence mechanism per FR-PR-07. Cannot be scored Pass/Fail until confirmed. See QnA-34.</t>
        </is>
      </c>
      <c r="K127" s="35" t="inlineStr">
        <is>
          <t>Low</t>
        </is>
      </c>
      <c r="L127" s="28" t="n"/>
      <c r="M127" s="28" t="inlineStr">
        <is>
          <t>N/A</t>
        </is>
      </c>
      <c r="N127" s="28" t="n"/>
      <c r="O127" s="28" t="n"/>
      <c r="P127" s="35" t="inlineStr">
        <is>
          <t>QnA-34</t>
        </is>
      </c>
      <c r="Q127" s="35" t="inlineStr">
        <is>
          <t>OPEN — QnA-34: xem chi tiết trong file QnA log.</t>
        </is>
      </c>
    </row>
    <row r="128">
      <c r="A128" s="35" t="inlineStr">
        <is>
          <t>SS-SCR-006-SC1-TC4</t>
        </is>
      </c>
      <c r="B128" s="35" t="inlineStr">
        <is>
          <t>SS-SCR-006-SC1</t>
        </is>
      </c>
      <c r="C128" s="35" t="inlineStr">
        <is>
          <t>SS-SCR-006</t>
        </is>
      </c>
      <c r="D128" s="35" t="inlineStr">
        <is>
          <t>FR-PR-01, FR-PR-07</t>
        </is>
      </c>
      <c r="E128" s="35" t="inlineStr">
        <is>
          <t>Boundary</t>
        </is>
      </c>
      <c r="F128" s="35" t="inlineStr">
        <is>
          <t>List view when two accounts log in one after another on the same device — inheritance TBD (parallel to SS-SCR-005-SC1-TC4)</t>
        </is>
      </c>
      <c r="G128" s="35" t="inlineStr">
        <is>
          <t>Account 1 has selected List on the shared device.</t>
        </is>
      </c>
      <c r="H128" s="35" t="inlineStr">
        <is>
          <t>1. Account 1 selects List, logs out.
2. Account 2 logs in on the same device, goes to the results page.
3. Check the default view mode for Account 2.</t>
        </is>
      </c>
      <c r="I128" s="35" t="inlineStr">
        <is>
          <t>Same mechanism as SS-SCR-005-SC1-TC4</t>
        </is>
      </c>
      <c r="J128" s="35" t="inlineStr">
        <is>
          <t>TBD — the same open question as SS-SCR-005-SC1-TC4. Cannot be scored Pass/Fail until confirmed. See QnA-34.</t>
        </is>
      </c>
      <c r="K128" s="35" t="inlineStr">
        <is>
          <t>Low</t>
        </is>
      </c>
      <c r="L128" s="28" t="n"/>
      <c r="M128" s="28" t="inlineStr">
        <is>
          <t>N/A</t>
        </is>
      </c>
      <c r="N128" s="28" t="n"/>
      <c r="O128" s="28" t="n"/>
      <c r="P128" s="35" t="inlineStr">
        <is>
          <t>QnA-34</t>
        </is>
      </c>
      <c r="Q128" s="35" t="inlineStr">
        <is>
          <t>OPEN — QnA-34: xem chi tiết trong file QnA log.</t>
        </is>
      </c>
    </row>
    <row r="129">
      <c r="A129" s="27" t="inlineStr">
        <is>
          <t>SS-SCR-006-SC4-TC1</t>
        </is>
      </c>
      <c r="B129" s="27" t="inlineStr">
        <is>
          <t>SS-SCR-006-SC4</t>
        </is>
      </c>
      <c r="C129" s="27" t="inlineStr">
        <is>
          <t>SS-SCR-006</t>
        </is>
      </c>
      <c r="D129" s="27" t="inlineStr">
        <is>
          <t>FR-PR-01, FR-PR-07</t>
        </is>
      </c>
      <c r="E129" s="27" t="inlineStr">
        <is>
          <t>Functional</t>
        </is>
      </c>
      <c r="F129" s="27" t="inlineStr">
        <is>
          <t>Tap a Product Card (outside the + button) in List view opens the correct PDP</t>
        </is>
      </c>
      <c r="G129" s="27" t="inlineStr">
        <is>
          <t>View mode = List, results page has loaded.</t>
        </is>
      </c>
      <c r="H129" s="27" t="inlineStr">
        <is>
          <t>1. On the "milk" results page, List view, tap the image/name area of a product row (not the + button).
2. Check the page that opens.</t>
        </is>
      </c>
      <c r="I129" s="27" t="inlineStr">
        <is>
          <t>Any 1 product row (List)</t>
        </is>
      </c>
      <c r="J129" s="27" t="inlineStr">
        <is>
          <t>Opens the correct PDP for the tapped product, consistent with SS-SCR-005-SC3-TC1 (Grid); does not accidentally trigger add-to-cart.</t>
        </is>
      </c>
      <c r="K129" s="27" t="inlineStr">
        <is>
          <t>High</t>
        </is>
      </c>
      <c r="L129" s="28" t="n"/>
      <c r="M129" s="28" t="inlineStr">
        <is>
          <t>Not Run</t>
        </is>
      </c>
      <c r="N129" s="28" t="n"/>
      <c r="O129" s="28" t="n"/>
      <c r="P129" s="27" t="n"/>
      <c r="Q129" s="27" t="n"/>
    </row>
    <row r="130">
      <c r="A130" s="35" t="inlineStr">
        <is>
          <t>SS-SCR-006-SC5-TC1</t>
        </is>
      </c>
      <c r="B130" s="35" t="inlineStr">
        <is>
          <t>SS-SCR-006-SC5</t>
        </is>
      </c>
      <c r="C130" s="35" t="inlineStr">
        <is>
          <t>SS-SCR-006</t>
        </is>
      </c>
      <c r="D130" s="35" t="inlineStr">
        <is>
          <t>No clear FR ID in the BRD — see QnA-10</t>
        </is>
      </c>
      <c r="E130" s="35" t="inlineStr">
        <is>
          <t>Functional</t>
        </is>
      </c>
      <c r="F130" s="35" t="inlineStr">
        <is>
          <t>Tap the (+) button to add to cart in List view, without accidentally opening the PDP</t>
        </is>
      </c>
      <c r="G130" s="35" t="inlineStr">
        <is>
          <t>View mode = List, &gt;=1 in-stock product.</t>
        </is>
      </c>
      <c r="H130" s="35" t="inlineStr">
        <is>
          <t>1. On the "milk" results page, List view, tap precisely on the (+) button of a product row.
2. Check the cart badge and the confirmation Toast.
3. Confirm still on the results page (not navigated to the PDP).</t>
        </is>
      </c>
      <c r="I130" s="35" t="inlineStr">
        <is>
          <t>Tap (+) on 1 in-stock row (List)</t>
        </is>
      </c>
      <c r="J130" s="35" t="inlineStr">
        <is>
          <t>The badge increments immediately, the confirmation Toast appears (full behavior already tested in SS-SCR-011); does not navigate to the PDP; consistent with SS-SCR-005-SC3-TC4 (Grid).</t>
        </is>
      </c>
      <c r="K130" s="35" t="inlineStr">
        <is>
          <t>High</t>
        </is>
      </c>
      <c r="L130" s="28" t="n"/>
      <c r="M130" s="28" t="inlineStr">
        <is>
          <t>N/A</t>
        </is>
      </c>
      <c r="N130" s="28" t="n"/>
      <c r="O130" s="28" t="n"/>
      <c r="P130" s="35" t="inlineStr">
        <is>
          <t>QnA-10</t>
        </is>
      </c>
      <c r="Q130" s="35" t="inlineStr">
        <is>
          <t>OPEN — QnA-10: xem chi tiết trong file QnA log.</t>
        </is>
      </c>
    </row>
    <row r="131">
      <c r="A131" s="35" t="inlineStr">
        <is>
          <t>SS-SCR-008-SC1-TC3</t>
        </is>
      </c>
      <c r="B131" s="35" t="inlineStr">
        <is>
          <t>SS-SCR-008-SC1</t>
        </is>
      </c>
      <c r="C131" s="35" t="inlineStr">
        <is>
          <t>SS-SCR-008</t>
        </is>
      </c>
      <c r="D131" s="35" t="inlineStr">
        <is>
          <t>FR-SF-02, FR-PR-06</t>
        </is>
      </c>
      <c r="E131" s="35" t="inlineStr">
        <is>
          <t>Ranking</t>
        </is>
      </c>
      <c r="F131" s="35" t="inlineStr">
        <is>
          <t>Verify "Most Relevant" does not silently fall back to another sort order (AI ranking sanity check)</t>
        </is>
      </c>
      <c r="G131" s="35" t="inlineStr">
        <is>
          <t>The "milk" results have several products with different prices/ratings/discount levels.</t>
        </is>
      </c>
      <c r="H131" s="35" t="inlineStr">
        <is>
          <t>1. Search "milk", keep the default sort "Most Relevant".
2. Record the order of the Top 10 products.
3. Compare this order against the order under Price-ascending and under Name A-Z.
4. Confirm the "Most Relevant" order does not fully match either of those two simple sorts.</t>
        </is>
      </c>
      <c r="I131" s="35" t="inlineStr">
        <is>
          <t>"milk" (Top 10)</t>
        </is>
      </c>
      <c r="J131" s="35" t="inlineStr">
        <is>
          <t>The Top 10 order under "Most Relevant" differs from the Price-ascending order and from the Name A-Z order (barring rare coincidental matches) — confirming the system is applying AI Scorecard Ranking (Relevance/Purchase Affinity/Margin/Promotion/Trending per the BRD) rather than silently falling back to a simple sort. The exact weighting cannot be independently verified by QC. See QnA-37.</t>
        </is>
      </c>
      <c r="K131" s="35" t="inlineStr">
        <is>
          <t>Medium</t>
        </is>
      </c>
      <c r="L131" s="28" t="n"/>
      <c r="M131" s="28" t="inlineStr">
        <is>
          <t>N/A</t>
        </is>
      </c>
      <c r="N131" s="28" t="n"/>
      <c r="O131" s="28" t="n"/>
      <c r="P131" s="35" t="inlineStr">
        <is>
          <t>QnA-37</t>
        </is>
      </c>
      <c r="Q131" s="35" t="inlineStr">
        <is>
          <t>OPEN — QnA-37: xem chi tiết trong file QnA log.</t>
        </is>
      </c>
    </row>
    <row r="132">
      <c r="A132" s="35" t="inlineStr">
        <is>
          <t>SS-SCR-008-SC1-TC4</t>
        </is>
      </c>
      <c r="B132" s="35" t="inlineStr">
        <is>
          <t>SS-SCR-008-SC1</t>
        </is>
      </c>
      <c r="C132" s="35" t="inlineStr">
        <is>
          <t>SS-SCR-008</t>
        </is>
      </c>
      <c r="D132" s="35" t="inlineStr">
        <is>
          <t>FR-SF-02, FR-PR-06</t>
        </is>
      </c>
      <c r="E132" s="35" t="inlineStr">
        <is>
          <t>Ranking</t>
        </is>
      </c>
      <c r="F132" s="35" t="inlineStr">
        <is>
          <t>Verify "Best Selling" sorts by highest purchase count, descending</t>
        </is>
      </c>
      <c r="G132" s="35" t="inlineStr">
        <is>
          <t>Purchase/order count data differs across SKUs in the result set.</t>
        </is>
      </c>
      <c r="H132" s="35" t="inlineStr">
        <is>
          <t>1. Search "milk", select Sort = "Best Selling".
2. Record the purchase count (if exposed via API/admin) of the first 5 SKUs.
3. Confirm descending order.</t>
        </is>
      </c>
      <c r="I132" s="35" t="inlineStr">
        <is>
          <t>Sort = "Best Selling"</t>
        </is>
      </c>
      <c r="J132" s="35" t="inlineStr">
        <is>
          <t>TBD — the first 5 SKUs must show a continuously descending purchase count (each SKU &lt;= the previous one); not yet confirmed whether "purchase count" is Order Count (as in FR-PS-03) or Item Quantity, and over what time window (all-time or rolling). See QnA-37.</t>
        </is>
      </c>
      <c r="K132" s="35" t="inlineStr">
        <is>
          <t>Medium</t>
        </is>
      </c>
      <c r="L132" s="28" t="n"/>
      <c r="M132" s="28" t="inlineStr">
        <is>
          <t>N/A</t>
        </is>
      </c>
      <c r="N132" s="28" t="n"/>
      <c r="O132" s="28" t="n"/>
      <c r="P132" s="35" t="inlineStr">
        <is>
          <t>QnA-37</t>
        </is>
      </c>
      <c r="Q132" s="35" t="inlineStr">
        <is>
          <t>OPEN — QnA-37: xem chi tiết trong file QnA log.</t>
        </is>
      </c>
    </row>
    <row r="133">
      <c r="A133" s="35" t="inlineStr">
        <is>
          <t>SS-SCR-008-SC1-TC5</t>
        </is>
      </c>
      <c r="B133" s="35" t="inlineStr">
        <is>
          <t>SS-SCR-008-SC1</t>
        </is>
      </c>
      <c r="C133" s="35" t="inlineStr">
        <is>
          <t>SS-SCR-008</t>
        </is>
      </c>
      <c r="D133" s="35" t="inlineStr">
        <is>
          <t>FR-SF-02, FR-PR-06</t>
        </is>
      </c>
      <c r="E133" s="35" t="inlineStr">
        <is>
          <t>Ranking</t>
        </is>
      </c>
      <c r="F133" s="35" t="inlineStr">
        <is>
          <t>Verify "Most Viewed" sorts by view/interest count, descending</t>
        </is>
      </c>
      <c r="G133" s="35" t="inlineStr">
        <is>
          <t>Product view count (page view/PDP view) data differs across SKUs.</t>
        </is>
      </c>
      <c r="H133" s="35" t="inlineStr">
        <is>
          <t>1. Search "milk", select Sort = "Most Viewed".
2. Record the view count of the first 5 SKUs (if exposed).
3. Confirm descending order.</t>
        </is>
      </c>
      <c r="I133" s="35" t="inlineStr">
        <is>
          <t>Sort = "Most Viewed"</t>
        </is>
      </c>
      <c r="J133" s="35" t="inlineStr">
        <is>
          <t>TBD — the first 5 SKUs should descend by view count; not yet clear whether "most viewed" is PDP views, search-result impressions, or both, and over what time window. See QnA-37.</t>
        </is>
      </c>
      <c r="K133" s="35" t="inlineStr">
        <is>
          <t>Low</t>
        </is>
      </c>
      <c r="L133" s="28" t="n"/>
      <c r="M133" s="28" t="inlineStr">
        <is>
          <t>N/A</t>
        </is>
      </c>
      <c r="N133" s="28" t="n"/>
      <c r="O133" s="28" t="n"/>
      <c r="P133" s="35" t="inlineStr">
        <is>
          <t>QnA-37</t>
        </is>
      </c>
      <c r="Q133" s="35" t="inlineStr">
        <is>
          <t>OPEN — QnA-37: xem chi tiết trong file QnA log.</t>
        </is>
      </c>
    </row>
    <row r="134">
      <c r="A134" s="27" t="inlineStr">
        <is>
          <t>SS-SCR-008-SC1-TC6</t>
        </is>
      </c>
      <c r="B134" s="27" t="inlineStr">
        <is>
          <t>SS-SCR-008-SC1</t>
        </is>
      </c>
      <c r="C134" s="27" t="inlineStr">
        <is>
          <t>SS-SCR-008</t>
        </is>
      </c>
      <c r="D134" s="27" t="inlineStr">
        <is>
          <t>FR-SF-02, FR-PR-06</t>
        </is>
      </c>
      <c r="E134" s="27" t="inlineStr">
        <is>
          <t>Ranking</t>
        </is>
      </c>
      <c r="F134" s="27" t="inlineStr">
        <is>
          <t>Verify "Biggest Discount" sorts by discount %, descending</t>
        </is>
      </c>
      <c r="G134" s="27" t="inlineStr">
        <is>
          <t>SKUs in the result set have varying discount % (including SKUs at 0% discount).</t>
        </is>
      </c>
      <c r="H134" s="27" t="inlineStr">
        <is>
          <t>1. Search "milk", select Sort = "Biggest Discount".
2. Record the discount % shown on the badge for the first 5-10 SKUs.
3. Confirm descending %; check that 0%-discount SKUs are pushed to the end.</t>
        </is>
      </c>
      <c r="I134" s="27" t="inlineStr">
        <is>
          <t>Sort = "Biggest Discount"</t>
        </is>
      </c>
      <c r="J134" s="27" t="inlineStr">
        <is>
          <t>The discount % descends continuously from the first SKU; SKUs with no promotion (0%) sit at the end of the list, not interleaved with discounted SKUs.</t>
        </is>
      </c>
      <c r="K134" s="27" t="inlineStr">
        <is>
          <t>Medium</t>
        </is>
      </c>
      <c r="L134" s="28" t="n"/>
      <c r="M134" s="28" t="inlineStr">
        <is>
          <t>Not Run</t>
        </is>
      </c>
      <c r="N134" s="28" t="n"/>
      <c r="O134" s="28" t="n"/>
      <c r="P134" s="27" t="n"/>
      <c r="Q134" s="27" t="n"/>
    </row>
    <row r="135">
      <c r="A135" s="35" t="inlineStr">
        <is>
          <t>SS-SCR-008-SC1-TC7</t>
        </is>
      </c>
      <c r="B135" s="35" t="inlineStr">
        <is>
          <t>SS-SCR-008-SC1</t>
        </is>
      </c>
      <c r="C135" s="35" t="inlineStr">
        <is>
          <t>SS-SCR-008</t>
        </is>
      </c>
      <c r="D135" s="35" t="inlineStr">
        <is>
          <t>FR-SF-02, FR-PR-06</t>
        </is>
      </c>
      <c r="E135" s="35" t="inlineStr">
        <is>
          <t>Ranking</t>
        </is>
      </c>
      <c r="F135" s="35" t="inlineStr">
        <is>
          <t>Verify "Highest Rated" sorts by average star rating, descending</t>
        </is>
      </c>
      <c r="G135" s="35" t="inlineStr">
        <is>
          <t>SKUs have varying average ratings and review counts (including a 5-star/1-review SKU and a 4.8-star/1000-review SKU).</t>
        </is>
      </c>
      <c r="H135" s="35" t="inlineStr">
        <is>
          <t>1. Search "milk", select Sort = "Highest Rated".
2. Record the average rating of the first 5-10 SKUs.
3. Check whether an SKU with very few reviews (e.g. 1 review, 5 stars) ranks above an SKU with many more reviews but a slightly lower average.</t>
        </is>
      </c>
      <c r="I135" s="35" t="inlineStr">
        <is>
          <t>Sort = "Highest Rated"</t>
        </is>
      </c>
      <c r="J135" s="35" t="inlineStr">
        <is>
          <t>TBD — the average rating must descend; not yet confirmed whether a review-count-weighted/Bayesian smoothing is applied to prevent a 1-review 5-star SKU from dominating over a higher-review SKU with a slightly lower average, or whether the raw average is used as-is. See QnA-37.</t>
        </is>
      </c>
      <c r="K135" s="35" t="inlineStr">
        <is>
          <t>Medium</t>
        </is>
      </c>
      <c r="L135" s="28" t="n"/>
      <c r="M135" s="28" t="inlineStr">
        <is>
          <t>N/A</t>
        </is>
      </c>
      <c r="N135" s="28" t="n"/>
      <c r="O135" s="28" t="n"/>
      <c r="P135" s="35" t="inlineStr">
        <is>
          <t>QnA-37</t>
        </is>
      </c>
      <c r="Q135" s="35" t="inlineStr">
        <is>
          <t>OPEN — QnA-37: xem chi tiết trong file QnA log.</t>
        </is>
      </c>
    </row>
    <row r="136">
      <c r="A136" s="35" t="inlineStr">
        <is>
          <t>SS-SCR-008-SC1-TC8</t>
        </is>
      </c>
      <c r="B136" s="35" t="inlineStr">
        <is>
          <t>SS-SCR-008-SC1</t>
        </is>
      </c>
      <c r="C136" s="35" t="inlineStr">
        <is>
          <t>SS-SCR-008</t>
        </is>
      </c>
      <c r="D136" s="35" t="inlineStr">
        <is>
          <t>FR-SF-02, FR-PR-06</t>
        </is>
      </c>
      <c r="E136" s="35" t="inlineStr">
        <is>
          <t>Boundary</t>
        </is>
      </c>
      <c r="F136" s="35" t="inlineStr">
        <is>
          <t>Verify "Price: Low to High" sorts by ascending price, with tie handling</t>
        </is>
      </c>
      <c r="G136" s="35" t="inlineStr">
        <is>
          <t>There are &gt;=2 SKUs with the exact same price in the result set.</t>
        </is>
      </c>
      <c r="H136" s="35" t="inlineStr">
        <is>
          <t>1. Search "milk", select Sort = "Price: Low to High".
2. Record the price of the full Top 10.
3. Confirm the price ascends continuously (each SKU &gt;= the previous one).
4. For SKUs with identical prices, note the current tie-break order.</t>
        </is>
      </c>
      <c r="I136" s="35" t="inlineStr">
        <is>
          <t>Sort = "Price: Low to High"</t>
        </is>
      </c>
      <c r="J136" s="35" t="inlineStr">
        <is>
          <t>TBD — price must ascend continuously across the whole list; the tie-break rule for SKUs with the exact same price (by Relevance? by SKU creation date? by Product ID?) is not defined in the BRD. See QnA-37.</t>
        </is>
      </c>
      <c r="K136" s="35" t="inlineStr">
        <is>
          <t>Medium</t>
        </is>
      </c>
      <c r="L136" s="28" t="n"/>
      <c r="M136" s="28" t="inlineStr">
        <is>
          <t>N/A</t>
        </is>
      </c>
      <c r="N136" s="28" t="n"/>
      <c r="O136" s="28" t="n"/>
      <c r="P136" s="35" t="inlineStr">
        <is>
          <t>QnA-37</t>
        </is>
      </c>
      <c r="Q136" s="35" t="inlineStr">
        <is>
          <t>OPEN — QnA-37: xem chi tiết trong file QnA log.</t>
        </is>
      </c>
    </row>
    <row r="137">
      <c r="A137" s="27" t="inlineStr">
        <is>
          <t>SS-SCR-008-SC1-TC9</t>
        </is>
      </c>
      <c r="B137" s="27" t="inlineStr">
        <is>
          <t>SS-SCR-008-SC1</t>
        </is>
      </c>
      <c r="C137" s="27" t="inlineStr">
        <is>
          <t>SS-SCR-008</t>
        </is>
      </c>
      <c r="D137" s="27" t="inlineStr">
        <is>
          <t>FR-SF-02, FR-PR-06</t>
        </is>
      </c>
      <c r="E137" s="27" t="inlineStr">
        <is>
          <t>Boundary</t>
        </is>
      </c>
      <c r="F137" s="27" t="inlineStr">
        <is>
          <t>Verify "Price: High to Low" sorts by descending price</t>
        </is>
      </c>
      <c r="G137" s="27" t="inlineStr">
        <is>
          <t>The result set spans a wide price range.</t>
        </is>
      </c>
      <c r="H137" s="27" t="inlineStr">
        <is>
          <t>1. Search "milk", select Sort = "Price: High to Low".
2. Record the Top 10 prices.
3. Confirm the price descends continuously, and that the SKU order is exactly the reverse of TC8 ("Price: Low to High") on the same result set.</t>
        </is>
      </c>
      <c r="I137" s="27" t="inlineStr">
        <is>
          <t>Sort = "Price: High to Low"</t>
        </is>
      </c>
      <c r="J137" s="27" t="inlineStr">
        <is>
          <t>Price descends continuously; the SKU order is exactly the reverse of the "Price: Low to High" sort on the same result set (no SKU out of place).</t>
        </is>
      </c>
      <c r="K137" s="27" t="inlineStr">
        <is>
          <t>Low</t>
        </is>
      </c>
      <c r="L137" s="28" t="n"/>
      <c r="M137" s="28" t="inlineStr">
        <is>
          <t>Not Run</t>
        </is>
      </c>
      <c r="N137" s="28" t="n"/>
      <c r="O137" s="28" t="n"/>
      <c r="P137" s="27" t="n"/>
      <c r="Q137" s="27" t="n"/>
    </row>
    <row r="138">
      <c r="A138" s="27" t="inlineStr">
        <is>
          <t>SS-SCR-008-SC1-TC10</t>
        </is>
      </c>
      <c r="B138" s="27" t="inlineStr">
        <is>
          <t>SS-SCR-008-SC1</t>
        </is>
      </c>
      <c r="C138" s="27" t="inlineStr">
        <is>
          <t>SS-SCR-008</t>
        </is>
      </c>
      <c r="D138" s="27" t="inlineStr">
        <is>
          <t>FR-SF-02, FR-PR-06</t>
        </is>
      </c>
      <c r="E138" s="27" t="inlineStr">
        <is>
          <t>Boundary</t>
        </is>
      </c>
      <c r="F138" s="27" t="inlineStr">
        <is>
          <t>Verify "Product Name (A-Z)" sorts alphabetically, handling Vietnamese diacritics</t>
        </is>
      </c>
      <c r="G138" s="27" t="inlineStr">
        <is>
          <t>The result set has SKU names starting with both diacritic and diacritic-free characters, or mixed upper/lower case.</t>
        </is>
      </c>
      <c r="H138" s="27" t="inlineStr">
        <is>
          <t>1. Search "milk", select Sort = "Product Name (A-Z)".
2. Record the names of the top 10-15 SKUs.
3. Confirm the order follows correct Vietnamese alphabetical collation (diacritics: a, à, á, ả, ã, ạ, ă,... in the correct position per Vietnamese sort order, not raw Unicode code-point order).</t>
        </is>
      </c>
      <c r="I138" s="27" t="inlineStr">
        <is>
          <t>Sort = "Product Name (A-Z)"</t>
        </is>
      </c>
      <c r="J138" s="27" t="inlineStr">
        <is>
          <t>The order follows correct Vietnamese alphabetical collation, not raw Unicode code-point order (which would incorrectly place diacritic characters after ASCII characters); case does not cause an unreasonable ordering skew.</t>
        </is>
      </c>
      <c r="K138" s="27" t="inlineStr">
        <is>
          <t>Low</t>
        </is>
      </c>
      <c r="L138" s="28" t="n"/>
      <c r="M138" s="28" t="inlineStr">
        <is>
          <t>Not Run</t>
        </is>
      </c>
      <c r="N138" s="28" t="n"/>
      <c r="O138" s="28" t="n"/>
      <c r="P138" s="27" t="n"/>
      <c r="Q138" s="27" t="n"/>
    </row>
    <row r="139">
      <c r="A139" s="27" t="inlineStr">
        <is>
          <t>SS-SCR-008-SC2-TC2</t>
        </is>
      </c>
      <c r="B139" s="27" t="inlineStr">
        <is>
          <t>SS-SCR-008-SC2</t>
        </is>
      </c>
      <c r="C139" s="27" t="inlineStr">
        <is>
          <t>SS-SCR-008</t>
        </is>
      </c>
      <c r="D139" s="27" t="inlineStr">
        <is>
          <t>FR-SF-02, FR-PR-06</t>
        </is>
      </c>
      <c r="E139" s="27" t="inlineStr">
        <is>
          <t>Functional</t>
        </is>
      </c>
      <c r="F139" s="27" t="inlineStr">
        <is>
          <t>Tapping the "X" in the Sort sheet header closes it and keeps the previous selection (parallel to the tap-outside behavior in TC1)</t>
        </is>
      </c>
      <c r="G139" s="27" t="inlineStr">
        <is>
          <t>The Sort bottom sheet is open, current criterion = "Most Relevant".</t>
        </is>
      </c>
      <c r="H139" s="27" t="inlineStr">
        <is>
          <t>1. Open the Sort sheet (currently "Most Relevant" selected).
2. Tap the "X" in the top-right corner of the sheet header (without selecting a different option, without tapping outside).
3. Check the label on the sticky bar after the sheet closes.</t>
        </is>
      </c>
      <c r="I139" s="27" t="inlineStr">
        <is>
          <t>Tap "X" in the header</t>
        </is>
      </c>
      <c r="J139" s="27" t="inlineStr">
        <is>
          <t>The sheet closes; the sticky-bar label is still "Most Relevant"; no new query is triggered — identical to the tap-outside dismissal already tested in SC2-TC1, confirming both dismissal methods (tap outside / X button) are consistent.</t>
        </is>
      </c>
      <c r="K139" s="27" t="inlineStr">
        <is>
          <t>Low</t>
        </is>
      </c>
      <c r="L139" s="28" t="n"/>
      <c r="M139" s="28" t="inlineStr">
        <is>
          <t>Not Run</t>
        </is>
      </c>
      <c r="N139" s="28" t="n"/>
      <c r="O139" s="28" t="n"/>
      <c r="P139" s="27" t="n"/>
      <c r="Q139" s="27" t="n"/>
    </row>
    <row r="140">
      <c r="A140" s="35" t="inlineStr">
        <is>
          <t>SS-SCR-009-SC3-TC2</t>
        </is>
      </c>
      <c r="B140" s="35" t="inlineStr">
        <is>
          <t>SS-SCR-009-SC3</t>
        </is>
      </c>
      <c r="C140" s="35" t="inlineStr">
        <is>
          <t>SS-SCR-009</t>
        </is>
      </c>
      <c r="D140" s="35" t="inlineStr">
        <is>
          <t>FR-SF-01, FR-SF-04</t>
        </is>
      </c>
      <c r="E140" s="35" t="inlineStr">
        <is>
          <t>Filter</t>
        </is>
      </c>
      <c r="F140" s="35" t="inlineStr">
        <is>
          <t>Verify the Labels chip generation &amp; display-order rule (Information Gain) — TBD</t>
        </is>
      </c>
      <c r="G140" s="35" t="inlineStr">
        <is>
          <t>The Labels tab shows a chip list (same data source as the Smart Filter Chips on the results page, per FR-SF-04 "based on the smart filter list").</t>
        </is>
      </c>
      <c r="H140" s="35" t="inlineStr">
        <is>
          <t>1. Search "milk", open Filter, switch to the Labels tab.
2. Record the display order of every chip in the tab.
3. Compare this order against the Smart Filter Chips row shown directly on the results page (SS-SCR-005-SC9) for the same keyword.
4. Switch to a different keyword (e.g. "beer"), repeat steps 1-2, and check whether the generated chip set changes to match the new keyword.</t>
        </is>
      </c>
      <c r="I140" s="35" t="inlineStr">
        <is>
          <t>"milk" vs "beer"</t>
        </is>
      </c>
      <c r="J140" s="35" t="inlineStr">
        <is>
          <t>TBD — FR-SF-03 only states "AI pulls up to 10 smart filter tags with the highest Information Gain... flat structure", with no description of the computation formula, the minimum qualifying threshold, or the display order. Minimum requirement: the chip set must change with the keyword (not static), and the chip order must be consistent between the Labels tab and the Smart Filter Chips row on the results page (same data source). Cannot be scored against a precise Pass/Fail until the formula is confirmed. See QnA-38.</t>
        </is>
      </c>
      <c r="K140" s="35" t="inlineStr">
        <is>
          <t>Medium</t>
        </is>
      </c>
      <c r="L140" s="28" t="n"/>
      <c r="M140" s="28" t="inlineStr">
        <is>
          <t>N/A</t>
        </is>
      </c>
      <c r="N140" s="28" t="n"/>
      <c r="O140" s="28" t="n"/>
      <c r="P140" s="35" t="inlineStr">
        <is>
          <t>QnA-38</t>
        </is>
      </c>
      <c r="Q140" s="35" t="inlineStr">
        <is>
          <t>OPEN — QnA-38: xem chi tiết trong file QnA log.</t>
        </is>
      </c>
    </row>
    <row r="141">
      <c r="A141" s="27" t="inlineStr">
        <is>
          <t>SS-SCR-009-SC6-TC1</t>
        </is>
      </c>
      <c r="B141" s="27" t="inlineStr">
        <is>
          <t>SS-SCR-009-SC6</t>
        </is>
      </c>
      <c r="C141" s="27" t="inlineStr">
        <is>
          <t>SS-SCR-009</t>
        </is>
      </c>
      <c r="D141" s="27" t="inlineStr">
        <is>
          <t>FR-SF-01, FR-SF-04</t>
        </is>
      </c>
      <c r="E141" s="27" t="inlineStr">
        <is>
          <t>Boundary</t>
        </is>
      </c>
      <c r="F141" s="27" t="inlineStr">
        <is>
          <t>The badge on single-select tabs (Category/Delivery/Rating/Price) is always at most 1</t>
        </is>
      </c>
      <c r="G141" s="27" t="inlineStr">
        <is>
          <t>No condition selected yet in the 4 single-select tabs (only 1 value per tab).</t>
        </is>
      </c>
      <c r="H141" s="27" t="inlineStr">
        <is>
          <t>1. Open Filter.
2. Select 1 Category branch, check the Category tab badge.
3. Select 1 Rating level, check the Rating tab badge.
4. Select 1 Delivery condition and 1 Price range, check both corresponding tab badges.
5. Select a different Category branch (replacing the first), check whether the Category tab badge increases to 2.</t>
        </is>
      </c>
      <c r="I141" s="27" t="inlineStr">
        <is>
          <t>1 selection per tab, then change Category</t>
        </is>
      </c>
      <c r="J141" s="27" t="inlineStr">
        <is>
          <t>Each single-select tab correctly shows a badge of "1" with one selection; step 5: switching to a different Category branch does NOT bump the badge to "2" (it stays "1", since it's a replacement, not an addition — consistent with this tab's single-select nature).</t>
        </is>
      </c>
      <c r="K141" s="27" t="inlineStr">
        <is>
          <t>Medium</t>
        </is>
      </c>
      <c r="L141" s="28" t="n"/>
      <c r="M141" s="28" t="inlineStr">
        <is>
          <t>Not Run</t>
        </is>
      </c>
      <c r="N141" s="28" t="n"/>
      <c r="O141" s="28" t="n"/>
      <c r="P141" s="27" t="n"/>
      <c r="Q141" s="27" t="n"/>
    </row>
    <row r="142">
      <c r="A142" s="27" t="inlineStr">
        <is>
          <t>SS-SCR-009-SC6-TC2</t>
        </is>
      </c>
      <c r="B142" s="27" t="inlineStr">
        <is>
          <t>SS-SCR-009-SC6</t>
        </is>
      </c>
      <c r="C142" s="27" t="inlineStr">
        <is>
          <t>SS-SCR-009</t>
        </is>
      </c>
      <c r="D142" s="27" t="inlineStr">
        <is>
          <t>FR-SF-01, FR-SF-04</t>
        </is>
      </c>
      <c r="E142" s="27" t="inlineStr">
        <is>
          <t>Boundary</t>
        </is>
      </c>
      <c r="F142" s="27" t="inlineStr">
        <is>
          <t>The Labels tab badge (multi-select) correctly counts the number of active chips</t>
        </is>
      </c>
      <c r="G142" s="27" t="inlineStr">
        <is>
          <t>No Label chip selected yet.</t>
        </is>
      </c>
      <c r="H142" s="27" t="inlineStr">
        <is>
          <t>1. Open Filter, Labels tab.
2. Select "Sugar-free", "Low-sugar", "Organic" one at a time — check the Labels tab badge after each selection.
3. Deselect "Low-sugar", check the badge.</t>
        </is>
      </c>
      <c r="I142" s="27" t="inlineStr">
        <is>
          <t>Select 3 chips -&gt; deselect 1</t>
        </is>
      </c>
      <c r="J142" s="27" t="inlineStr">
        <is>
          <t>The Labels tab badge increases correctly with each chip: 0-&gt;1-&gt;2-&gt;3 after each selection; drops back to 2 after deselecting "Low-sugar" — matching the real Figma reference (3 active chips -&gt; Labels tab badge correctly shows "3").</t>
        </is>
      </c>
      <c r="K142" s="27" t="inlineStr">
        <is>
          <t>Medium</t>
        </is>
      </c>
      <c r="L142" s="28" t="n"/>
      <c r="M142" s="28" t="inlineStr">
        <is>
          <t>Not Run</t>
        </is>
      </c>
      <c r="N142" s="28" t="n"/>
      <c r="O142" s="28" t="n"/>
      <c r="P142" s="27" t="n"/>
      <c r="Q142" s="27" t="n"/>
    </row>
    <row r="143">
      <c r="A143" s="35" t="inlineStr">
        <is>
          <t>SS-SCR-009-SC6-TC3</t>
        </is>
      </c>
      <c r="B143" s="35" t="inlineStr">
        <is>
          <t>SS-SCR-009-SC6</t>
        </is>
      </c>
      <c r="C143" s="35" t="inlineStr">
        <is>
          <t>SS-SCR-009</t>
        </is>
      </c>
      <c r="D143" s="35" t="inlineStr">
        <is>
          <t>FR-SF-01, FR-SF-04</t>
        </is>
      </c>
      <c r="E143" s="35" t="inlineStr">
        <is>
          <t>Boundary</t>
        </is>
      </c>
      <c r="F143" s="35" t="inlineStr">
        <is>
          <t>Total badge on the "Filter" button on the results page — TBD whether it exists</t>
        </is>
      </c>
      <c r="G143" s="35" t="inlineStr">
        <is>
          <t>3 conditions applied (Labels: Sugar-free + Low-sugar + Organic) and "Apply" tapped.</t>
        </is>
      </c>
      <c r="H143" s="35" t="inlineStr">
        <is>
          <t>1. Apply the 3 Label chips above, tap "Apply".
2. Check the "Filter" button on the results page's sticky bar (outside the sheet).
3. Check whether any count badge is shown next to the "Filter" button.</t>
        </is>
      </c>
      <c r="I143" s="35" t="inlineStr">
        <is>
          <t>3 conditions applied</t>
        </is>
      </c>
      <c r="J143" s="35" t="inlineStr">
        <is>
          <t>TBD — the real Figma reference (Text Search.png) shows the "Filter" button on the results page WITHOUT any count badge even with 3 conditions applied, contradicting the "Filter button badge = total applied conditions" assumption used in SS-SCR-009-SC1-TC1 and throughout SS-SCR-010. Cannot be scored Pass/Fail until BA/UX confirms which Figma version is authoritative. See QnA-39.</t>
        </is>
      </c>
      <c r="K143" s="35" t="inlineStr">
        <is>
          <t>High</t>
        </is>
      </c>
      <c r="L143" s="28" t="n"/>
      <c r="M143" s="28" t="inlineStr">
        <is>
          <t>N/A</t>
        </is>
      </c>
      <c r="N143" s="28" t="n"/>
      <c r="O143" s="28" t="n"/>
      <c r="P143" s="35" t="inlineStr">
        <is>
          <t>QnA-39</t>
        </is>
      </c>
      <c r="Q143" s="35" t="inlineStr">
        <is>
          <t>OPEN — QnA-39: xem chi tiết trong file QnA log.</t>
        </is>
      </c>
    </row>
    <row r="144">
      <c r="A144" s="27" t="inlineStr">
        <is>
          <t>SS-SCR-009-SC7-TC1</t>
        </is>
      </c>
      <c r="B144" s="27" t="inlineStr">
        <is>
          <t>SS-SCR-009-SC7</t>
        </is>
      </c>
      <c r="C144" s="27" t="inlineStr">
        <is>
          <t>SS-SCR-009</t>
        </is>
      </c>
      <c r="D144" s="27" t="inlineStr">
        <is>
          <t>FR-SF-01, FR-SF-04</t>
        </is>
      </c>
      <c r="E144" s="27" t="inlineStr">
        <is>
          <t>Functional</t>
        </is>
      </c>
      <c r="F144" s="27" t="inlineStr">
        <is>
          <t>"Reset" clears every selection in the sheet; the sheet stays open</t>
        </is>
      </c>
      <c r="G144" s="27" t="inlineStr">
        <is>
          <t>Several conditions have been selected across multiple tabs (Category, 3 Labels, Rating) but "Apply" has NOT been tapped yet.</t>
        </is>
      </c>
      <c r="H144" s="27" t="inlineStr">
        <is>
          <t>1. Select 1 Category + 3 Label chips + 1 Rating level in Filter (without tapping Apply).
2. Tap the "Reset" button.
3. Check the state of every tab (badge, chips, radio buttons) and the sheet state (closed or still open) immediately after the tap.</t>
        </is>
      </c>
      <c r="I144" s="27" t="inlineStr">
        <is>
          <t>5 conditions selected -&gt; tap Reset</t>
        </is>
      </c>
      <c r="J144" s="27" t="inlineStr">
        <is>
          <t>Every per-tab badge returns to 0/hidden; every selected chip/radio returns to an unselected state; the sheet does NOT auto-close — the customer stays on the Filter sheet with a blank slate to reselect if desired.</t>
        </is>
      </c>
      <c r="K144" s="27" t="inlineStr">
        <is>
          <t>High</t>
        </is>
      </c>
      <c r="L144" s="28" t="n"/>
      <c r="M144" s="28" t="inlineStr">
        <is>
          <t>Not Run</t>
        </is>
      </c>
      <c r="N144" s="28" t="n"/>
      <c r="O144" s="28" t="n"/>
      <c r="P144" s="27" t="n"/>
      <c r="Q144" s="27" t="n"/>
    </row>
    <row r="145">
      <c r="A145" s="27" t="inlineStr">
        <is>
          <t>SS-SCR-009-SC7-TC2</t>
        </is>
      </c>
      <c r="B145" s="27" t="inlineStr">
        <is>
          <t>SS-SCR-009-SC7</t>
        </is>
      </c>
      <c r="C145" s="27" t="inlineStr">
        <is>
          <t>SS-SCR-009</t>
        </is>
      </c>
      <c r="D145" s="27" t="inlineStr">
        <is>
          <t>FR-SF-01, FR-SF-04</t>
        </is>
      </c>
      <c r="E145" s="27" t="inlineStr">
        <is>
          <t>Functional</t>
        </is>
      </c>
      <c r="F145" s="27" t="inlineStr">
        <is>
          <t>Tapping "Apply" right after "Reset" (0 conditions) returns the full result set</t>
        </is>
      </c>
      <c r="G145" s="27" t="inlineStr">
        <is>
          <t>A filter ("Sugar-free") is already active on the results page before reopening Filter.</t>
        </is>
      </c>
      <c r="H145" s="27" t="inlineStr">
        <is>
          <t>1. On the results page filtered by "Sugar-free", reopen Filter.
2. Tap "Reset" (clears "Sugar-free" from the sheet).
3. Tap "Apply".
4. Check the results page and the Filter button/tab badges.</t>
        </is>
      </c>
      <c r="I145" s="27" t="inlineStr">
        <is>
          <t>Old filter="Sugar-free" -&gt; Reset -&gt; Apply</t>
        </is>
      </c>
      <c r="J145" s="27" t="inlineStr">
        <is>
          <t>The sheet closes; the results page returns to the full, unfiltered set (equivalent to the "Clear filters" state in SS-SCR-010-SC3); no "Sugar-free" chip remains active on the results page.</t>
        </is>
      </c>
      <c r="K145" s="27" t="inlineStr">
        <is>
          <t>High</t>
        </is>
      </c>
      <c r="L145" s="28" t="n"/>
      <c r="M145" s="28" t="inlineStr">
        <is>
          <t>Not Run</t>
        </is>
      </c>
      <c r="N145" s="28" t="n"/>
      <c r="O145" s="28" t="n"/>
      <c r="P145" s="27" t="n"/>
      <c r="Q145" s="27" t="n"/>
    </row>
    <row r="146">
      <c r="A146" s="27" t="inlineStr">
        <is>
          <t>SS-SCR-009-SC7-TC3</t>
        </is>
      </c>
      <c r="B146" s="27" t="inlineStr">
        <is>
          <t>SS-SCR-009-SC7</t>
        </is>
      </c>
      <c r="C146" s="27" t="inlineStr">
        <is>
          <t>SS-SCR-009</t>
        </is>
      </c>
      <c r="D146" s="27" t="inlineStr">
        <is>
          <t>FR-SF-01, FR-SF-04</t>
        </is>
      </c>
      <c r="E146" s="27" t="inlineStr">
        <is>
          <t>Boundary</t>
        </is>
      </c>
      <c r="F146" s="27" t="inlineStr">
        <is>
          <t>Tapping "Apply" with no change from the currently-applied state (no-op)</t>
        </is>
      </c>
      <c r="G146" s="27" t="inlineStr">
        <is>
          <t>The "Organic" filter is currently applied on the results page.</t>
        </is>
      </c>
      <c r="H146" s="27" t="inlineStr">
        <is>
          <t>1. Reopen Filter while "Organic" is active.
2. Without changing anything, tap "Apply" directly.
3. Check the UI (any flicker/jank) and the results.</t>
        </is>
      </c>
      <c r="I146" s="27" t="inlineStr">
        <is>
          <t>Filter="Organic" unchanged -&gt; tap Apply</t>
        </is>
      </c>
      <c r="J146" s="27" t="inlineStr">
        <is>
          <t>The sheet closes normally with no error/UI jank; the results and badges remain unchanged from before the sheet was opened — a no-op behavior consistent with the one already tested in SS-SCR-008-SC3 (reselecting the currently active Sort criterion).</t>
        </is>
      </c>
      <c r="K146" s="27" t="inlineStr">
        <is>
          <t>Low</t>
        </is>
      </c>
      <c r="L146" s="28" t="n"/>
      <c r="M146" s="28" t="inlineStr">
        <is>
          <t>Not Run</t>
        </is>
      </c>
      <c r="N146" s="28" t="n"/>
      <c r="O146" s="28" t="n"/>
      <c r="P146" s="27" t="n"/>
      <c r="Q146" s="27" t="n"/>
    </row>
    <row r="147">
      <c r="A147" s="27" t="inlineStr">
        <is>
          <t>SS-SCR-009-SC8-TC1</t>
        </is>
      </c>
      <c r="B147" s="27" t="inlineStr">
        <is>
          <t>SS-SCR-009-SC8</t>
        </is>
      </c>
      <c r="C147" s="27" t="inlineStr">
        <is>
          <t>SS-SCR-009</t>
        </is>
      </c>
      <c r="D147" s="27" t="inlineStr">
        <is>
          <t>FR-SF-04</t>
        </is>
      </c>
      <c r="E147" s="27" t="inlineStr">
        <is>
          <t>Functional</t>
        </is>
      </c>
      <c r="F147" s="27" t="inlineStr">
        <is>
          <t>Tapping a tab correctly swaps the panel content and updates the active state</t>
        </is>
      </c>
      <c r="G147" s="27" t="inlineStr">
        <is>
          <t>The Filter sheet has just opened, the "Category" tab is active by default.</t>
        </is>
      </c>
      <c r="H147" s="27" t="inlineStr">
        <is>
          <t>1. Open Filter, check that the "Category" tab is active (red left border, bold red text) and the right panel shows Category content.
2. Tap the "Labels" tab.
3. Check whether "Labels" becomes active, whether "Category" returns to an inactive state, and whether the right panel switches to Labels content.
4. Repeat with the "Delivery", "Rating", and "Price" tabs.</t>
        </is>
      </c>
      <c r="I147" s="27" t="inlineStr">
        <is>
          <t>Tap each of the 5 tabs in turn</t>
        </is>
      </c>
      <c r="J147" s="27" t="inlineStr">
        <is>
          <t>On each tap, exactly 1 tab is marked active (red left border + bold red text), the rest return to their default state; the right panel always shows the content matching the currently active tab, with no lag or leftover content from the previous tab.</t>
        </is>
      </c>
      <c r="K147" s="27" t="inlineStr">
        <is>
          <t>Medium</t>
        </is>
      </c>
      <c r="L147" s="28" t="n"/>
      <c r="M147" s="28" t="inlineStr">
        <is>
          <t>Not Run</t>
        </is>
      </c>
      <c r="N147" s="28" t="n"/>
      <c r="O147" s="28" t="n"/>
      <c r="P147" s="27" t="n"/>
      <c r="Q147" s="27" t="n"/>
    </row>
    <row r="148">
      <c r="A148" s="27" t="inlineStr">
        <is>
          <t>SS-SCR-009-SC8-TC2</t>
        </is>
      </c>
      <c r="B148" s="27" t="inlineStr">
        <is>
          <t>SS-SCR-009-SC8</t>
        </is>
      </c>
      <c r="C148" s="27" t="inlineStr">
        <is>
          <t>SS-SCR-009</t>
        </is>
      </c>
      <c r="D148" s="27" t="inlineStr">
        <is>
          <t>FR-SF-04</t>
        </is>
      </c>
      <c r="E148" s="27" t="inlineStr">
        <is>
          <t>Functional</t>
        </is>
      </c>
      <c r="F148" s="27" t="inlineStr">
        <is>
          <t>Switching tabs back and forth does not lose the selections/badge of a previously-selected tab</t>
        </is>
      </c>
      <c r="G148" s="27" t="inlineStr">
        <is>
          <t>The Filter sheet is open.</t>
        </is>
      </c>
      <c r="H148" s="27" t="inlineStr">
        <is>
          <t>1. On the "Labels" tab, select the 2 chips "Sugar-free" and "Organic" (Labels tab badge = 2).
2. Switch to the "Rating" tab, select "4 stars &amp; up" (Rating tab badge = 1).
3. Switch to the "Price" tab without selecting anything.
4. Switch back to the "Labels" tab, check the 2 previously selected chips and the badge.
5. Switch back to the "Rating" tab, check the selection and the badge.</t>
        </is>
      </c>
      <c r="I148" s="27" t="inlineStr">
        <is>
          <t>Labels=2 chips, Rating=1 level, switch through Price and back</t>
        </is>
      </c>
      <c r="J148" s="27" t="inlineStr">
        <is>
          <t>After switching through several tabs and back, the "Labels" tab still shows the 2 previously selected chips as active and the badge is still 2; the "Rating" tab still holds the "4 stars &amp; up" selection with badge = 1 — no selection is lost or reset by switching tabs back and forth (it is only cleared by tapping "Reset" or closing via (X), already tested separately in SC7/SC5).</t>
        </is>
      </c>
      <c r="K148" s="27" t="inlineStr">
        <is>
          <t>High</t>
        </is>
      </c>
      <c r="L148" s="28" t="n"/>
      <c r="M148" s="28" t="inlineStr">
        <is>
          <t>Not Run</t>
        </is>
      </c>
      <c r="N148" s="28" t="n"/>
      <c r="O148" s="28" t="n"/>
      <c r="P148" s="27" t="n"/>
      <c r="Q148" s="27" t="n"/>
    </row>
    <row r="149">
      <c r="A149" s="27" t="inlineStr">
        <is>
          <t>SS-SCR-009-SC4-TC2</t>
        </is>
      </c>
      <c r="B149" s="27" t="inlineStr">
        <is>
          <t>SS-SCR-009-SC4</t>
        </is>
      </c>
      <c r="C149" s="27" t="inlineStr">
        <is>
          <t>SS-SCR-009</t>
        </is>
      </c>
      <c r="D149" s="27" t="inlineStr">
        <is>
          <t>FR-SF-01, FR-SF-04</t>
        </is>
      </c>
      <c r="E149" s="27" t="inlineStr">
        <is>
          <t>Functional</t>
        </is>
      </c>
      <c r="F149" s="27" t="inlineStr">
        <is>
          <t>Selecting a parent category correctly shows "All in [Category name]", applying to the whole subtree</t>
        </is>
      </c>
      <c r="G149" s="27" t="inlineStr">
        <is>
          <t>The category tree has &gt;=1 parent branch with several child categories.</t>
        </is>
      </c>
      <c r="H149" s="27" t="inlineStr">
        <is>
          <t>1. On the Category tab, drill into "Food &amp; Beverage" &gt; "Milk &amp; Eggs".
2. Check the first option in the child-category list.
3. Select it, tap Apply.
4. Check the scope of the returned results (does it include Fresh Milk, Plant Milk, Soy Milk, Yogurt, and Eggs, or only one specific child category).</t>
        </is>
      </c>
      <c r="I149" s="27" t="inlineStr">
        <is>
          <t>Drill into "Milk &amp; Eggs" -&gt; select "All in 'Milk &amp; Eggs'"</t>
        </is>
      </c>
      <c r="J149" s="27" t="inlineStr">
        <is>
          <t>The child-category list correctly shows a radio option "All in 'Milk &amp; Eggs'" at the top (pre-selected by default), above the specific child categories (Fresh Milk, Plant Milk, Soy Milk, Yogurt, Eggs) — matching the real Figma reference; selecting this option returns results across the ENTIRE "Milk &amp; Eggs" subtree (all child categories), not narrowed to any single child category.</t>
        </is>
      </c>
      <c r="K149" s="27" t="inlineStr">
        <is>
          <t>High</t>
        </is>
      </c>
      <c r="L149" s="28" t="n"/>
      <c r="M149" s="28" t="inlineStr">
        <is>
          <t>Not Run</t>
        </is>
      </c>
      <c r="N149" s="28" t="n"/>
      <c r="O149" s="28" t="n"/>
      <c r="P149" s="27" t="n"/>
      <c r="Q149" s="27" t="n"/>
    </row>
    <row r="150">
      <c r="A150" s="35" t="inlineStr">
        <is>
          <t>SS-SCR-009-SC4-TC3</t>
        </is>
      </c>
      <c r="B150" s="35" t="inlineStr">
        <is>
          <t>SS-SCR-009-SC4</t>
        </is>
      </c>
      <c r="C150" s="35" t="inlineStr">
        <is>
          <t>SS-SCR-009</t>
        </is>
      </c>
      <c r="D150" s="35" t="inlineStr">
        <is>
          <t>FR-SF-01, FR-SF-04</t>
        </is>
      </c>
      <c r="E150" s="35" t="inlineStr">
        <is>
          <t>Edge</t>
        </is>
      </c>
      <c r="F150" s="35" t="inlineStr">
        <is>
          <t>Tapping the "‹ All categories" breadcrumb — TBD whether it returns to root and clears the Category selection</t>
        </is>
      </c>
      <c r="G150" s="35" t="inlineStr">
        <is>
          <t>Currently at a deep child level (e.g. "Food &amp; Beverage &gt; Milk &amp; Eggs") with "All in 'Milk &amp; Eggs'" selected.</t>
        </is>
      </c>
      <c r="H150" s="35" t="inlineStr">
        <is>
          <t>1. Drill into "Food &amp; Beverage &gt; Milk &amp; Eggs", select "All in 'Milk &amp; Eggs'" (without tapping Apply yet).
2. Tap the "‹ All categories" breadcrumb at the top.
3. Check the list shown afterward (does it return to the correct top level: Food &amp; Beverage, Mom &amp; Baby, Fresh...).
4. Check the Category tab badge and whether "All in 'Milk &amp; Eggs'" is still marked as selected.</t>
        </is>
      </c>
      <c r="I150" s="35" t="inlineStr">
        <is>
          <t>Tap "‹ All categories" after selecting "All in 'Milk &amp; Eggs'"</t>
        </is>
      </c>
      <c r="J150" s="35" t="inlineStr">
        <is>
          <t>TBD — not yet confirmed whether tapping "‹ All categories" (a) returns to the top-level category list AND simultaneously clears the current Category selection entirely (badge back to 0), or (b) merely navigates the UI back to root WITHOUT clearing the previously confirmed selection (badge unchanged). Cannot be scored Pass/Fail until confirmed. See QnA-40.</t>
        </is>
      </c>
      <c r="K150" s="35" t="inlineStr">
        <is>
          <t>Medium</t>
        </is>
      </c>
      <c r="L150" s="28" t="n"/>
      <c r="M150" s="28" t="inlineStr">
        <is>
          <t>N/A</t>
        </is>
      </c>
      <c r="N150" s="28" t="n"/>
      <c r="O150" s="28" t="n"/>
      <c r="P150" s="35" t="inlineStr">
        <is>
          <t>QnA-40</t>
        </is>
      </c>
      <c r="Q150" s="35" t="inlineStr">
        <is>
          <t>OPEN — QnA-40: xem chi tiết trong file QnA log.</t>
        </is>
      </c>
    </row>
    <row r="151">
      <c r="A151" s="35" t="inlineStr">
        <is>
          <t>SS-SCR-009-SC2-TC2</t>
        </is>
      </c>
      <c r="B151" s="35" t="inlineStr">
        <is>
          <t>SS-SCR-009-SC2</t>
        </is>
      </c>
      <c r="C151" s="35" t="inlineStr">
        <is>
          <t>SS-SCR-009</t>
        </is>
      </c>
      <c r="D151" s="35" t="inlineStr">
        <is>
          <t>FR-SF-01, FR-SF-04</t>
        </is>
      </c>
      <c r="E151" s="35" t="inlineStr">
        <is>
          <t>Boundary</t>
        </is>
      </c>
      <c r="F151" s="35" t="inlineStr">
        <is>
          <t>Verify the 3 percentile price presets (&lt;30% low / 30-70% mid / &gt;70% high) are computed correctly against the current result set</t>
        </is>
      </c>
      <c r="G151" s="35" t="inlineStr">
        <is>
          <t>The "milk" result set spans a range of prices, with some SKUs currently on a discount promotion.</t>
        </is>
      </c>
      <c r="H151" s="35" t="inlineStr">
        <is>
          <t>1. Search "milk" (128 products), open Filter, Price tab.
2. Record the specific price range (e.g. "20,000d - 35,000d") shown on each of the &lt;30%/30-70%/&gt;70% presets.
3. Select the "&lt;30% low" preset, tap Apply, check that every returned SKU falls within the displayed range.
4. Switch to a different keyword (e.g. "beer", a very different price range), repeat steps 1-2, and confirm the 3 preset ranges change to match the new result set (not a fixed system-wide threshold).</t>
        </is>
      </c>
      <c r="I151" s="35" t="inlineStr">
        <is>
          <t>"milk" vs "beer", the &lt;30% preset</t>
        </is>
      </c>
      <c r="J151" s="35" t="inlineStr">
        <is>
          <t>TBD — the 3 preset ranges must be computed dynamically from the CURRENT result set's price distribution (changing keyword -&gt; changing preset ranges), not a fixed threshold; every SKU returned when a preset is selected must fall within the displayed range. Not yet confirmed whether the basis is the original price or the post-discount price — see QnA-41.</t>
        </is>
      </c>
      <c r="K151" s="35" t="inlineStr">
        <is>
          <t>Medium</t>
        </is>
      </c>
      <c r="L151" s="28" t="n"/>
      <c r="M151" s="28" t="inlineStr">
        <is>
          <t>N/A</t>
        </is>
      </c>
      <c r="N151" s="28" t="n"/>
      <c r="O151" s="28" t="n"/>
      <c r="P151" s="35" t="inlineStr">
        <is>
          <t>QnA-41</t>
        </is>
      </c>
      <c r="Q151" s="35" t="inlineStr">
        <is>
          <t>OPEN — QnA-41: xem chi tiết trong file QnA log.</t>
        </is>
      </c>
    </row>
    <row r="152">
      <c r="A152" s="35" t="inlineStr">
        <is>
          <t>SS-SCR-009-SC9-TC1</t>
        </is>
      </c>
      <c r="B152" s="35" t="inlineStr">
        <is>
          <t>SS-SCR-009-SC9</t>
        </is>
      </c>
      <c r="C152" s="35" t="inlineStr">
        <is>
          <t>SS-SCR-009</t>
        </is>
      </c>
      <c r="D152" s="35" t="inlineStr">
        <is>
          <t>FR-SF-04</t>
        </is>
      </c>
      <c r="E152" s="35" t="inlineStr">
        <is>
          <t>Filter</t>
        </is>
      </c>
      <c r="F152" s="35" t="inlineStr">
        <is>
          <t>Select "Standard delivery" — confirmed: exactly 1 checkbox in the tab</t>
        </is>
      </c>
      <c r="G152" s="35" t="inlineStr">
        <is>
          <t>The Delivery tab has no active condition yet.</t>
        </is>
      </c>
      <c r="H152" s="35" t="inlineStr">
        <is>
          <t>1. Open Filter, switch to the Delivery tab.
2. Count and record every option shown in the tab (the BRD only states "Standard delivery").
3. Select "Standard delivery", check the Delivery tab badge.
4. Tap Apply, check the returned results.</t>
        </is>
      </c>
      <c r="I152" s="35" t="inlineStr">
        <is>
          <t>Delivery tab</t>
        </is>
      </c>
      <c r="J152" s="35" t="inlineStr">
        <is>
          <t>The Delivery tab has exactly 1 option: the "Standard delivery" checkbox (confirmed per the updated storyboard v0.1-20260819, component #6 "Delivery &amp; other groups") — not a multi-option list. The Delivery tab badge only has 2 states: 0 (unselected) or 1 (selected). Filtered results only include SKUs eligible for standard delivery.</t>
        </is>
      </c>
      <c r="K152" s="35" t="inlineStr">
        <is>
          <t>Medium</t>
        </is>
      </c>
      <c r="L152" s="28" t="n"/>
      <c r="M152" s="28" t="inlineStr">
        <is>
          <t>Not Run</t>
        </is>
      </c>
      <c r="N152" s="28" t="n"/>
      <c r="O152" s="28" t="n"/>
      <c r="P152" s="35" t="inlineStr">
        <is>
          <t>QnA-42</t>
        </is>
      </c>
      <c r="Q152" s="35" t="inlineStr">
        <is>
          <t>RESOLVED — QnA-42: xem chi tiết trong file QnA log.</t>
        </is>
      </c>
    </row>
    <row r="153">
      <c r="A153" s="27" t="inlineStr">
        <is>
          <t>SS-SCR-009-SC10-TC1</t>
        </is>
      </c>
      <c r="B153" s="27" t="inlineStr">
        <is>
          <t>SS-SCR-009-SC10</t>
        </is>
      </c>
      <c r="C153" s="27" t="inlineStr">
        <is>
          <t>SS-SCR-009</t>
        </is>
      </c>
      <c r="D153" s="27" t="inlineStr">
        <is>
          <t>FR-SF-01, FR-SF-04</t>
        </is>
      </c>
      <c r="E153" s="27" t="inlineStr">
        <is>
          <t>Validation</t>
        </is>
      </c>
      <c r="F153" s="27" t="inlineStr">
        <is>
          <t>The list of 5 Rating levels matches the spec, single-select only</t>
        </is>
      </c>
      <c r="G153" s="27" t="inlineStr">
        <is>
          <t>No Rating level selected yet.</t>
        </is>
      </c>
      <c r="H153" s="27" t="inlineStr">
        <is>
          <t>1. Open Filter, switch to the Rating tab.
2. Count and compare the 5 displayed level names against the BRD (5 stars / 4 stars &amp; up / 3 stars &amp; up / 2 stars &amp; up / 1 star &amp; up).
3. Select "4 stars &amp; up", check the Rating tab badge.
4. Select "3 stars &amp; up" next, without deselecting the previous one.</t>
        </is>
      </c>
      <c r="I153" s="27" t="inlineStr">
        <is>
          <t>5 Rating levels</t>
        </is>
      </c>
      <c r="J153" s="27" t="inlineStr">
        <is>
          <t>The list correctly shows 5 levels, in the correct order and naming per BRD FR-SF-04; selecting a second level ("3 stars &amp; up") automatically deselects the previous one ("4 stars &amp; up") — only 1 level active at a time (the Rating tab badge is always = 1 when something is selected, matching the single-select nature of the Category tab).</t>
        </is>
      </c>
      <c r="K153" s="27" t="inlineStr">
        <is>
          <t>Medium</t>
        </is>
      </c>
      <c r="L153" s="28" t="n"/>
      <c r="M153" s="28" t="inlineStr">
        <is>
          <t>Not Run</t>
        </is>
      </c>
      <c r="N153" s="28" t="n"/>
      <c r="O153" s="28" t="n"/>
      <c r="P153" s="27" t="n"/>
      <c r="Q153" s="27" t="n"/>
    </row>
    <row r="154">
      <c r="A154" s="27" t="inlineStr">
        <is>
          <t>SS-SCR-009-SC10-TC2</t>
        </is>
      </c>
      <c r="B154" s="27" t="inlineStr">
        <is>
          <t>SS-SCR-009-SC10</t>
        </is>
      </c>
      <c r="C154" s="27" t="inlineStr">
        <is>
          <t>SS-SCR-009</t>
        </is>
      </c>
      <c r="D154" s="27" t="inlineStr">
        <is>
          <t>FR-SF-01, FR-SF-04</t>
        </is>
      </c>
      <c r="E154" s="27" t="inlineStr">
        <is>
          <t>Boundary</t>
        </is>
      </c>
      <c r="F154" s="27" t="inlineStr">
        <is>
          <t>Verify "N stars &amp; up" correctly returns the &gt;= N threshold (including N and above)</t>
        </is>
      </c>
      <c r="G154" s="27" t="inlineStr">
        <is>
          <t>The result set has SKUs spread across ratings from 1 to 5 stars.</t>
        </is>
      </c>
      <c r="H154" s="27" t="inlineStr">
        <is>
          <t>1. Open Filter, Rating tab, select "4 stars &amp; up".
2. Tap Apply.
3. Check the rating of every SKU in the returned results — confirm none has a rating &lt; 4.0.
4. Check that a 5.0-rated SKU still appears in the results (not mistakenly excluded as if the filter meant "exactly 4 stars only").</t>
        </is>
      </c>
      <c r="I154" s="27" t="inlineStr">
        <is>
          <t>"4 stars &amp; up"</t>
        </is>
      </c>
      <c r="J154" s="27" t="inlineStr">
        <is>
          <t>100% of the SKUs in the results have rating &gt;= 4.0 (including 5-star SKUs); no SKU with rating &lt; 4.0 appears in the results.</t>
        </is>
      </c>
      <c r="K154" s="27" t="inlineStr">
        <is>
          <t>High</t>
        </is>
      </c>
      <c r="L154" s="28" t="n"/>
      <c r="M154" s="28" t="inlineStr">
        <is>
          <t>Not Run</t>
        </is>
      </c>
      <c r="N154" s="28" t="n"/>
      <c r="O154" s="28" t="n"/>
      <c r="P154" s="27" t="n"/>
      <c r="Q154" s="27" t="n"/>
    </row>
    <row r="155">
      <c r="A155" s="27" t="inlineStr">
        <is>
          <t>SS-SCR-011-SC1-TC4</t>
        </is>
      </c>
      <c r="B155" s="27" t="inlineStr">
        <is>
          <t>SS-SCR-011-SC1</t>
        </is>
      </c>
      <c r="C155" s="27" t="inlineStr">
        <is>
          <t>SS-SCR-011</t>
        </is>
      </c>
      <c r="D155" s="27" t="inlineStr">
        <is>
          <t>No clear FR ID in the BRD — see QnA-10</t>
        </is>
      </c>
      <c r="E155" s="27" t="inlineStr">
        <is>
          <t>Negative</t>
        </is>
      </c>
      <c r="F155" s="27" t="inlineStr">
        <is>
          <t>Tapping the confirmation Toast — no action occurs</t>
        </is>
      </c>
      <c r="G155" s="27" t="inlineStr">
        <is>
          <t>The "Added to cart" Toast is showing after tapping (+).</t>
        </is>
      </c>
      <c r="H155" s="27" t="inlineStr">
        <is>
          <t>1. Tap (+) on 1 Product Card, wait for the confirmation Toast to appear.
2. While the Toast is still showing (before it auto-dismisses), tap directly on the body of the Toast (image/text area, not a close button if one exists).
3. Check the UI immediately after the tap.
4. Wait out the 3 seconds, confirm the Toast auto-dismisses normally as if nothing had happened.</t>
        </is>
      </c>
      <c r="I155" s="27" t="inlineStr">
        <is>
          <t>Tap (+) -&gt; tap the Toast body</t>
        </is>
      </c>
      <c r="J155" s="27" t="inlineStr">
        <is>
          <t>Tapping the Toast body triggers NO action whatsoever — does not open the Cart page, does not navigate to a PDP, does not dismiss the Toast earlier than 3 seconds, and has no other effect; the Toast keeps counting down and auto-dismisses on schedule (3 seconds) exactly as it would without the tap.</t>
        </is>
      </c>
      <c r="K155" s="27" t="inlineStr">
        <is>
          <t>Low</t>
        </is>
      </c>
      <c r="L155" s="28" t="n"/>
      <c r="M155" s="28" t="inlineStr">
        <is>
          <t>Not Run</t>
        </is>
      </c>
      <c r="N155" s="28" t="n"/>
      <c r="O155" s="28" t="n"/>
      <c r="P155" s="27" t="n"/>
      <c r="Q155" s="27" t="inlineStr">
        <is>
          <t>This assumes the current design where the Toast body itself is a passive display with no interactive CTA; if QnA-08 lands on changing the CTA to "View Cart" (adding an explicit button inside the Toast), a separate test case will be needed for tapping that CTA button — this TC only confirms that tapping the Toast BODY (outside any button, if one exists) has no unintended effect.</t>
        </is>
      </c>
    </row>
    <row r="156">
      <c r="A156" s="35" t="inlineStr">
        <is>
          <t>SS-SCR-012-SC1-TC4</t>
        </is>
      </c>
      <c r="B156" s="35" t="inlineStr">
        <is>
          <t>SS-SCR-012-SC1</t>
        </is>
      </c>
      <c r="C156" s="35" t="inlineStr">
        <is>
          <t>SS-SCR-012</t>
        </is>
      </c>
      <c r="D156" s="35" t="inlineStr">
        <is>
          <t>FR-ZR-01, FR-ZR-02, FR-SM-07</t>
        </is>
      </c>
      <c r="E156" s="35" t="inlineStr">
        <is>
          <t>Functional</t>
        </is>
      </c>
      <c r="F156" s="35" t="inlineStr">
        <is>
          <t>Cross-sell (Basket Analysis) suggestions reflect real co-purchase data — TBD on the exact formula</t>
        </is>
      </c>
      <c r="G156" s="35" t="inlineStr">
        <is>
          <t>Order history data clearly shows one pair of products that are frequently bought together (e.g. Corona beer + peanuts appearing together in orders at a high frequency).</t>
        </is>
      </c>
      <c r="H156" s="35" t="inlineStr">
        <is>
          <t>1. Search a keyword that leads to Zero Result for an out-of-stock product with clear co-purchase data (e.g. "Corona beer", out of stock).
2. Check the "You might like" block — confirm the known co-purchased product (e.g. peanuts) appears in the Cross-sell suggestions.
3. Check whether a completely unrelated product (e.g. gardening tools) is mistakenly suggested.</t>
        </is>
      </c>
      <c r="I156" s="35" t="inlineStr">
        <is>
          <t>"Corona beer" (out of stock, has co-purchase data with peanuts)</t>
        </is>
      </c>
      <c r="J156" s="35" t="inlineStr">
        <is>
          <t>TBD — minimum requirement: the known co-purchased product (peanuts) must appear in the Cross-sell suggestions; a completely unrelated product must not be suggested. The exact formula (support/confidence threshold, personalized vs. aggregated, data time window) has not been confirmed — cannot be scored against precise details until an official formula is provided. See QnA-45.</t>
        </is>
      </c>
      <c r="K156" s="35" t="inlineStr">
        <is>
          <t>Medium</t>
        </is>
      </c>
      <c r="L156" s="28" t="n"/>
      <c r="M156" s="28" t="inlineStr">
        <is>
          <t>N/A</t>
        </is>
      </c>
      <c r="N156" s="28" t="n"/>
      <c r="O156" s="28" t="n"/>
      <c r="P156" s="35" t="inlineStr">
        <is>
          <t>QnA-45</t>
        </is>
      </c>
      <c r="Q156" s="35" t="inlineStr">
        <is>
          <t>OPEN — QnA-45: xem chi tiết trong file QnA log.</t>
        </is>
      </c>
    </row>
    <row r="157">
      <c r="A157" s="35" t="inlineStr">
        <is>
          <t>SS-SCR-012-SC1-TC5</t>
        </is>
      </c>
      <c r="B157" s="35" t="inlineStr">
        <is>
          <t>SS-SCR-012-SC1</t>
        </is>
      </c>
      <c r="C157" s="35" t="inlineStr">
        <is>
          <t>SS-SCR-012</t>
        </is>
      </c>
      <c r="D157" s="35" t="inlineStr">
        <is>
          <t>FR-ZR-01, FR-ZR-02, FR-SM-07</t>
        </is>
      </c>
      <c r="E157" s="35" t="inlineStr">
        <is>
          <t>Boundary</t>
        </is>
      </c>
      <c r="F157" s="35" t="inlineStr">
        <is>
          <t>Maximum number of products in the "You might like" block when scrolling to load more — TBD</t>
        </is>
      </c>
      <c r="G157" s="35" t="inlineStr">
        <is>
          <t>On the Zero Result Page with the suggestion block showing the default 10 products (Best-seller fallback, a list long enough to test lazy-loading multiple times).</t>
        </is>
      </c>
      <c r="H157" s="35" t="inlineStr">
        <is>
          <t>1. Enter the Zero Result Page, confirm the first 10 products are shown by default.
2. Scroll to the end of the list, wait for lazy-loading to fetch more.
3. Repeat scrolling several times, counting the total number of products loaded until loading stops or a clear limit is reached.</t>
        </is>
      </c>
      <c r="I157" s="35" t="inlineStr">
        <is>
          <t>Repeatedly scroll the "You might like" block</t>
        </is>
      </c>
      <c r="J157" s="35" t="inlineStr">
        <is>
          <t>TBD — the BRD only confirms a default of 10 products (Lazy Loading), without specifying a maximum cap (stopping at a specific threshold, or loading until the Best-seller data is exhausted). Cannot be scored against a precise quantitative maximum until officially confirmed. See QnA-46.</t>
        </is>
      </c>
      <c r="K157" s="35" t="inlineStr">
        <is>
          <t>Low</t>
        </is>
      </c>
      <c r="L157" s="28" t="n"/>
      <c r="M157" s="28" t="inlineStr">
        <is>
          <t>N/A</t>
        </is>
      </c>
      <c r="N157" s="28" t="n"/>
      <c r="O157" s="28" t="n"/>
      <c r="P157" s="35" t="inlineStr">
        <is>
          <t>QnA-46</t>
        </is>
      </c>
      <c r="Q157" s="35" t="inlineStr">
        <is>
          <t>OPEN — QnA-46: xem chi tiết trong file QnA log.</t>
        </is>
      </c>
    </row>
    <row r="158">
      <c r="A158" s="27" t="inlineStr">
        <is>
          <t>SS-SCR-012-SC4-TC1</t>
        </is>
      </c>
      <c r="B158" s="27" t="inlineStr">
        <is>
          <t>SS-SCR-012-SC4</t>
        </is>
      </c>
      <c r="C158" s="27" t="inlineStr">
        <is>
          <t>SS-SCR-012</t>
        </is>
      </c>
      <c r="D158" s="27" t="inlineStr">
        <is>
          <t>FR-ZR-01, FR-ZR-02, FR-SM-07, FR-PR-01 -&gt; FR-PR-05</t>
        </is>
      </c>
      <c r="E158" s="27" t="inlineStr">
        <is>
          <t>Boundary</t>
        </is>
      </c>
      <c r="F158" s="27" t="inlineStr">
        <is>
          <t>Keyword exactly matches 1 out-of-stock SKU but another matching SKU is in stock — stays on SS-SCR-005, Zero Result is not triggered</t>
        </is>
      </c>
      <c r="G158" s="27" t="inlineStr">
        <is>
          <t>The catalogue has &gt;=2 SKUs that both directly match 1 keyword, where 1 SKU has stock=0 and &gt;=1 SKU is in stock.</t>
        </is>
      </c>
      <c r="H158" s="27" t="inlineStr">
        <is>
          <t>1. Set up data: keyword "X" directly matches SKU-A (out of stock) and SKU-B (in stock).
2. Search "X".
3. Check which screen is returned (SS-SCR-005 or SS-SCR-012).
4. If SS-SCR-005, check SKU-A's position in the results list.</t>
        </is>
      </c>
      <c r="I158" s="27" t="inlineStr">
        <is>
          <t>Keyword "X" -&gt; SKU-A (out of stock) + SKU-B (in stock)</t>
        </is>
      </c>
      <c r="J158" s="27" t="inlineStr">
        <is>
          <t>The system returns the SS-SCR-005 results page (does NOT switch to the Zero Result Page); SKU-A (out of stock) still appears in the list but is pushed to the very bottom (below every in-stock SKU, even ones with a lower relevance score) per the Out-of-stock override rule; the "You might like" block does not appear since this is not a Zero Result flow.</t>
        </is>
      </c>
      <c r="K158" s="27" t="inlineStr">
        <is>
          <t>High</t>
        </is>
      </c>
      <c r="L158" s="28" t="n"/>
      <c r="M158" s="28" t="inlineStr">
        <is>
          <t>Not Run</t>
        </is>
      </c>
      <c r="N158" s="28" t="n"/>
      <c r="O158" s="28" t="n"/>
      <c r="P158" s="27" t="n"/>
      <c r="Q158" s="27" t="n"/>
    </row>
    <row r="159">
      <c r="A159" s="35" t="inlineStr">
        <is>
          <t>SS-SCR-012-SC4-TC2</t>
        </is>
      </c>
      <c r="B159" s="35" t="inlineStr">
        <is>
          <t>SS-SCR-012-SC4</t>
        </is>
      </c>
      <c r="C159" s="35" t="inlineStr">
        <is>
          <t>SS-SCR-012</t>
        </is>
      </c>
      <c r="D159" s="35" t="inlineStr">
        <is>
          <t>FR-ZR-01, FR-ZR-02, FR-SM-07, FR-PR-01 -&gt; FR-PR-05</t>
        </is>
      </c>
      <c r="E159" s="35" t="inlineStr">
        <is>
          <t>Boundary</t>
        </is>
      </c>
      <c r="F159" s="35" t="inlineStr">
        <is>
          <t>Every SKU that directly matches the keyword is out of stock — TBD whether Zero Result is triggered</t>
        </is>
      </c>
      <c r="G159" s="35" t="inlineStr">
        <is>
          <t>The catalogue has SKUs directly matching a keyword, but ALL of them have stock=0 (no in-stock direct match remains).</t>
        </is>
      </c>
      <c r="H159" s="35" t="inlineStr">
        <is>
          <t>1. Set up data: keyword "Y" only directly matches SKU-C, and SKU-C has stock=0 (no other SKU directly matches).
2. Search "Y".
3. Check which screen is returned: SS-SCR-005 (showing the out-of-stock SKU-C alone in the list) or SS-SCR-012 (Zero Result, with the "You might like" block)?</t>
        </is>
      </c>
      <c r="I159" s="35" t="inlineStr">
        <is>
          <t>Keyword "Y" -&gt; only matches SKU-C (out of stock)</t>
        </is>
      </c>
      <c r="J159" s="35" t="inlineStr">
        <is>
          <t>TBD — not yet confirmed whether the system treats this as (a) still having 1 matching result (even out of stock) and stays on SS-SCR-005, or (b) treats it as "0 purchasable results" and switches to the Zero Result Page flow (SS-SCR-012) with the Substitute/Cross-sell/Best-seller suggestion block. Cannot be scored Pass/Fail until confirmed. See QnA-44.</t>
        </is>
      </c>
      <c r="K159" s="35" t="inlineStr">
        <is>
          <t>High</t>
        </is>
      </c>
      <c r="L159" s="28" t="n"/>
      <c r="M159" s="28" t="inlineStr">
        <is>
          <t>N/A</t>
        </is>
      </c>
      <c r="N159" s="28" t="n"/>
      <c r="O159" s="28" t="n"/>
      <c r="P159" s="35" t="inlineStr">
        <is>
          <t>QnA-44</t>
        </is>
      </c>
      <c r="Q159" s="35" t="inlineStr">
        <is>
          <t>OPEN — QnA-44: xem chi tiết trong file QnA log.</t>
        </is>
      </c>
    </row>
    <row r="160">
      <c r="A160" s="35" t="inlineStr">
        <is>
          <t>SS-SCR-010-SC4-TC1</t>
        </is>
      </c>
      <c r="B160" s="35" t="inlineStr">
        <is>
          <t>SS-SCR-010-SC4</t>
        </is>
      </c>
      <c r="C160" s="35" t="inlineStr">
        <is>
          <t>SS-SCR-010</t>
        </is>
      </c>
      <c r="D160" s="35" t="inlineStr">
        <is>
          <t>FR-SF-03</t>
        </is>
      </c>
      <c r="E160" s="35" t="inlineStr">
        <is>
          <t>Functional</t>
        </is>
      </c>
      <c r="F160" s="35" t="inlineStr">
        <is>
          <t>Searching a new keyword automatically clears the old keyword's filter</t>
        </is>
      </c>
      <c r="G160" s="35" t="inlineStr">
        <is>
          <t>On the "milk" results with the "Sugar-free" filter active (badge=1).</t>
        </is>
      </c>
      <c r="H160" s="35" t="inlineStr">
        <is>
          <t>1. On the "milk" results page, apply the "Sugar-free" filter.
2. Tap the Search Bar, clear "milk", type a completely different keyword "beer", submit the search.
3. Check the "beer" results page — check the Filter button badge and whether any filter chip is active.</t>
        </is>
      </c>
      <c r="I160" s="35" t="inlineStr">
        <is>
          <t>"milk" (filter=Sugar-free) -&gt; search new keyword "beer"</t>
        </is>
      </c>
      <c r="J160" s="35" t="inlineStr">
        <is>
          <t>The "beer" results page no longer has the "Sugar-free" filter active; the Filter button badge resets to 0/hidden — the filter was automatically cleared when switching to a completely new keyword, per the updated storyboard (see QnA-06, now Resolved). Note: this behavior applies to SEARCHING A NEW KEYWORD via the Search Bar — it does not necessarily apply to directly EDITING the existing keyword in place on the results page's Search Bar (if that is a separate flow, the two UX paths need to be clearly distinguished).</t>
        </is>
      </c>
      <c r="K160" s="35" t="inlineStr">
        <is>
          <t>High</t>
        </is>
      </c>
      <c r="L160" s="28" t="n"/>
      <c r="M160" s="28" t="inlineStr">
        <is>
          <t>Not Run</t>
        </is>
      </c>
      <c r="N160" s="28" t="n"/>
      <c r="O160" s="28" t="n"/>
      <c r="P160" s="35" t="inlineStr">
        <is>
          <t>QnA-06</t>
        </is>
      </c>
      <c r="Q160" s="35" t="inlineStr">
        <is>
          <t>RESOLVED — QnA-06: xem chi tiết trong file QnA log.</t>
        </is>
      </c>
    </row>
    <row r="161">
      <c r="A161" s="35" t="inlineStr">
        <is>
          <t>SS-SCR-013-SC1-TC4</t>
        </is>
      </c>
      <c r="B161" s="35" t="inlineStr">
        <is>
          <t>SS-SCR-013-SC1</t>
        </is>
      </c>
      <c r="C161" s="35" t="inlineStr">
        <is>
          <t>SS-SCR-013</t>
        </is>
      </c>
      <c r="D161" s="35" t="inlineStr">
        <is>
          <t>FR-IS-01</t>
        </is>
      </c>
      <c r="E161" s="35" t="inlineStr">
        <is>
          <t>Functional</t>
        </is>
      </c>
      <c r="F161" s="35" t="inlineStr">
        <is>
          <t>The "Rear camera"/"Front camera" badge matches the active camera; the Flip button updates both the badge and the actual camera source</t>
        </is>
      </c>
      <c r="G161" s="35" t="inlineStr">
        <is>
          <t>On the Camera Screen, default camera = "Rear camera".</t>
        </is>
      </c>
      <c r="H161" s="35" t="inlineStr">
        <is>
          <t>1. Open the Camera Screen, check the badge in the middle of the header shows "Rear camera".
2. Tap the "Flip" button (bottom-right corner).
3. Check whether the badge changes to "Front camera", and whether the viewfinder genuinely switches to the front (selfie) camera.
4. Tap "Flip" again, confirm it returns to "Rear camera" with the rear-camera viewfinder.</t>
        </is>
      </c>
      <c r="I161" s="35" t="inlineStr">
        <is>
          <t>Tap "Flip" twice in a row</t>
        </is>
      </c>
      <c r="J161" s="35" t="inlineStr">
        <is>
          <t>The badge and the viewfinder are ALWAYS in sync at every moment — never a case where the badge reads "Front camera" while the viewfinder still shows the rear camera feed (or vice versa); each tap of "Flip" updates both immediately, with no lag that could desync the state.</t>
        </is>
      </c>
      <c r="K161" s="35" t="inlineStr">
        <is>
          <t>Medium</t>
        </is>
      </c>
      <c r="L161" s="28" t="n"/>
      <c r="M161" s="28" t="inlineStr">
        <is>
          <t>Not Run</t>
        </is>
      </c>
      <c r="N161" s="28" t="n"/>
      <c r="O161" s="28" t="n"/>
      <c r="P161" s="35" t="n"/>
      <c r="Q161" s="35" t="n"/>
    </row>
    <row r="162">
      <c r="A162" s="35" t="inlineStr">
        <is>
          <t>SS-SCR-013-SC1-TC5</t>
        </is>
      </c>
      <c r="B162" s="35" t="inlineStr">
        <is>
          <t>SS-SCR-013-SC1</t>
        </is>
      </c>
      <c r="C162" s="35" t="inlineStr">
        <is>
          <t>SS-SCR-013</t>
        </is>
      </c>
      <c r="D162" s="35" t="inlineStr">
        <is>
          <t>FR-IS-01</t>
        </is>
      </c>
      <c r="E162" s="35" t="inlineStr">
        <is>
          <t>Boundary</t>
        </is>
      </c>
      <c r="F162" s="35" t="inlineStr">
        <is>
          <t>Capturing right after flipping the camera — the photo must come from the new camera, no race condition</t>
        </is>
      </c>
      <c r="G162" s="35" t="inlineStr">
        <is>
          <t>On the Camera Screen with "Rear camera" active.</t>
        </is>
      </c>
      <c r="H162" s="35" t="inlineStr">
        <is>
          <t>1. Tap "Flip" to switch to "Front camera".
2. IMMEDIATELY (no wait) tap the "Capture" button.
3. Check whether the resulting photo genuinely came from the front camera (selfie framing) or accidentally still came from the rear camera (a race condition where the camera hadn't finished initializing).
4. Repeat steps 1-3 several times (Flip then Capture back-to-back, no pause) to check stability.</t>
        </is>
      </c>
      <c r="I162" s="35" t="inlineStr">
        <is>
          <t>Flip -&gt; Capture immediately (repeated)</t>
        </is>
      </c>
      <c r="J162" s="35" t="inlineStr">
        <is>
          <t>The captured photo always matches whichever camera was active at the moment Capture was tapped (never accidentally captures from the stale camera); no crash or freeze under rapid flip+capture spamming.</t>
        </is>
      </c>
      <c r="K162" s="35" t="inlineStr">
        <is>
          <t>Medium</t>
        </is>
      </c>
      <c r="L162" s="28" t="n"/>
      <c r="M162" s="28" t="inlineStr">
        <is>
          <t>Not Run</t>
        </is>
      </c>
      <c r="N162" s="28" t="n"/>
      <c r="O162" s="28" t="n"/>
      <c r="P162" s="35" t="n"/>
      <c r="Q162" s="35" t="n"/>
    </row>
    <row r="163">
      <c r="A163" s="35" t="inlineStr">
        <is>
          <t>SS-SCR-014-SC1-TC4</t>
        </is>
      </c>
      <c r="B163" s="35" t="inlineStr">
        <is>
          <t>SS-SCR-014-SC1</t>
        </is>
      </c>
      <c r="C163" s="35" t="inlineStr">
        <is>
          <t>SS-SCR-014</t>
        </is>
      </c>
      <c r="D163" s="35" t="inlineStr">
        <is>
          <t>FR-IS-02, FR-IS-04</t>
        </is>
      </c>
      <c r="E163" s="35" t="inlineStr">
        <is>
          <t>Functional</t>
        </is>
      </c>
      <c r="F163" s="35" t="inlineStr">
        <is>
          <t>PNG format is accepted and processed correctly</t>
        </is>
      </c>
      <c r="G163" s="35" t="inlineStr">
        <is>
          <t>Library access is granted; a valid PNG photo exists in the tray.</t>
        </is>
      </c>
      <c r="H163" s="35" t="inlineStr">
        <is>
          <t>1. Open the Gallery tray.
2. Select 1 PNG-format photo (valid size, e.g. 2MB).
3. Check whether the system accepts it and switches to the Loading Screen.</t>
        </is>
      </c>
      <c r="I163" s="35" t="inlineStr">
        <is>
          <t>PNG photo, 2MB</t>
        </is>
      </c>
      <c r="J163" s="35" t="inlineStr">
        <is>
          <t>The PNG photo is accepted, no error Toast shown, switches straight to the Loading Screen (SS-SCR-004) — per FR-IS-04 (accepts JPG/PNG/WEBP).</t>
        </is>
      </c>
      <c r="K163" s="35" t="inlineStr">
        <is>
          <t>Medium</t>
        </is>
      </c>
      <c r="L163" s="28" t="n"/>
      <c r="M163" s="28" t="inlineStr">
        <is>
          <t>Not Run</t>
        </is>
      </c>
      <c r="N163" s="28" t="n"/>
      <c r="O163" s="28" t="n"/>
      <c r="P163" s="35" t="n"/>
      <c r="Q163" s="35" t="n"/>
    </row>
    <row r="164">
      <c r="A164" s="35" t="inlineStr">
        <is>
          <t>SS-SCR-014-SC1-TC5</t>
        </is>
      </c>
      <c r="B164" s="35" t="inlineStr">
        <is>
          <t>SS-SCR-014-SC1</t>
        </is>
      </c>
      <c r="C164" s="35" t="inlineStr">
        <is>
          <t>SS-SCR-014</t>
        </is>
      </c>
      <c r="D164" s="35" t="inlineStr">
        <is>
          <t>FR-IS-02, FR-IS-04</t>
        </is>
      </c>
      <c r="E164" s="35" t="inlineStr">
        <is>
          <t>Functional</t>
        </is>
      </c>
      <c r="F164" s="35" t="inlineStr">
        <is>
          <t>WEBP format is accepted — no test case covered this format before this update</t>
        </is>
      </c>
      <c r="G164" s="35" t="inlineStr">
        <is>
          <t>Library access is granted; a valid WEBP photo exists in the tray.</t>
        </is>
      </c>
      <c r="H164" s="35" t="inlineStr">
        <is>
          <t>1. Open the Gallery tray.
2. Select 1 WEBP-format photo (valid size, e.g. 2MB).
3. Check whether the system accepts it and switches to the Loading Screen.</t>
        </is>
      </c>
      <c r="I164" s="35" t="inlineStr">
        <is>
          <t>WEBP photo, 2MB</t>
        </is>
      </c>
      <c r="J164" s="35" t="inlineStr">
        <is>
          <t>The WEBP photo is accepted, no error Toast shown, switches straight to the Loading Screen (SS-SCR-004) — per FR-IS-04 (accepts JPG/PNG/WEBP). This is the only format in the BRD's list that had never been individually tested before this update.</t>
        </is>
      </c>
      <c r="K164" s="35" t="inlineStr">
        <is>
          <t>Medium</t>
        </is>
      </c>
      <c r="L164" s="28" t="n"/>
      <c r="M164" s="28" t="inlineStr">
        <is>
          <t>Not Run</t>
        </is>
      </c>
      <c r="N164" s="28" t="n"/>
      <c r="O164" s="28" t="n"/>
      <c r="P164" s="35" t="n"/>
      <c r="Q164" s="35" t="n"/>
    </row>
    <row r="165">
      <c r="A165" s="35" t="inlineStr">
        <is>
          <t>SS-SCR-014-SC4-TC1</t>
        </is>
      </c>
      <c r="B165" s="35" t="inlineStr">
        <is>
          <t>SS-SCR-014-SC4</t>
        </is>
      </c>
      <c r="C165" s="35" t="inlineStr">
        <is>
          <t>SS-SCR-014</t>
        </is>
      </c>
      <c r="D165" s="35" t="inlineStr">
        <is>
          <t>FR-IS-02, FR-IS-04</t>
        </is>
      </c>
      <c r="E165" s="35" t="inlineStr">
        <is>
          <t>Functional</t>
        </is>
      </c>
      <c r="F165" s="35" t="inlineStr">
        <is>
          <t>Tapping the "X" button in the Gallery tray header closes it back to the Camera Screen, no photo selected</t>
        </is>
      </c>
      <c r="G165" s="35" t="inlineStr">
        <is>
          <t>The "Recent Photos" tray is open.</t>
        </is>
      </c>
      <c r="H165" s="35" t="inlineStr">
        <is>
          <t>1. Open the Gallery tray from the Camera Screen.
2. Tap the "X" button in the top-right corner of the tray header.
3. Check the screen after it closes.</t>
        </is>
      </c>
      <c r="I165" s="35" t="inlineStr">
        <is>
          <t>Tap "X"</t>
        </is>
      </c>
      <c r="J165" s="35" t="inlineStr">
        <is>
          <t>Returns to the correct Camera Screen (no photo selected); the camera is still running in the background exactly as it was before the tray opened (not restarted from scratch).</t>
        </is>
      </c>
      <c r="K165" s="35" t="inlineStr">
        <is>
          <t>Low</t>
        </is>
      </c>
      <c r="L165" s="28" t="n"/>
      <c r="M165" s="28" t="inlineStr">
        <is>
          <t>Not Run</t>
        </is>
      </c>
      <c r="N165" s="28" t="n"/>
      <c r="O165" s="28" t="n"/>
      <c r="P165" s="35" t="n"/>
      <c r="Q165" s="35" t="n"/>
    </row>
    <row r="166">
      <c r="A166" s="35" t="inlineStr">
        <is>
          <t>SS-SCR-014-SC4-TC2</t>
        </is>
      </c>
      <c r="B166" s="35" t="inlineStr">
        <is>
          <t>SS-SCR-014-SC4</t>
        </is>
      </c>
      <c r="C166" s="35" t="inlineStr">
        <is>
          <t>SS-SCR-014</t>
        </is>
      </c>
      <c r="D166" s="35" t="inlineStr">
        <is>
          <t>FR-IS-02, FR-IS-04</t>
        </is>
      </c>
      <c r="E166" s="35" t="inlineStr">
        <is>
          <t>Functional</t>
        </is>
      </c>
      <c r="F166" s="35" t="inlineStr">
        <is>
          <t>Tapping the dimmed area outside the Gallery tray also closes it, consistent with the X button</t>
        </is>
      </c>
      <c r="G166" s="35" t="inlineStr">
        <is>
          <t>The "Recent Photos" tray is open.</t>
        </is>
      </c>
      <c r="H166" s="35" t="inlineStr">
        <is>
          <t>1. Open the Gallery tray from the Camera Screen.
2. Tap the camera preview area above the tray (the dimmed area outside the sheet, not tapping any photo in the grid).
3. Check the screen after the tap.</t>
        </is>
      </c>
      <c r="I166" s="35" t="inlineStr">
        <is>
          <t>Tap outside the sheet</t>
        </is>
      </c>
      <c r="J166" s="35" t="inlineStr">
        <is>
          <t>The tray closes, returning to the Camera Screen exactly like the "X" button behavior (TC1) — no photo selected, no behavioral difference between the two dismissal methods.</t>
        </is>
      </c>
      <c r="K166" s="35" t="inlineStr">
        <is>
          <t>Low</t>
        </is>
      </c>
      <c r="L166" s="28" t="n"/>
      <c r="M166" s="28" t="inlineStr">
        <is>
          <t>Not Run</t>
        </is>
      </c>
      <c r="N166" s="28" t="n"/>
      <c r="O166" s="28" t="n"/>
      <c r="P166" s="35" t="n"/>
      <c r="Q166" s="35" t="n"/>
    </row>
    <row r="167">
      <c r="A167" s="35" t="inlineStr">
        <is>
          <t>SS-SCR-015-SC1-TC4</t>
        </is>
      </c>
      <c r="B167" s="35" t="inlineStr">
        <is>
          <t>SS-SCR-015-SC1</t>
        </is>
      </c>
      <c r="C167" s="35" t="inlineStr">
        <is>
          <t>SS-SCR-015</t>
        </is>
      </c>
      <c r="D167" s="35" t="inlineStr">
        <is>
          <t>FR-IS-03, FR-IS-07</t>
        </is>
      </c>
      <c r="E167" s="35" t="inlineStr">
        <is>
          <t>Functional</t>
        </is>
      </c>
      <c r="F167" s="35" t="inlineStr">
        <is>
          <t>Capturing/selecting a new photo while already on the image results page — the new photo fully overrides the old one</t>
        </is>
      </c>
      <c r="G167" s="35" t="inlineStr">
        <is>
          <t>On the image results page (SS-SCR-015) with photo A (TH True Milk carton) already processed.</t>
        </is>
      </c>
      <c r="H167" s="35" t="inlineStr">
        <is>
          <t>1. From the current results page (photo A: TH True Milk carton), tap the Camera icon on the Search Bar to reopen the Camera Screen.
2. Capture a COMPLETELY DIFFERENT photo (photo B: Vinamilk carton).
3. Wait for processing to finish, check the new results page.
4. Check the Search Bar thumbnail, the product list, and the Sort/Filter state to confirm they fully belong to photo B, with nothing left over from photo A.</t>
        </is>
      </c>
      <c r="I167" s="35" t="inlineStr">
        <is>
          <t>Photo A (TH True Milk) -&gt; capture photo B (Vinamilk)</t>
        </is>
      </c>
      <c r="J167" s="35" t="inlineStr">
        <is>
          <t>Photo B fully overrides photo A: the Search Bar thumbnail changes to photo B; the result list belongs to photo B (no products only relevant to photo A remain); any filter/sort applied for photo A resets to default for the new query (similar to the confirmed new-keyword behavior in SS-SCR-010-SC4).</t>
        </is>
      </c>
      <c r="K167" s="35" t="inlineStr">
        <is>
          <t>High</t>
        </is>
      </c>
      <c r="L167" s="28" t="n"/>
      <c r="M167" s="28" t="inlineStr">
        <is>
          <t>Not Run</t>
        </is>
      </c>
      <c r="N167" s="28" t="n"/>
      <c r="O167" s="28" t="n"/>
      <c r="P167" s="35" t="n"/>
      <c r="Q167" s="35" t="n"/>
    </row>
    <row r="168">
      <c r="A168" s="35" t="inlineStr">
        <is>
          <t>SS-SCR-015-SC1-TC5</t>
        </is>
      </c>
      <c r="B168" s="35" t="inlineStr">
        <is>
          <t>SS-SCR-015-SC1</t>
        </is>
      </c>
      <c r="C168" s="35" t="inlineStr">
        <is>
          <t>SS-SCR-015</t>
        </is>
      </c>
      <c r="D168" s="35" t="inlineStr">
        <is>
          <t>FR-IS-03, FR-IS-07</t>
        </is>
      </c>
      <c r="E168" s="35" t="inlineStr">
        <is>
          <t>Functional</t>
        </is>
      </c>
      <c r="F168" s="35" t="inlineStr">
        <is>
          <t>After a successful capture or gallery selection, the photo correctly loads into the Search Bar on the results page</t>
        </is>
      </c>
      <c r="G168" s="35" t="inlineStr">
        <is>
          <t>One image-search round has just been processed.</t>
        </is>
      </c>
      <c r="H168" s="35" t="inlineStr">
        <is>
          <t>1. Capture a photo directly (SS-SCR-013) successfully, check the Search Bar on the results page (SS-SCR-015).
2. Repeat, but this time SELECT a photo from the gallery (SS-SCR-014) instead of capturing directly, check the Search Bar.</t>
        </is>
      </c>
      <c r="I168" s="35" t="inlineStr">
        <is>
          <t>Capture flow / Gallery-selection flow</t>
        </is>
      </c>
      <c r="J168" s="35" t="inlineStr">
        <is>
          <t>In BOTH flows, the just-processed photo (captured directly or selected from the gallery) correctly appears as a small thumbnail INSIDE the Search Bar (replacing the text-keyword position), with no difference in thumbnail display behavior between the two input sources.</t>
        </is>
      </c>
      <c r="K168" s="35" t="inlineStr">
        <is>
          <t>High</t>
        </is>
      </c>
      <c r="L168" s="28" t="n"/>
      <c r="M168" s="28" t="inlineStr">
        <is>
          <t>Not Run</t>
        </is>
      </c>
      <c r="N168" s="28" t="n"/>
      <c r="O168" s="28" t="n"/>
      <c r="P168" s="35" t="n"/>
      <c r="Q168" s="35" t="n"/>
    </row>
    <row r="169">
      <c r="A169" s="35" t="inlineStr">
        <is>
          <t>SS-SCR-016-SC1-TC3</t>
        </is>
      </c>
      <c r="B169" s="35" t="inlineStr">
        <is>
          <t>SS-SCR-016-SC1</t>
        </is>
      </c>
      <c r="C169" s="35" t="inlineStr">
        <is>
          <t>SS-SCR-016</t>
        </is>
      </c>
      <c r="D169" s="35" t="inlineStr">
        <is>
          <t>FR-IS-05</t>
        </is>
      </c>
      <c r="E169" s="35" t="inlineStr">
        <is>
          <t>Edge</t>
        </is>
      </c>
      <c r="F169" s="35" t="inlineStr">
        <is>
          <t>Tapping the header "Back" button on the "Not recognized" failure screen — destination TBD</t>
        </is>
      </c>
      <c r="G169" s="35" t="inlineStr">
        <is>
          <t>On the "Not recognized" failure screen (SS-SCR-016) after uploading a blurry photo.</t>
        </is>
      </c>
      <c r="H169" s="35" t="inlineStr">
        <is>
          <t>1. Upload a blurry photo, confirm the "Not recognized" failure screen appears.
2. Tap the "Back" button in the top-left corner of the header (not "Retry" or "Search by keyword").
3. Check which screen it navigates to.</t>
        </is>
      </c>
      <c r="I169" s="35" t="inlineStr">
        <is>
          <t>Tap "Back" in the header</t>
        </is>
      </c>
      <c r="J169" s="35" t="inlineStr">
        <is>
          <t>TBD — not yet confirmed whether Back behaves identically to "Retry" (returns to the Camera Screen) or differently (exits the image-search flow entirely, back to whatever screen opened it, e.g. Pre-search or the previous results page). Minimum requirement: no crash, does not get stuck on the failure screen. Cannot be scored Pass/Fail until confirmed. See QnA-50.</t>
        </is>
      </c>
      <c r="K169" s="35" t="inlineStr">
        <is>
          <t>Medium</t>
        </is>
      </c>
      <c r="L169" s="28" t="n"/>
      <c r="M169" s="28" t="inlineStr">
        <is>
          <t>N/A</t>
        </is>
      </c>
      <c r="N169" s="28" t="n"/>
      <c r="O169" s="28" t="n"/>
      <c r="P169" s="35" t="inlineStr">
        <is>
          <t>QnA-50</t>
        </is>
      </c>
      <c r="Q169" s="35" t="inlineStr">
        <is>
          <t>OPEN — QnA-50: xem chi tiết trong file QnA log.</t>
        </is>
      </c>
    </row>
    <row r="170">
      <c r="A170" s="35" t="inlineStr">
        <is>
          <t>SS-SCR-018-SC1-TC4</t>
        </is>
      </c>
      <c r="B170" s="35" t="inlineStr">
        <is>
          <t>SS-SCR-018-SC1</t>
        </is>
      </c>
      <c r="C170" s="35" t="inlineStr">
        <is>
          <t>SS-SCR-018</t>
        </is>
      </c>
      <c r="D170" s="35" t="inlineStr">
        <is>
          <t>FR-VS-04, FR-VS-05</t>
        </is>
      </c>
      <c r="E170" s="35" t="inlineStr">
        <is>
          <t>Functional</t>
        </is>
      </c>
      <c r="F170" s="35" t="inlineStr">
        <is>
          <t>A valid transcript that matches no product (nonsense to the catalogue) correctly falls through to Zero Result, same as the Text flow</t>
        </is>
      </c>
      <c r="G170" s="35" t="inlineStr">
        <is>
          <t>Voice-to-text processing is done, the transcript is valid (not empty) but matches nothing in the catalogue.</t>
        </is>
      </c>
      <c r="H170" s="35" t="inlineStr">
        <is>
          <t>1. Say a clearly-spoken sentence that is not a valid product name (e.g. "Tesla mosquito spray").
2. Let the system transcribe it successfully (does not fall into the voice-recognition-failure flow, SS-SCR-019).
3. Check which page it navigates to.</t>
        </is>
      </c>
      <c r="I170" s="35" t="inlineStr">
        <is>
          <t>"Tesla mosquito spray" (spoken)</t>
        </is>
      </c>
      <c r="J170" s="35" t="inlineStr">
        <is>
          <t>Since the transcript is valid and not empty, the system does NOT switch to the voice failure screen (SS-SCR-019, reserved for unclear speech/empty transcript — see SC2). Since the catalogue has no matching SKU, the system correctly applies the same 3-tier Zero Result Prevention mechanism as Text Search: shows the "No results found" page (SS-SCR-012) with the "You might like" block, not a blank page or a voice error.</t>
        </is>
      </c>
      <c r="K170" s="35" t="inlineStr">
        <is>
          <t>High</t>
        </is>
      </c>
      <c r="L170" s="28" t="n"/>
      <c r="M170" s="28" t="inlineStr">
        <is>
          <t>Not Run</t>
        </is>
      </c>
      <c r="N170" s="28" t="n"/>
      <c r="O170" s="28" t="n"/>
      <c r="P170" s="35" t="n"/>
      <c r="Q170" s="35" t="n"/>
    </row>
    <row r="171">
      <c r="A171" s="35" t="inlineStr">
        <is>
          <t>SS-SCR-019-SC1-TC3</t>
        </is>
      </c>
      <c r="B171" s="35" t="inlineStr">
        <is>
          <t>SS-SCR-019-SC1</t>
        </is>
      </c>
      <c r="C171" s="35" t="inlineStr">
        <is>
          <t>SS-SCR-019</t>
        </is>
      </c>
      <c r="D171" s="35" t="inlineStr">
        <is>
          <t>FR-VS-06</t>
        </is>
      </c>
      <c r="E171" s="35" t="inlineStr">
        <is>
          <t>Edge</t>
        </is>
      </c>
      <c r="F171" s="35" t="inlineStr">
        <is>
          <t>Tapping the header "Back" button on the voice "Not recognized" failure screen — destination TBD</t>
        </is>
      </c>
      <c r="G171" s="35" t="inlineStr">
        <is>
          <t>On the "Not recognized" failure screen (SS-SCR-019) after an unclear recording.</t>
        </is>
      </c>
      <c r="H171" s="35" t="inlineStr">
        <is>
          <t>1. Record with background noise/silence, confirm the "Not recognized" failure screen appears.
2. Tap the "Back" button in the top-left corner of the header (not "Retry" or "Search by keyword").
3. Check which screen it navigates to.</t>
        </is>
      </c>
      <c r="I171" s="35" t="inlineStr">
        <is>
          <t>Tap "Back" in the header</t>
        </is>
      </c>
      <c r="J171" s="35" t="inlineStr">
        <is>
          <t>TBD — not yet confirmed whether Back behaves identically to "Retry" (reopens the recording layer) or differently (exits the voice-search flow entirely, back to whatever screen opened it, e.g. Pre-search or the previous results page) — the same open question as SS-SCR-016-SC1-TC3 (image flow). Minimum requirement: no crash, does not get stuck on the failure screen. Cannot be scored Pass/Fail until confirmed. See QnA-50.</t>
        </is>
      </c>
      <c r="K171" s="35" t="inlineStr">
        <is>
          <t>Medium</t>
        </is>
      </c>
      <c r="L171" s="28" t="n"/>
      <c r="M171" s="28" t="inlineStr">
        <is>
          <t>N/A</t>
        </is>
      </c>
      <c r="N171" s="28" t="n"/>
      <c r="O171" s="28" t="n"/>
      <c r="P171" s="35" t="inlineStr">
        <is>
          <t>QnA-50</t>
        </is>
      </c>
      <c r="Q171" s="35" t="inlineStr">
        <is>
          <t>OPEN — QnA-50: xem chi tiết trong file QnA log.</t>
        </is>
      </c>
    </row>
    <row r="172">
      <c r="A172" s="35" t="inlineStr">
        <is>
          <t>SS-SCR-017-SC4-TC1</t>
        </is>
      </c>
      <c r="B172" s="35" t="inlineStr">
        <is>
          <t>SS-SCR-017-SC4</t>
        </is>
      </c>
      <c r="C172" s="35" t="inlineStr">
        <is>
          <t>SS-SCR-017</t>
        </is>
      </c>
      <c r="D172" s="35" t="inlineStr">
        <is>
          <t>FR-VS-01, FR-VS-03</t>
        </is>
      </c>
      <c r="E172" s="35" t="inlineStr">
        <is>
          <t>Multilingual</t>
        </is>
      </c>
      <c r="F172" s="35" t="inlineStr">
        <is>
          <t>Speaking in English — the system correctly auto-detects the language and transcribes accurately</t>
        </is>
      </c>
      <c r="G172" s="35" t="inlineStr">
        <is>
          <t>Mic permission is granted; the system UI is in Vietnamese (app language unchanged).</t>
        </is>
      </c>
      <c r="H172" s="35" t="inlineStr">
        <is>
          <t>1. Tap the Mic icon, start recording.
2. Speak a clear English sentence (e.g. "fresh milk one liter").
3. End the recording, check the recognized text and the returned results.</t>
        </is>
      </c>
      <c r="I172" s="35" t="inlineStr">
        <is>
          <t>"fresh milk one liter" (English)</t>
        </is>
      </c>
      <c r="J172" s="35" t="inlineStr">
        <is>
          <t>The system automatically detects this as English WITHOUT requiring the customer to manually select a language beforehand; the transcript correctly shows the English sentence spoken; the search results return relevant fresh-milk products (applying the multilingual logic in FR-SM-02 to map onto the Vietnamese catalogue).</t>
        </is>
      </c>
      <c r="K172" s="35" t="inlineStr">
        <is>
          <t>High</t>
        </is>
      </c>
      <c r="L172" s="28" t="n"/>
      <c r="M172" s="28" t="inlineStr">
        <is>
          <t>Not Run</t>
        </is>
      </c>
      <c r="N172" s="28" t="n"/>
      <c r="O172" s="28" t="n"/>
      <c r="P172" s="35" t="n"/>
      <c r="Q172" s="35" t="n"/>
    </row>
    <row r="173">
      <c r="A173" s="35" t="inlineStr">
        <is>
          <t>SS-SCR-017-SC4-TC2</t>
        </is>
      </c>
      <c r="B173" s="35" t="inlineStr">
        <is>
          <t>SS-SCR-017-SC4</t>
        </is>
      </c>
      <c r="C173" s="35" t="inlineStr">
        <is>
          <t>SS-SCR-017</t>
        </is>
      </c>
      <c r="D173" s="35" t="inlineStr">
        <is>
          <t>FR-VS-01, FR-VS-03</t>
        </is>
      </c>
      <c r="E173" s="35" t="inlineStr">
        <is>
          <t>Multilingual</t>
        </is>
      </c>
      <c r="F173" s="35" t="inlineStr">
        <is>
          <t>Speaking in Korean — the system correctly auto-detects the language and transcribes accurately</t>
        </is>
      </c>
      <c r="G173" s="35" t="inlineStr">
        <is>
          <t>Mic permission is granted; the system UI is in Vietnamese.</t>
        </is>
      </c>
      <c r="H173" s="35" t="inlineStr">
        <is>
          <t>1. Tap the Mic icon, start recording.
2. Speak a clear Korean sentence (a common product name, e.g. the equivalent of "fresh milk").
3. End the recording, check the recognized text and the returned results.</t>
        </is>
      </c>
      <c r="I173" s="35" t="inlineStr">
        <is>
          <t>A Korean sentence (equivalent to "fresh milk")</t>
        </is>
      </c>
      <c r="J173" s="35" t="inlineStr">
        <is>
          <t>The system automatically detects this as Korean without requiring manual selection; the transcript is correct; the search results return relevant products.</t>
        </is>
      </c>
      <c r="K173" s="35" t="inlineStr">
        <is>
          <t>High</t>
        </is>
      </c>
      <c r="L173" s="28" t="n"/>
      <c r="M173" s="28" t="inlineStr">
        <is>
          <t>Not Run</t>
        </is>
      </c>
      <c r="N173" s="28" t="n"/>
      <c r="O173" s="28" t="n"/>
      <c r="P173" s="35" t="n"/>
      <c r="Q173" s="35" t="n"/>
    </row>
    <row r="174">
      <c r="A174" s="35" t="inlineStr">
        <is>
          <t>SS-SCR-017-SC4-TC3</t>
        </is>
      </c>
      <c r="B174" s="35" t="inlineStr">
        <is>
          <t>SS-SCR-017-SC4</t>
        </is>
      </c>
      <c r="C174" s="35" t="inlineStr">
        <is>
          <t>SS-SCR-017</t>
        </is>
      </c>
      <c r="D174" s="35" t="inlineStr">
        <is>
          <t>FR-VS-01, FR-VS-03</t>
        </is>
      </c>
      <c r="E174" s="35" t="inlineStr">
        <is>
          <t>Multilingual</t>
        </is>
      </c>
      <c r="F174" s="35" t="inlineStr">
        <is>
          <t>Speaking in Chinese — the system correctly auto-detects the language and transcribes accurately</t>
        </is>
      </c>
      <c r="G174" s="35" t="inlineStr">
        <is>
          <t>Mic permission is granted; the system UI is in Vietnamese.</t>
        </is>
      </c>
      <c r="H174" s="35" t="inlineStr">
        <is>
          <t>1. Tap the Mic icon, start recording.
2. Speak a clear Chinese sentence (a common product name, e.g. the equivalent of "fresh milk").
3. End the recording, check the recognized text and the returned results.</t>
        </is>
      </c>
      <c r="I174" s="35" t="inlineStr">
        <is>
          <t>A Chinese sentence (equivalent to "fresh milk")</t>
        </is>
      </c>
      <c r="J174" s="35" t="inlineStr">
        <is>
          <t>The system automatically detects this as Chinese without requiring manual selection; the transcript is correct; the search results return relevant products.</t>
        </is>
      </c>
      <c r="K174" s="35" t="inlineStr">
        <is>
          <t>High</t>
        </is>
      </c>
      <c r="L174" s="28" t="n"/>
      <c r="M174" s="28" t="inlineStr">
        <is>
          <t>Not Run</t>
        </is>
      </c>
      <c r="N174" s="28" t="n"/>
      <c r="O174" s="28" t="n"/>
      <c r="P174" s="35" t="n"/>
      <c r="Q174" s="35" t="n"/>
    </row>
    <row r="175">
      <c r="A175" s="35" t="inlineStr">
        <is>
          <t>SS-SCR-017-SC4-TC4</t>
        </is>
      </c>
      <c r="B175" s="35" t="inlineStr">
        <is>
          <t>SS-SCR-017-SC4</t>
        </is>
      </c>
      <c r="C175" s="35" t="inlineStr">
        <is>
          <t>SS-SCR-017</t>
        </is>
      </c>
      <c r="D175" s="35" t="inlineStr">
        <is>
          <t>FR-VS-01, FR-VS-03</t>
        </is>
      </c>
      <c r="E175" s="35" t="inlineStr">
        <is>
          <t>Multilingual</t>
        </is>
      </c>
      <c r="F175" s="35" t="inlineStr">
        <is>
          <t>Speaking in Russian — the system correctly auto-detects the language and transcribes accurately</t>
        </is>
      </c>
      <c r="G175" s="35" t="inlineStr">
        <is>
          <t>Mic permission is granted; the system UI is in Vietnamese.</t>
        </is>
      </c>
      <c r="H175" s="35" t="inlineStr">
        <is>
          <t>1. Tap the Mic icon, start recording.
2. Speak a clear Russian sentence (a common product name, e.g. the equivalent of "fresh milk").
3. End the recording, check the recognized text and the returned results.</t>
        </is>
      </c>
      <c r="I175" s="35" t="inlineStr">
        <is>
          <t>A Russian sentence (equivalent to "fresh milk")</t>
        </is>
      </c>
      <c r="J175" s="35" t="inlineStr">
        <is>
          <t>The system automatically detects this as Russian without requiring manual selection; the transcript is correct; the search results return relevant products.</t>
        </is>
      </c>
      <c r="K175" s="35" t="inlineStr">
        <is>
          <t>High</t>
        </is>
      </c>
      <c r="L175" s="28" t="n"/>
      <c r="M175" s="28" t="inlineStr">
        <is>
          <t>Not Run</t>
        </is>
      </c>
      <c r="N175" s="28" t="n"/>
      <c r="O175" s="28" t="n"/>
      <c r="P175" s="35" t="n"/>
      <c r="Q175" s="35" t="n"/>
    </row>
    <row r="176">
      <c r="A176" s="35" t="inlineStr">
        <is>
          <t>SS-SCR-017-SC4-TC5</t>
        </is>
      </c>
      <c r="B176" s="35" t="inlineStr">
        <is>
          <t>SS-SCR-017-SC4</t>
        </is>
      </c>
      <c r="C176" s="35" t="inlineStr">
        <is>
          <t>SS-SCR-017</t>
        </is>
      </c>
      <c r="D176" s="35" t="inlineStr">
        <is>
          <t>FR-VS-01, FR-VS-03</t>
        </is>
      </c>
      <c r="E176" s="35" t="inlineStr">
        <is>
          <t>Boundary</t>
        </is>
      </c>
      <c r="F176" s="35" t="inlineStr">
        <is>
          <t>Switching spoken language between consecutive turns — the system does not get "stuck" on the previous language</t>
        </is>
      </c>
      <c r="G176" s="35" t="inlineStr">
        <is>
          <t>Mic permission is granted.</t>
        </is>
      </c>
      <c r="H176" s="35" t="inlineStr">
        <is>
          <t>1. Turn 1: speak in Vietnamese ("sữa tươi"), confirm the result is correct.
2. Immediately next turn: speak in English ("fresh milk"), check whether the system correctly auto-detects the NEW language or still tries to interpret it as Vietnamese from the previous turn.
3. Repeat, switching to Korean on the 3rd turn.</t>
        </is>
      </c>
      <c r="I176" s="35" t="inlineStr">
        <is>
          <t>VI -&gt; EN -&gt; KR (3 consecutive turns)</t>
        </is>
      </c>
      <c r="J176" s="35" t="inlineStr">
        <is>
          <t>Each recording turn has its language detected INDEPENDENTLY, unaffected by the language spoken in the immediately preceding turn; all 3 turns are transcribed correctly in their respective languages.</t>
        </is>
      </c>
      <c r="K176" s="35" t="inlineStr">
        <is>
          <t>Medium</t>
        </is>
      </c>
      <c r="L176" s="28" t="n"/>
      <c r="M176" s="28" t="inlineStr">
        <is>
          <t>Not Run</t>
        </is>
      </c>
      <c r="N176" s="28" t="n"/>
      <c r="O176" s="28" t="n"/>
      <c r="P176" s="35" t="n"/>
      <c r="Q176" s="35" t="n"/>
    </row>
    <row r="177">
      <c r="A177" s="35" t="inlineStr">
        <is>
          <t>SS-SCR-018-SC3-TC1</t>
        </is>
      </c>
      <c r="B177" s="35" t="inlineStr">
        <is>
          <t>SS-SCR-018-SC3</t>
        </is>
      </c>
      <c r="C177" s="35" t="inlineStr">
        <is>
          <t>SS-SCR-018</t>
        </is>
      </c>
      <c r="D177" s="35" t="inlineStr">
        <is>
          <t>FR-VS-08, NFR-005</t>
        </is>
      </c>
      <c r="E177" s="35" t="inlineStr">
        <is>
          <t>Performance</t>
        </is>
      </c>
      <c r="F177" s="35" t="inlineStr">
        <is>
          <t>p95 voice search response time — measured for real, not yet scored Pass/Fail due to the conflicting thresholds (FR-VS-08 vs NFR-005)</t>
        </is>
      </c>
      <c r="G177" s="35" t="inlineStr">
        <is>
          <t>Normal network conditions.</t>
        </is>
      </c>
      <c r="H177" s="35" t="inlineStr">
        <is>
          <t>1. Perform 30+ voice searches with standard speech, under normal network conditions.
2. Measure the time from the end of recording (auto-stop or manual stop) to the first product displaying on the results page, for each run (including the speech-to-text conversion time, per the measurement scope of FR-VS-08/NFR-005).
3. Compute the p95 of the data set.</t>
        </is>
      </c>
      <c r="I177" s="35" t="inlineStr">
        <is>
          <t>Standard speech x &gt;=30 runs</t>
        </is>
      </c>
      <c r="J177" s="35" t="inlineStr">
        <is>
          <t>TBD — measures the actual p95, but does NOT score Pass/Fail until the official threshold is confirmed as 4,000ms (NFR-005) or 6,000ms (FR-VS-08). See QnA-30.</t>
        </is>
      </c>
      <c r="K177" s="35" t="inlineStr">
        <is>
          <t>High</t>
        </is>
      </c>
      <c r="L177" s="28" t="n"/>
      <c r="M177" s="28" t="inlineStr">
        <is>
          <t>N/A</t>
        </is>
      </c>
      <c r="N177" s="28" t="n"/>
      <c r="O177" s="28" t="n"/>
      <c r="P177" s="35" t="inlineStr">
        <is>
          <t>QnA-30</t>
        </is>
      </c>
      <c r="Q177" s="35" t="inlineStr">
        <is>
          <t>OPEN — QnA-30: xem chi tiết trong file QnA log.</t>
        </is>
      </c>
    </row>
  </sheetData>
  <mergeCells count="1">
    <mergeCell ref="A1:Q1"/>
  </mergeCells>
  <dataValidations count="1">
    <dataValidation sqref="M3:M104" showDropDown="0" showInputMessage="0" showErrorMessage="0" allowBlank="1" type="list" errorStyle="stop" operator="between">
      <formula1>"Pass,Fail,Blocked,N/A,Not Run"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14" customWidth="1" style="16" min="2" max="2"/>
    <col width="30" customWidth="1" style="16" min="3" max="3"/>
    <col width="22" customWidth="1" style="16" min="4" max="4"/>
    <col width="12" customWidth="1" style="16" min="5" max="5"/>
    <col width="40" customWidth="1" style="16" min="6" max="6"/>
    <col width="26" customWidth="1" style="16" min="7" max="8"/>
    <col width="42" customWidth="1" style="16" min="9" max="9"/>
    <col width="10" customWidth="1" style="16" min="10" max="12"/>
    <col width="12" customWidth="1" style="16" min="13" max="13"/>
    <col width="40" customWidth="1" style="16" min="14" max="14"/>
  </cols>
  <sheetData>
    <row r="1" ht="21.75" customHeight="1" s="17">
      <c r="A1" s="29" t="inlineStr">
        <is>
          <t>Functional/Integration — Test Scenario Register</t>
        </is>
      </c>
    </row>
    <row r="2" ht="23.85" customHeight="1" s="17">
      <c r="A2" s="30" t="inlineStr">
        <is>
          <t>No</t>
        </is>
      </c>
      <c r="B2" s="30" t="inlineStr">
        <is>
          <t>Scenario ID</t>
        </is>
      </c>
      <c r="C2" s="30" t="inlineStr">
        <is>
          <t>Module</t>
        </is>
      </c>
      <c r="D2" s="30" t="inlineStr">
        <is>
          <t>REQ ID</t>
        </is>
      </c>
      <c r="E2" s="30" t="inlineStr">
        <is>
          <t>Scenario Type</t>
        </is>
      </c>
      <c r="F2" s="30" t="inlineStr">
        <is>
          <t>Business Rule / System Flow</t>
        </is>
      </c>
      <c r="G2" s="30" t="inlineStr">
        <is>
          <t>Systems Involved</t>
        </is>
      </c>
      <c r="H2" s="30" t="inlineStr">
        <is>
          <t>Preconditions</t>
        </is>
      </c>
      <c r="I2" s="30" t="inlineStr">
        <is>
          <t>Expected Behavior</t>
        </is>
      </c>
      <c r="J2" s="30" t="inlineStr">
        <is>
          <t>QnA Ref</t>
        </is>
      </c>
      <c r="K2" s="30" t="inlineStr">
        <is>
          <t>Test Result</t>
        </is>
      </c>
      <c r="L2" s="30" t="inlineStr">
        <is>
          <t>Tester</t>
        </is>
      </c>
      <c r="M2" s="30" t="inlineStr">
        <is>
          <t>Test Date</t>
        </is>
      </c>
      <c r="N2" s="30" t="inlineStr">
        <is>
          <t>Comments</t>
        </is>
      </c>
    </row>
    <row r="3" ht="46.25" customHeight="1" s="17">
      <c r="A3" s="27" t="n">
        <v>1</v>
      </c>
      <c r="B3" s="27" t="inlineStr">
        <is>
          <t>INT-01-SC1</t>
        </is>
      </c>
      <c r="C3" s="27" t="inlineStr">
        <is>
          <t>Search Ranking Engine</t>
        </is>
      </c>
      <c r="D3" s="27" t="inlineStr">
        <is>
          <t>FR-PR-01, FR-PR-02, FR-PR-03, FR-PR-04</t>
        </is>
      </c>
      <c r="E3" s="27" t="inlineStr">
        <is>
          <t>Functional</t>
        </is>
      </c>
      <c r="F3" s="27" t="inlineStr">
        <is>
          <t>Apply the correct ranking order: Out-of-stock override -&gt; Personalization -&gt; Business rule -&gt; Relevance.</t>
        </is>
      </c>
      <c r="G3" s="27" t="n"/>
      <c r="H3" s="27" t="inlineStr">
        <is>
          <t>Result set has an out-of-stock SKU, a business-boosted SKU, and the shopper has purchase history.</t>
        </is>
      </c>
      <c r="I3" s="27" t="inlineStr">
        <is>
          <t>Out-of-stock SKUs always sink to the bottom no matter how high their relevance score is. Among in-stock SKUs, business rules (boost/bury) apply first, then personalization, then plain relevance score.</t>
        </is>
      </c>
      <c r="J3" s="27" t="n"/>
      <c r="K3" s="28" t="n"/>
      <c r="L3" s="28" t="n"/>
      <c r="M3" s="28" t="n"/>
      <c r="N3" s="27" t="n"/>
    </row>
    <row r="4" ht="35.05" customHeight="1" s="17">
      <c r="A4" s="27" t="n">
        <v>2</v>
      </c>
      <c r="B4" s="27" t="inlineStr">
        <is>
          <t>INT-01-SC2</t>
        </is>
      </c>
      <c r="C4" s="27" t="inlineStr">
        <is>
          <t>Search Ranking Engine</t>
        </is>
      </c>
      <c r="D4" s="27" t="inlineStr">
        <is>
          <t>FR-PR-01, FR-PR-02, FR-PR-03, FR-PR-04</t>
        </is>
      </c>
      <c r="E4" s="27" t="inlineStr">
        <is>
          <t>Boundary</t>
        </is>
      </c>
      <c r="F4" s="27" t="inlineStr">
        <is>
          <t>Check behavior when 2 SKUs have the exact same relevance score (tie-break).</t>
        </is>
      </c>
      <c r="G4" s="27" t="n"/>
      <c r="H4" s="27" t="inlineStr">
        <is>
          <t>2 SKUs with the same relevance score, both in stock, no boost/personalization.</t>
        </is>
      </c>
      <c r="I4" s="27" t="inlineStr">
        <is>
          <t>The system should apply a consistent tie-break rule (for example by Product_ID, last-updated time, or sales volume). The exact rule needs confirmation.</t>
        </is>
      </c>
      <c r="J4" s="27" t="n"/>
      <c r="K4" s="28" t="n"/>
      <c r="L4" s="28" t="n"/>
      <c r="M4" s="28" t="n"/>
      <c r="N4" s="27" t="n"/>
    </row>
    <row r="5" ht="35.05" customHeight="1" s="17">
      <c r="A5" s="27" t="n">
        <v>3</v>
      </c>
      <c r="B5" s="27" t="inlineStr">
        <is>
          <t>INT-02-SC1</t>
        </is>
      </c>
      <c r="C5" s="27" t="inlineStr">
        <is>
          <t>Query Understanding — Synonyms &amp; Multilingual</t>
        </is>
      </c>
      <c r="D5" s="27" t="inlineStr">
        <is>
          <t>FR-SM-01, FR-SM-02, FR-SM-03, FR-SM-04, FR-SM-06</t>
        </is>
      </c>
      <c r="E5" s="27" t="inlineStr">
        <is>
          <t>Functional</t>
        </is>
      </c>
      <c r="F5" s="27" t="inlineStr">
        <is>
          <t>Expand the query using synonyms at the backend layer.</t>
        </is>
      </c>
      <c r="G5" s="27" t="n"/>
      <c r="H5" s="27" t="inlineStr">
        <is>
          <t>The synonym dictionary maps "yogurt" to "sữa chua" (the Vietnamese word for yogurt).</t>
        </is>
      </c>
      <c r="I5" s="27" t="inlineStr">
        <is>
          <t>Query "yogurt" returns the same Vietnamese-catalogue yogurt products, without the shopper needing to type the exact Vietnamese word.</t>
        </is>
      </c>
      <c r="J5" s="27" t="n"/>
      <c r="K5" s="28" t="n"/>
      <c r="L5" s="28" t="n"/>
      <c r="M5" s="28" t="n"/>
      <c r="N5" s="27" t="n"/>
    </row>
    <row r="6" ht="35.05" customHeight="1" s="17">
      <c r="A6" s="27" t="n">
        <v>4</v>
      </c>
      <c r="B6" s="27" t="inlineStr">
        <is>
          <t>INT-02-SC2</t>
        </is>
      </c>
      <c r="C6" s="27" t="inlineStr">
        <is>
          <t>Query Understanding — Synonyms &amp; Multilingual</t>
        </is>
      </c>
      <c r="D6" s="27" t="inlineStr">
        <is>
          <t>FR-SM-01, FR-SM-02, FR-SM-03, FR-SM-04, FR-SM-06</t>
        </is>
      </c>
      <c r="E6" s="27" t="inlineStr">
        <is>
          <t>Functional</t>
        </is>
      </c>
      <c r="F6" s="27" t="inlineStr">
        <is>
          <t>Normalize Vietnamese diacritics (accent marks) at the index/backend layer.</t>
        </is>
      </c>
      <c r="G6" s="27" t="n"/>
      <c r="H6" s="27" t="inlineStr">
        <is>
          <t>The index has diacritic-stripping normalization turned on.</t>
        </is>
      </c>
      <c r="I6" s="27" t="inlineStr">
        <is>
          <t>A query without diacritics ("sua tuoi") returns the same results as the query with diacritics ("sữa tươi").</t>
        </is>
      </c>
      <c r="J6" s="27" t="n"/>
      <c r="K6" s="28" t="n"/>
      <c r="L6" s="28" t="n"/>
      <c r="M6" s="28" t="n"/>
      <c r="N6" s="27" t="n"/>
    </row>
    <row r="7" ht="35.05" customHeight="1" s="17">
      <c r="A7" s="27" t="n">
        <v>5</v>
      </c>
      <c r="B7" s="27" t="inlineStr">
        <is>
          <t>INT-03-SC1</t>
        </is>
      </c>
      <c r="C7" s="27" t="inlineStr">
        <is>
          <t>Autocomplete &amp; Spelling Correction — Backend</t>
        </is>
      </c>
      <c r="D7" s="27" t="inlineStr">
        <is>
          <t>FR-SP-01, FR-AC-01, FR-AC-03</t>
        </is>
      </c>
      <c r="E7" s="27" t="inlineStr">
        <is>
          <t>Performance</t>
        </is>
      </c>
      <c r="F7" s="27" t="inlineStr">
        <is>
          <t>Measure the backend autocomplete API latency (not counting UI debounce time).</t>
        </is>
      </c>
      <c r="G7" s="27" t="n"/>
      <c r="H7" s="27" t="inlineStr">
        <is>
          <t>Autocomplete endpoint is healthy, normal load.</t>
        </is>
      </c>
      <c r="I7" s="27" t="inlineStr">
        <is>
          <t>P95 API response time is under 300ms, per NFR-002 (measured on the server side, not counting client-side debounce).</t>
        </is>
      </c>
      <c r="J7" s="27" t="n"/>
      <c r="K7" s="28" t="n"/>
      <c r="L7" s="28" t="n"/>
      <c r="M7" s="28" t="n"/>
      <c r="N7" s="27" t="n"/>
    </row>
    <row r="8" ht="57.45" customHeight="1" s="17">
      <c r="A8" s="26" t="n">
        <v>6</v>
      </c>
      <c r="B8" s="26" t="inlineStr">
        <is>
          <t>INT-03-SC2</t>
        </is>
      </c>
      <c r="C8" s="26" t="inlineStr">
        <is>
          <t>Autocomplete &amp; Spelling Correction — Backend</t>
        </is>
      </c>
      <c r="D8" s="26" t="inlineStr">
        <is>
          <t>FR-SP-01, FR-AC-01, FR-AC-03</t>
        </is>
      </c>
      <c r="E8" s="26" t="inlineStr">
        <is>
          <t>Behavior</t>
        </is>
      </c>
      <c r="F8" s="26" t="inlineStr">
        <is>
          <t>Check that the fuzzy-match spelling-error detector uses a clear Levenshtein/phonetic distance limit.</t>
        </is>
      </c>
      <c r="G8" s="26" t="n"/>
      <c r="H8" s="26" t="inlineStr">
        <is>
          <t>Catalogue dictionary is fully indexed.</t>
        </is>
      </c>
      <c r="I8" s="26" t="inlineStr">
        <is>
          <t>A query that is off by up to N characters (exact limit TBD, see QnA-04) from a valid catalogue word should trigger the correction banner. Beyond that limit, it should not trigger (treated as an unrelated query).</t>
        </is>
      </c>
      <c r="J8" s="26" t="inlineStr">
        <is>
          <t>QnA-04</t>
        </is>
      </c>
      <c r="K8" s="28" t="n"/>
      <c r="L8" s="28" t="n"/>
      <c r="M8" s="28" t="n"/>
      <c r="N8" s="26" t="inlineStr">
        <is>
          <t>OPEN — QnA-04</t>
        </is>
      </c>
    </row>
    <row r="9" ht="46.25" customHeight="1" s="17">
      <c r="A9" s="27" t="n">
        <v>7</v>
      </c>
      <c r="B9" s="27" t="inlineStr">
        <is>
          <t>INT-04-SC1</t>
        </is>
      </c>
      <c r="C9" s="27" t="inlineStr">
        <is>
          <t>Personalization — OMS Integration (Order History)</t>
        </is>
      </c>
      <c r="D9" s="27" t="inlineStr">
        <is>
          <t>FR-PS-03</t>
        </is>
      </c>
      <c r="E9" s="27" t="inlineStr">
        <is>
          <t>Integration</t>
        </is>
      </c>
      <c r="F9" s="27" t="inlineStr">
        <is>
          <t>Sync Order History data from OMS to build the "Frequently Purchased" block.</t>
        </is>
      </c>
      <c r="G9" s="27" t="n"/>
      <c r="H9" s="27" t="inlineStr">
        <is>
          <t>OMS has an API that returns COMPLETED orders from the last 90 days.</t>
        </is>
      </c>
      <c r="I9" s="27" t="inlineStr">
        <is>
          <t>The Search Service must call the OMS API correctly, filter by COMPLETED status, use the correct 90-day window, and count Order Count (not Item Quantity) per SKU.</t>
        </is>
      </c>
      <c r="J9" s="27" t="n"/>
      <c r="K9" s="28" t="n"/>
      <c r="L9" s="28" t="n"/>
      <c r="M9" s="28" t="n"/>
      <c r="N9" s="27" t="n"/>
    </row>
    <row r="10" ht="57.45" customHeight="1" s="17">
      <c r="A10" s="26" t="n">
        <v>8</v>
      </c>
      <c r="B10" s="26" t="inlineStr">
        <is>
          <t>INT-05-SC1</t>
        </is>
      </c>
      <c r="C10" s="26" t="inlineStr">
        <is>
          <t>Sponsored Ads — Retail Media Integration</t>
        </is>
      </c>
      <c r="D10" s="26" t="inlineStr">
        <is>
          <t>FR-PR-05</t>
        </is>
      </c>
      <c r="E10" s="26" t="inlineStr">
        <is>
          <t>Integration</t>
        </is>
      </c>
      <c r="F10" s="26" t="inlineStr">
        <is>
          <t>The Search Service calls the Retail Media Platform to get ads that match the query.</t>
        </is>
      </c>
      <c r="G10" s="26" t="n"/>
      <c r="H10" s="26" t="inlineStr">
        <is>
          <t>Retail Media Platform has 1 or more active campaigns for the test keyword.</t>
        </is>
      </c>
      <c r="I10" s="26" t="inlineStr">
        <is>
          <t>The Search Service sends the correct request (query, user segment if any) to Retail Media, gets back sponsored SKUs with slot positions, and correctly inserts them into the final response with an is_sponsored=true flag.</t>
        </is>
      </c>
      <c r="J10" s="26" t="inlineStr">
        <is>
          <t>QnA-07</t>
        </is>
      </c>
      <c r="K10" s="28" t="n"/>
      <c r="L10" s="28" t="n"/>
      <c r="M10" s="28" t="n"/>
      <c r="N10" s="26" t="inlineStr">
        <is>
          <t>OPEN — QnA-07</t>
        </is>
      </c>
    </row>
    <row r="11" ht="57.45" customHeight="1" s="17">
      <c r="A11" s="26" t="n">
        <v>9</v>
      </c>
      <c r="B11" s="26" t="inlineStr">
        <is>
          <t>INT-06-SC1</t>
        </is>
      </c>
      <c r="C11" s="26" t="inlineStr">
        <is>
          <t>Image Search — Computer Vision Service Integration</t>
        </is>
      </c>
      <c r="D11" s="26" t="inlineStr">
        <is>
          <t>FR-IS-01, FR-IS-03, FR-IS-05, FR-IS-07</t>
        </is>
      </c>
      <c r="E11" s="26" t="inlineStr">
        <is>
          <t>Integration</t>
        </is>
      </c>
      <c r="F11" s="26" t="inlineStr">
        <is>
          <t>The Search Service sends the image to the Computer Vision (CV) Service and maps the result to real catalogue Product_IDs.</t>
        </is>
      </c>
      <c r="G11" s="26" t="n"/>
      <c r="H11" s="26" t="inlineStr">
        <is>
          <t>CV Service is healthy and trained on the LOTTE Mart catalogue.</t>
        </is>
      </c>
      <c r="I11" s="26" t="inlineStr">
        <is>
          <t>CV Service returns labels/embeddings with confidence scores. The Search Service must map these correctly to real Product_IDs in the catalogue, never returning labels that don't exist in the sales system.</t>
        </is>
      </c>
      <c r="J11" s="26" t="inlineStr">
        <is>
          <t>QnA-04</t>
        </is>
      </c>
      <c r="K11" s="28" t="n"/>
      <c r="L11" s="28" t="n"/>
      <c r="M11" s="28" t="n"/>
      <c r="N11" s="26" t="inlineStr">
        <is>
          <t>OPEN — QnA-04</t>
        </is>
      </c>
    </row>
    <row r="12" ht="57.45" customHeight="1" s="17">
      <c r="A12" s="26" t="n">
        <v>10</v>
      </c>
      <c r="B12" s="26" t="inlineStr">
        <is>
          <t>INT-07-SC1</t>
        </is>
      </c>
      <c r="C12" s="26" t="inlineStr">
        <is>
          <t>Voice Search — Speech-to-Text Service Integration</t>
        </is>
      </c>
      <c r="D12" s="26" t="inlineStr">
        <is>
          <t>FR-VS-01, FR-VS-04, FR-VS-06</t>
        </is>
      </c>
      <c r="E12" s="26" t="inlineStr">
        <is>
          <t>Integration</t>
        </is>
      </c>
      <c r="F12" s="26" t="inlineStr">
        <is>
          <t>The Search Service sends the audio stream to the Speech-to-Text (STT) Service and uses the transcript to run the search.</t>
        </is>
      </c>
      <c r="G12" s="26" t="n"/>
      <c r="H12" s="26" t="inlineStr">
        <is>
          <t>STT Service supports Vietnamese and is healthy.</t>
        </is>
      </c>
      <c r="I12" s="26" t="inlineStr">
        <is>
          <t>STT Service returns a transcript with a confidence score. The Search Service must run that transcript through the exact same Query Understanding pipeline (synonyms, diacritic normalization) used by Text Search.</t>
        </is>
      </c>
      <c r="J12" s="26" t="inlineStr">
        <is>
          <t>QnA-22</t>
        </is>
      </c>
      <c r="K12" s="28" t="n"/>
      <c r="L12" s="28" t="n"/>
      <c r="M12" s="28" t="n"/>
      <c r="N12" s="26" t="inlineStr">
        <is>
          <t>OPEN — QnA-22</t>
        </is>
      </c>
    </row>
    <row r="13" ht="46.25" customHeight="1" s="17">
      <c r="A13" s="27" t="n">
        <v>11</v>
      </c>
      <c r="B13" s="27" t="inlineStr">
        <is>
          <t>INT-08-SC1</t>
        </is>
      </c>
      <c r="C13" s="27" t="inlineStr">
        <is>
          <t>Add to Cart — Cart/OMS Transactional Integration</t>
        </is>
      </c>
      <c r="D13" s="27" t="inlineStr">
        <is>
          <t>No clear FR ID yet — see QnA-10</t>
        </is>
      </c>
      <c r="E13" s="27" t="inlineStr">
        <is>
          <t>Integration</t>
        </is>
      </c>
      <c r="F13" s="27" t="inlineStr">
        <is>
          <t>Call the add-to-cart API and make sure it stays correct (transactional integrity) under many requests at the same time.</t>
        </is>
      </c>
      <c r="G13" s="27" t="n"/>
      <c r="H13" s="27" t="inlineStr">
        <is>
          <t>1 SKU with limited stock (for example, 5 units left).</t>
        </is>
      </c>
      <c r="I13" s="27" t="inlineStr">
        <is>
          <t>When many add-to-cart requests hit the same low-stock SKU at the same time from different sessions, the total quantity added must never go above the real stock (no race conditions).</t>
        </is>
      </c>
      <c r="J13" s="27" t="n"/>
      <c r="K13" s="28" t="n"/>
      <c r="L13" s="28" t="n"/>
      <c r="M13" s="28" t="n"/>
      <c r="N13" s="27" t="n"/>
    </row>
    <row r="14" ht="46.25" customHeight="1" s="17">
      <c r="A14" s="26" t="n">
        <v>12</v>
      </c>
      <c r="B14" s="26" t="inlineStr">
        <is>
          <t>INT-09-SC1</t>
        </is>
      </c>
      <c r="C14" s="26" t="inlineStr">
        <is>
          <t>Catalog &amp; Inventory — Real-Time Stock Sync</t>
        </is>
      </c>
      <c r="D14" s="26" t="inlineStr">
        <is>
          <t>Related to FR-PR-01 (Out-of-stock override)</t>
        </is>
      </c>
      <c r="E14" s="26" t="inlineStr">
        <is>
          <t>Integration</t>
        </is>
      </c>
      <c r="F14" s="26" t="inlineStr">
        <is>
          <t>The Search Index should update stock status close to real time whenever the Inventory Service changes it.</t>
        </is>
      </c>
      <c r="G14" s="26" t="n"/>
      <c r="H14" s="26" t="inlineStr">
        <is>
          <t>1 SKU currently shows as in stock (stock=10) in the Search Index.</t>
        </is>
      </c>
      <c r="I14" s="26" t="inlineStr">
        <is>
          <t>When the Inventory Service updates the SKU to stock=0, the Search Index must reflect this within an acceptable time (sync SLA, still TBD) to avoid selling items that are actually out of stock.</t>
        </is>
      </c>
      <c r="J14" s="26" t="inlineStr">
        <is>
          <t>QnA-04</t>
        </is>
      </c>
      <c r="K14" s="28" t="n"/>
      <c r="L14" s="28" t="n"/>
      <c r="M14" s="28" t="n"/>
      <c r="N14" s="26" t="inlineStr">
        <is>
          <t>OPEN — QnA-04</t>
        </is>
      </c>
    </row>
    <row r="15" ht="46.25" customHeight="1" s="17">
      <c r="A15" s="27" t="n">
        <v>13</v>
      </c>
      <c r="B15" s="27" t="inlineStr">
        <is>
          <t>INT-10-SC1</t>
        </is>
      </c>
      <c r="C15" s="27" t="inlineStr">
        <is>
          <t>Zero-Result Fallback Engine — Recommendation Algorithm</t>
        </is>
      </c>
      <c r="D15" s="27" t="inlineStr">
        <is>
          <t>FR-ZR-01, FR-ZR-02, FR-SM-07</t>
        </is>
      </c>
      <c r="E15" s="27" t="inlineStr">
        <is>
          <t>Functional</t>
        </is>
      </c>
      <c r="F15" s="27" t="inlineStr">
        <is>
          <t>Check the Substitute-product algorithm, which is based on vector similarity/category.</t>
        </is>
      </c>
      <c r="G15" s="27" t="n"/>
      <c r="H15" s="27" t="inlineStr">
        <is>
          <t>The original SKU is out of stock; there are 3 or more SKUs in the same category with close embedding vectors.</t>
        </is>
      </c>
      <c r="I15" s="27" t="inlineStr">
        <is>
          <t>The Substitute engine returns the SKUs with the highest similarity score, in the same or a related category, in stock, sorted from most to least similar.</t>
        </is>
      </c>
      <c r="J15" s="27" t="n"/>
      <c r="K15" s="28" t="n"/>
      <c r="L15" s="28" t="n"/>
      <c r="M15" s="28" t="n"/>
      <c r="N15" s="27" t="n"/>
    </row>
    <row r="16" ht="57.45" customHeight="1" s="17">
      <c r="A16" s="27" t="n">
        <v>14</v>
      </c>
      <c r="B16" s="27" t="inlineStr">
        <is>
          <t>INT-10-SC2</t>
        </is>
      </c>
      <c r="C16" s="27" t="inlineStr">
        <is>
          <t>Zero-Result Fallback Engine — Recommendation Algorithm</t>
        </is>
      </c>
      <c r="D16" s="27" t="inlineStr">
        <is>
          <t>FR-ZR-01, FR-ZR-02, FR-SM-07</t>
        </is>
      </c>
      <c r="E16" s="27" t="inlineStr">
        <is>
          <t>Functional</t>
        </is>
      </c>
      <c r="F16" s="27" t="inlineStr">
        <is>
          <t>Check the Cross-sell algorithm, which is based on Basket Analysis (Association Rule Mining).</t>
        </is>
      </c>
      <c r="G16" s="27" t="n"/>
      <c r="H16" s="27" t="inlineStr">
        <is>
          <t>There is enough order history to calculate association rules (for example, Beer and Peanuts are often bought together).</t>
        </is>
      </c>
      <c r="I16" s="27" t="inlineStr">
        <is>
          <t>The Cross-sell engine returns the product with the strongest link (highest lift/confidence) to the original SKU, and it must be in stock.</t>
        </is>
      </c>
      <c r="J16" s="27" t="n"/>
      <c r="K16" s="28" t="n"/>
      <c r="L16" s="28" t="n"/>
      <c r="M16" s="28" t="n"/>
      <c r="N16" s="27" t="n"/>
    </row>
    <row r="17" ht="46.25" customHeight="1" s="17">
      <c r="A17" s="27" t="n">
        <v>15</v>
      </c>
      <c r="B17" s="27" t="inlineStr">
        <is>
          <t>INT-10-SC3</t>
        </is>
      </c>
      <c r="C17" s="27" t="inlineStr">
        <is>
          <t>Zero-Result Fallback Engine — Recommendation Algorithm</t>
        </is>
      </c>
      <c r="D17" s="27" t="inlineStr">
        <is>
          <t>FR-ZR-01, FR-ZR-02, FR-SM-07</t>
        </is>
      </c>
      <c r="E17" s="27" t="inlineStr">
        <is>
          <t>Boundary</t>
        </is>
      </c>
      <c r="F17" s="27" t="inlineStr">
        <is>
          <t>3-tier fallback when there is no valid Substitute or Cross-sell.</t>
        </is>
      </c>
      <c r="G17" s="27" t="n"/>
      <c r="H17" s="27" t="inlineStr">
        <is>
          <t>The keyword is completely outside the catalogue (no similar SKU, no association rule at all).</t>
        </is>
      </c>
      <c r="I17" s="27" t="inlineStr">
        <is>
          <t>The system falls back to the last tier: system-wide Best-sellers, at least 10 SKUs, and it should never return an empty list.</t>
        </is>
      </c>
      <c r="J17" s="27" t="n"/>
      <c r="K17" s="28" t="n"/>
      <c r="L17" s="28" t="n"/>
      <c r="M17" s="28" t="n"/>
      <c r="N17" s="27" t="n"/>
    </row>
    <row r="18" ht="46.25" customHeight="1" s="17">
      <c r="A18" s="26" t="n">
        <v>16</v>
      </c>
      <c r="B18" s="26" t="inlineStr">
        <is>
          <t>INT-11-SC1</t>
        </is>
      </c>
      <c r="C18" s="26" t="inlineStr">
        <is>
          <t>Auth &amp; Session — Guest vs Member</t>
        </is>
      </c>
      <c r="D18" s="26" t="inlineStr">
        <is>
          <t>Related to FR-PS-03, FR-PS-01</t>
        </is>
      </c>
      <c r="E18" s="26" t="inlineStr">
        <is>
          <t>Behavior</t>
        </is>
      </c>
      <c r="F18" s="26" t="inlineStr">
        <is>
          <t>Handle a token expiring right in the middle of a search/personalization API call.</t>
        </is>
      </c>
      <c r="G18" s="26" t="n"/>
      <c r="H18" s="26" t="inlineStr">
        <is>
          <t>The shopper's login token (JWT) is about to expire (less than 5 seconds left).</t>
        </is>
      </c>
      <c r="I18" s="26" t="inlineStr">
        <is>
          <t>This exact case is not documented yet. Ideally, the system should return a clear 401 error so the client can handle it (refresh the token, or fall back to Guest mode), instead of a 500 error or wrong data.</t>
        </is>
      </c>
      <c r="J18" s="26" t="inlineStr">
        <is>
          <t>QnA-20</t>
        </is>
      </c>
      <c r="K18" s="28" t="n"/>
      <c r="L18" s="28" t="n"/>
      <c r="M18" s="28" t="n"/>
      <c r="N18" s="26" t="inlineStr">
        <is>
          <t>OPEN — QnA-20</t>
        </is>
      </c>
    </row>
    <row r="19" ht="57.45" customHeight="1" s="17">
      <c r="A19" s="27" t="n">
        <v>17</v>
      </c>
      <c r="B19" s="27" t="inlineStr">
        <is>
          <t>INT-11-SC2</t>
        </is>
      </c>
      <c r="C19" s="27" t="inlineStr">
        <is>
          <t>Auth &amp; Session — Guest vs Member</t>
        </is>
      </c>
      <c r="D19" s="27" t="inlineStr">
        <is>
          <t>Related to FR-PS-03, FR-PS-01</t>
        </is>
      </c>
      <c r="E19" s="27" t="inlineStr">
        <is>
          <t>Functional</t>
        </is>
      </c>
      <c r="F19" s="27" t="inlineStr">
        <is>
          <t>A Guest logs in partway through a session — personalized data must update correctly.</t>
        </is>
      </c>
      <c r="G19" s="27" t="n"/>
      <c r="H19" s="27" t="inlineStr">
        <is>
          <t>The shopper is browsing as a Guest, then logs in successfully.</t>
        </is>
      </c>
      <c r="I19" s="27" t="inlineStr">
        <is>
          <t>After logging in, the "Frequently Purchased" block must switch from the Guest state (hidden or fallback) to the correct personalized data for the logged-in account, without the shopper needing to manually reload the page.</t>
        </is>
      </c>
      <c r="J19" s="27" t="n"/>
      <c r="K19" s="28" t="n"/>
      <c r="L19" s="28" t="n"/>
      <c r="M19" s="28" t="n"/>
      <c r="N19" s="27" t="n"/>
    </row>
    <row r="20" ht="46.25" customHeight="1" s="17">
      <c r="A20" s="27" t="n">
        <v>18</v>
      </c>
      <c r="B20" s="27" t="inlineStr">
        <is>
          <t>INT-12-SC1</t>
        </is>
      </c>
      <c r="C20" s="27" t="inlineStr">
        <is>
          <t>Analytics &amp; Event Logging</t>
        </is>
      </c>
      <c r="D20" s="27" t="inlineStr">
        <is>
          <t>Related to FR-PS-02 (Trending), NFR tracking</t>
        </is>
      </c>
      <c r="E20" s="27" t="inlineStr">
        <is>
          <t>Integration</t>
        </is>
      </c>
      <c r="F20" s="27" t="inlineStr">
        <is>
          <t>Log search events into the Analytics system to feed the Trending Score calculation.</t>
        </is>
      </c>
      <c r="G20" s="27" t="n"/>
      <c r="H20" s="27" t="inlineStr">
        <is>
          <t>The analytics pipeline is healthy.</t>
        </is>
      </c>
      <c r="I20" s="27" t="inlineStr">
        <is>
          <t>Every successful search (with more than 0 results) must be logged with the right fields: query text, timestamp, user segment (Guest/Member), and result count.</t>
        </is>
      </c>
      <c r="J20" s="27" t="n"/>
      <c r="K20" s="28" t="n"/>
      <c r="L20" s="28" t="n"/>
      <c r="M20" s="28" t="n"/>
      <c r="N20" s="27" t="n"/>
    </row>
    <row r="21" ht="57.45" customHeight="1" s="17">
      <c r="A21" s="27" t="n">
        <v>19</v>
      </c>
      <c r="B21" s="27" t="inlineStr">
        <is>
          <t>INT-13-SC1</t>
        </is>
      </c>
      <c r="C21" s="27" t="inlineStr">
        <is>
          <t>Performance &amp; Scalability (NFR)</t>
        </is>
      </c>
      <c r="D21" s="27" t="inlineStr">
        <is>
          <t>NFR-001 to NFR-005 (Search/Autocomplete/Image response time)</t>
        </is>
      </c>
      <c r="E21" s="27" t="inlineStr">
        <is>
          <t>Performance</t>
        </is>
      </c>
      <c r="F21" s="27" t="inlineStr">
        <is>
          <t>Check how the system handles a sudden traffic spike, for example a busy promotion hour.</t>
        </is>
      </c>
      <c r="G21" s="27" t="n"/>
      <c r="H21" s="27" t="inlineStr">
        <is>
          <t>A load-test environment is set up to simulate realistic traffic.</t>
        </is>
      </c>
      <c r="I21" s="27" t="inlineStr">
        <is>
          <t>At peak load (for example, 5 times the average traffic), P95 search response time should stay within an acceptable range (1,000ms or less, per the BRD note for "peak days"), and the error rate should stay within SLA.</t>
        </is>
      </c>
      <c r="J21" s="27" t="n"/>
      <c r="K21" s="28" t="n"/>
      <c r="L21" s="28" t="n"/>
      <c r="M21" s="28" t="n"/>
      <c r="N21" s="27" t="n"/>
    </row>
    <row r="22" ht="46.25" customHeight="1" s="17">
      <c r="A22" s="27" t="n">
        <v>20</v>
      </c>
      <c r="B22" s="27" t="inlineStr">
        <is>
          <t>INT-14-SC1</t>
        </is>
      </c>
      <c r="C22" s="27" t="inlineStr">
        <is>
          <t>Security &amp; Data Privacy (PDPL)</t>
        </is>
      </c>
      <c r="D22" s="27" t="inlineStr">
        <is>
          <t>RSK-05, DEP-08 (PDPL dependency)</t>
        </is>
      </c>
      <c r="E22" s="27" t="inlineStr">
        <is>
          <t>Security</t>
        </is>
      </c>
      <c r="F22" s="27" t="inlineStr">
        <is>
          <t>Check that personalized data (Order History) never leaks between shopper accounts.</t>
        </is>
      </c>
      <c r="G22" s="27" t="n"/>
      <c r="H22" s="27" t="inlineStr">
        <is>
          <t>2 different test accounts, each with separate purchase history.</t>
        </is>
      </c>
      <c r="I22" s="27" t="inlineStr">
        <is>
          <t>Calling the "Frequently Purchased" API with Account A's token must never return Account B's data, even when the two requests are sent almost at the same time.</t>
        </is>
      </c>
      <c r="J22" s="27" t="n"/>
      <c r="K22" s="28" t="n"/>
      <c r="L22" s="28" t="n"/>
      <c r="M22" s="28" t="n"/>
      <c r="N22" s="27" t="n"/>
    </row>
    <row r="23">
      <c r="A23" s="27" t="n">
        <v>21</v>
      </c>
      <c r="B23" s="27" t="inlineStr">
        <is>
          <t>INT-13-SC2</t>
        </is>
      </c>
      <c r="C23" s="27" t="inlineStr">
        <is>
          <t>Performance &amp; Scalability (NFR)</t>
        </is>
      </c>
      <c r="D23" s="27" t="inlineStr">
        <is>
          <t>FR-GD-03, NFR-009</t>
        </is>
      </c>
      <c r="E23" s="27" t="inlineStr">
        <is>
          <t>Behavior</t>
        </is>
      </c>
      <c r="F23" s="27" t="inlineStr">
        <is>
          <t>When the AI Search (semantic) system fails or times out, the system automatically degrades (Graceful Degradation) to the basic keyword search algorithm, showing no technical error to the customer.</t>
        </is>
      </c>
      <c r="G23" s="27" t="inlineStr">
        <is>
          <t>AI Search Service, Basic Keyword Search Engine (fallback), API Gateway</t>
        </is>
      </c>
      <c r="H23" s="27" t="inlineStr">
        <is>
          <t>The test environment can simulate the AI Search Service being down/timing out (chaos testing or a feature flag disabling the AI service).</t>
        </is>
      </c>
      <c r="I23" s="27" t="inlineStr">
        <is>
          <t>When the AI Search Service is unavailable, search requests automatically switch to the basic keyword algorithm; the customer still receives a reasonable results page (not a blank page, not 0 results caused by a system error); there is absolutely NO error popup or technical text (e.g. "AI service unavailable", a stack trace, a 5xx error code) shown on the UI; once the AI Search Service recovers, the system automatically switches back to using AI Search with no manual intervention.</t>
        </is>
      </c>
      <c r="J23" s="27" t="n"/>
      <c r="K23" s="28" t="n"/>
      <c r="L23" s="28" t="n"/>
      <c r="M23" s="28" t="inlineStr">
        <is>
          <t>Fills the gap flagged in QnA-32 ("no test case yet exercises the actual Graceful Degradation behavior"). NFR-009 describes this exact behavior almost verbatim, giving a clearer REQ ID anchor — QnA-32 remains open separately for the question of splitting FR-GD-01 from FR-GD-03.</t>
        </is>
      </c>
      <c r="N23" s="27" t="n"/>
    </row>
    <row r="24">
      <c r="A24" s="27" t="n">
        <v>22</v>
      </c>
      <c r="B24" s="27" t="inlineStr">
        <is>
          <t>INT-13-SC3</t>
        </is>
      </c>
      <c r="C24" s="27" t="inlineStr">
        <is>
          <t>Performance &amp; Scalability (NFR)</t>
        </is>
      </c>
      <c r="D24" s="27" t="inlineStr">
        <is>
          <t>FR-GD-01, NFR-001</t>
        </is>
      </c>
      <c r="E24" s="27" t="inlineStr">
        <is>
          <t>Performance</t>
        </is>
      </c>
      <c r="F24" s="27" t="inlineStr">
        <is>
          <t>Measure P95 text-search response time under NORMAL load (as opposed to the peak-load/traffic-spike scenario already tested in INT-13-SC1) — checked against the 300ms P95 threshold per FR-GD-01/NFR-001.</t>
        </is>
      </c>
      <c r="G24" s="27" t="inlineStr">
        <is>
          <t>AI Search Service, API Gateway, Monitoring</t>
        </is>
      </c>
      <c r="H24" s="27" t="inlineStr">
        <is>
          <t>The test environment simulates average daily traffic (not peak).</t>
        </is>
      </c>
      <c r="I24" s="27" t="inlineStr">
        <is>
          <t>Under average load, P95 text-search response time is &lt;=300ms; this is distinct from the &lt;=1,000ms threshold already tested separately for peak load in INT-13-SC1 (the "peak day" threshold per the BRD KPI-01 note).</t>
        </is>
      </c>
      <c r="J24" s="27" t="n"/>
      <c r="K24" s="28" t="n"/>
      <c r="L24" s="28" t="n"/>
      <c r="M24" s="28" t="n"/>
      <c r="N24" s="27" t="n"/>
    </row>
  </sheetData>
  <mergeCells count="1">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3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6" min="1" max="2"/>
    <col width="26" customWidth="1" style="16" min="3" max="3"/>
    <col width="20" customWidth="1" style="16" min="4" max="4"/>
    <col width="12" customWidth="1" style="16" min="5" max="5"/>
    <col width="34" customWidth="1" style="16" min="6" max="6"/>
    <col width="24" customWidth="1" style="16" min="7" max="7"/>
    <col width="44" customWidth="1" style="16" min="8" max="8"/>
    <col width="26" customWidth="1" style="16" min="9" max="9"/>
    <col width="42" customWidth="1" style="16" min="10" max="10"/>
    <col width="10" customWidth="1" style="16" min="11" max="11"/>
    <col width="14" customWidth="1" style="16" min="12" max="13"/>
    <col width="10" customWidth="1" style="16" min="14" max="14"/>
    <col width="12" customWidth="1" style="16" min="15" max="15"/>
    <col width="10" customWidth="1" style="16" min="16" max="16"/>
    <col width="40" customWidth="1" style="16" min="17" max="17"/>
  </cols>
  <sheetData>
    <row r="1" ht="21.75" customHeight="1" s="17">
      <c r="A1" s="29" t="inlineStr">
        <is>
          <t>Functional/Integration — Detailed Test Cases</t>
        </is>
      </c>
    </row>
    <row r="2" ht="23.85" customHeight="1" s="17">
      <c r="A2" s="30" t="inlineStr">
        <is>
          <t>Test Case ID</t>
        </is>
      </c>
      <c r="B2" s="30" t="inlineStr">
        <is>
          <t>Parent Scenario ID</t>
        </is>
      </c>
      <c r="C2" s="30" t="inlineStr">
        <is>
          <t>Module</t>
        </is>
      </c>
      <c r="D2" s="30" t="inlineStr">
        <is>
          <t>REQ ID</t>
        </is>
      </c>
      <c r="E2" s="30" t="inlineStr">
        <is>
          <t>Test Case Type</t>
        </is>
      </c>
      <c r="F2" s="30" t="inlineStr">
        <is>
          <t>Test Case Title</t>
        </is>
      </c>
      <c r="G2" s="30" t="inlineStr">
        <is>
          <t>Preconditions</t>
        </is>
      </c>
      <c r="H2" s="30" t="inlineStr">
        <is>
          <t>Test Steps</t>
        </is>
      </c>
      <c r="I2" s="30" t="inlineStr">
        <is>
          <t>Test Data</t>
        </is>
      </c>
      <c r="J2" s="30" t="inlineStr">
        <is>
          <t>Expected Result</t>
        </is>
      </c>
      <c r="K2" s="30" t="inlineStr">
        <is>
          <t>Priority</t>
        </is>
      </c>
      <c r="L2" s="30" t="inlineStr">
        <is>
          <t>Actual Result</t>
        </is>
      </c>
      <c r="M2" s="30" t="inlineStr">
        <is>
          <t>Pass/Fail Status</t>
        </is>
      </c>
      <c r="N2" s="30" t="inlineStr">
        <is>
          <t>Tester</t>
        </is>
      </c>
      <c r="O2" s="30" t="inlineStr">
        <is>
          <t>Test Date</t>
        </is>
      </c>
      <c r="P2" s="30" t="inlineStr">
        <is>
          <t>QnA Ref</t>
        </is>
      </c>
      <c r="Q2" s="30" t="inlineStr">
        <is>
          <t>Comments</t>
        </is>
      </c>
    </row>
    <row r="3" ht="57.45" customHeight="1" s="17">
      <c r="A3" s="27" t="inlineStr">
        <is>
          <t>INT-01-SC1-TC1</t>
        </is>
      </c>
      <c r="B3" s="27" t="inlineStr">
        <is>
          <t>INT-01-SC1</t>
        </is>
      </c>
      <c r="C3" s="27" t="inlineStr">
        <is>
          <t>Search Ranking Engine</t>
        </is>
      </c>
      <c r="D3" s="27" t="inlineStr">
        <is>
          <t>FR-PR-01, FR-PR-02, FR-PR-03, FR-PR-04</t>
        </is>
      </c>
      <c r="E3" s="27" t="inlineStr">
        <is>
          <t>Functional</t>
        </is>
      </c>
      <c r="F3" s="27" t="inlineStr">
        <is>
          <t>Out-of-stock override always wins over other ranking layers</t>
        </is>
      </c>
      <c r="G3" s="27" t="inlineStr">
        <is>
          <t>Result set has an out-of-stock SKU, a business-boosted SKU, and the shopper has purchase history.</t>
        </is>
      </c>
      <c r="H3" s="27" t="inlineStr">
        <is>
          <t>1. Set up 1 out-of-stock SKU with the highest relevance score AND a business boost.
2. Call the search API with a query matching this SKU.
3. Check the SKU's position in the response.</t>
        </is>
      </c>
      <c r="I3" s="27" t="inlineStr">
        <is>
          <t>SKU-X: stock=0, relevance=0.98, business_boost=true</t>
        </is>
      </c>
      <c r="J3" s="27" t="inlineStr">
        <is>
          <t>SKU-X is ranked below ALL in-stock SKUs in the response, no matter how high its relevance or boost is. This confirms Out-of-stock override is the top-priority rule.</t>
        </is>
      </c>
      <c r="K3" s="27" t="inlineStr">
        <is>
          <t>High</t>
        </is>
      </c>
      <c r="L3" s="28" t="n"/>
      <c r="M3" s="28" t="inlineStr">
        <is>
          <t>Not Run</t>
        </is>
      </c>
      <c r="N3" s="28" t="n"/>
      <c r="O3" s="28" t="n"/>
      <c r="P3" s="27" t="n"/>
      <c r="Q3" s="27" t="n"/>
    </row>
    <row r="4" ht="57.45" customHeight="1" s="17">
      <c r="A4" s="27" t="inlineStr">
        <is>
          <t>INT-01-SC1-TC2</t>
        </is>
      </c>
      <c r="B4" s="27" t="inlineStr">
        <is>
          <t>INT-01-SC1</t>
        </is>
      </c>
      <c r="C4" s="27" t="inlineStr">
        <is>
          <t>Search Ranking Engine</t>
        </is>
      </c>
      <c r="D4" s="27" t="inlineStr">
        <is>
          <t>FR-PR-01, FR-PR-02, FR-PR-03, FR-PR-04</t>
        </is>
      </c>
      <c r="E4" s="27" t="inlineStr">
        <is>
          <t>Functional</t>
        </is>
      </c>
      <c r="F4" s="27" t="inlineStr">
        <is>
          <t>Business rule (boost/bury) beats plain relevance within in-stock SKUs</t>
        </is>
      </c>
      <c r="G4" s="27" t="inlineStr">
        <is>
          <t>Result set has an out-of-stock SKU, a business-boosted SKU, and the shopper has purchase history.</t>
        </is>
      </c>
      <c r="H4" s="27" t="inlineStr">
        <is>
          <t>1. Set up 2 in-stock SKUs: SKU-A has relevance=0.70 but is boosted; SKU-B has relevance=0.90, no boost.
2. Call the search API matching both SKUs.
3. Compare the position of SKU-A vs SKU-B.</t>
        </is>
      </c>
      <c r="I4" s="27" t="inlineStr">
        <is>
          <t>SKU-A: relevance=0.70, boosted; SKU-B: relevance=0.90, not boosted</t>
        </is>
      </c>
      <c r="J4" s="27" t="inlineStr">
        <is>
          <t>SKU-A (boosted) ranks above SKU-B even with lower relevance. This confirms the order: Business rule beats plain Relevance.</t>
        </is>
      </c>
      <c r="K4" s="27" t="inlineStr">
        <is>
          <t>High</t>
        </is>
      </c>
      <c r="L4" s="28" t="n"/>
      <c r="M4" s="28" t="inlineStr">
        <is>
          <t>Not Run</t>
        </is>
      </c>
      <c r="N4" s="28" t="n"/>
      <c r="O4" s="28" t="n"/>
      <c r="P4" s="27" t="n"/>
      <c r="Q4" s="27" t="n"/>
    </row>
    <row r="5" ht="68.65000000000001" customHeight="1" s="17">
      <c r="A5" s="27" t="inlineStr">
        <is>
          <t>INT-01-SC2-TC1</t>
        </is>
      </c>
      <c r="B5" s="27" t="inlineStr">
        <is>
          <t>INT-01-SC2</t>
        </is>
      </c>
      <c r="C5" s="27" t="inlineStr">
        <is>
          <t>Search Ranking Engine</t>
        </is>
      </c>
      <c r="D5" s="27" t="inlineStr">
        <is>
          <t>FR-PR-01, FR-PR-02, FR-PR-03, FR-PR-04</t>
        </is>
      </c>
      <c r="E5" s="27" t="inlineStr">
        <is>
          <t>Boundary</t>
        </is>
      </c>
      <c r="F5" s="27" t="inlineStr">
        <is>
          <t>Tie-break when 2 SKUs have an identical relevance score</t>
        </is>
      </c>
      <c r="G5" s="27" t="inlineStr">
        <is>
          <t>2 SKUs with the same relevance score, both in stock, no boost/personalization.</t>
        </is>
      </c>
      <c r="H5" s="27" t="inlineStr">
        <is>
          <t>1. Set up 2 SKUs with relevance score = 0.75 (identical), both in stock, no boost/personalization.
2. Call the search API several times (5 or more calls) with the same conditions.
3. Check if the order of the 2 SKUs stays the same across calls.</t>
        </is>
      </c>
      <c r="I5" s="27" t="inlineStr">
        <is>
          <t>SKU-A and SKU-B: relevance=0.75 (tie)</t>
        </is>
      </c>
      <c r="J5" s="27" t="inlineStr">
        <is>
          <t>The order between SKU-A and SKU-B must stay the SAME on every API call, not randomly flip. This confirms a fixed (deterministic) tie-break rule is in place, not just random database order.</t>
        </is>
      </c>
      <c r="K5" s="27" t="inlineStr">
        <is>
          <t>Medium</t>
        </is>
      </c>
      <c r="L5" s="28" t="n"/>
      <c r="M5" s="28" t="inlineStr">
        <is>
          <t>Not Run</t>
        </is>
      </c>
      <c r="N5" s="28" t="n"/>
      <c r="O5" s="28" t="n"/>
      <c r="P5" s="27" t="n"/>
      <c r="Q5" s="27" t="n"/>
    </row>
    <row r="6" ht="57.45" customHeight="1" s="17">
      <c r="A6" s="27" t="inlineStr">
        <is>
          <t>INT-02-SC1-TC1</t>
        </is>
      </c>
      <c r="B6" s="27" t="inlineStr">
        <is>
          <t>INT-02-SC1</t>
        </is>
      </c>
      <c r="C6" s="27" t="inlineStr">
        <is>
          <t>Query Understanding — Synonyms &amp; Multilingual</t>
        </is>
      </c>
      <c r="D6" s="27" t="inlineStr">
        <is>
          <t>FR-SM-01, FR-SM-02, FR-SM-03, FR-SM-04, FR-SM-06</t>
        </is>
      </c>
      <c r="E6" s="27" t="inlineStr">
        <is>
          <t>Functional</t>
        </is>
      </c>
      <c r="F6" s="27" t="inlineStr">
        <is>
          <t>Search API returns the right results for an English synonym</t>
        </is>
      </c>
      <c r="G6" s="27" t="inlineStr">
        <is>
          <t>The synonym dictionary maps "yogurt" to "sữa chua" (the Vietnamese word for yogurt).</t>
        </is>
      </c>
      <c r="H6" s="27" t="inlineStr">
        <is>
          <t>1. Call the search API with query="yogurt".
2. Check whether the response contains SKUs from the "Sữa chua" (Yogurt) category.
3. Compare with the result set when calling the API with query="sữa chua".</t>
        </is>
      </c>
      <c r="I6" s="27" t="inlineStr">
        <is>
          <t>query="yogurt" vs query="sữa chua"</t>
        </is>
      </c>
      <c r="J6" s="27" t="inlineStr">
        <is>
          <t>The two result sets should match, or overlap a lot. This confirms the backend synonym-expansion works, as required by FR-SM-04.</t>
        </is>
      </c>
      <c r="K6" s="27" t="inlineStr">
        <is>
          <t>High</t>
        </is>
      </c>
      <c r="L6" s="28" t="n"/>
      <c r="M6" s="28" t="inlineStr">
        <is>
          <t>Not Run</t>
        </is>
      </c>
      <c r="N6" s="28" t="n"/>
      <c r="O6" s="28" t="n"/>
      <c r="P6" s="27" t="n"/>
      <c r="Q6" s="27" t="n"/>
    </row>
    <row r="7" ht="57.45" customHeight="1" s="17">
      <c r="A7" s="27" t="inlineStr">
        <is>
          <t>INT-02-SC2-TC1</t>
        </is>
      </c>
      <c r="B7" s="27" t="inlineStr">
        <is>
          <t>INT-02-SC2</t>
        </is>
      </c>
      <c r="C7" s="27" t="inlineStr">
        <is>
          <t>Query Understanding — Synonyms &amp; Multilingual</t>
        </is>
      </c>
      <c r="D7" s="27" t="inlineStr">
        <is>
          <t>FR-SM-01, FR-SM-02, FR-SM-03, FR-SM-04, FR-SM-06</t>
        </is>
      </c>
      <c r="E7" s="27" t="inlineStr">
        <is>
          <t>Functional</t>
        </is>
      </c>
      <c r="F7" s="27" t="inlineStr">
        <is>
          <t>Query without diacritics returns the same results as with diacritics</t>
        </is>
      </c>
      <c r="G7" s="27" t="inlineStr">
        <is>
          <t>The index has diacritic-stripping normalization turned on.</t>
        </is>
      </c>
      <c r="H7" s="27" t="inlineStr">
        <is>
          <t>1. Call the search API with query="sua tuoi" (no diacritics).
2. Call the search API with query="sữa tươi" (with diacritics).
3. Compare the two result sets (list of Product_IDs).</t>
        </is>
      </c>
      <c r="I7" s="27" t="inlineStr">
        <is>
          <t>query="sua tuoi" vs query="sữa tươi"</t>
        </is>
      </c>
      <c r="J7" s="27" t="inlineStr">
        <is>
          <t>The two result sets fully match (same list of Product_IDs; order may differ due to relevance score). This confirms diacritic normalization works, as required by FR-SM-06.</t>
        </is>
      </c>
      <c r="K7" s="27" t="inlineStr">
        <is>
          <t>High</t>
        </is>
      </c>
      <c r="L7" s="28" t="n"/>
      <c r="M7" s="28" t="inlineStr">
        <is>
          <t>Not Run</t>
        </is>
      </c>
      <c r="N7" s="28" t="n"/>
      <c r="O7" s="28" t="n"/>
      <c r="P7" s="27" t="n"/>
      <c r="Q7" s="27" t="n"/>
    </row>
    <row r="8" ht="57.45" customHeight="1" s="17">
      <c r="A8" s="27" t="inlineStr">
        <is>
          <t>INT-03-SC1-TC1</t>
        </is>
      </c>
      <c r="B8" s="27" t="inlineStr">
        <is>
          <t>INT-03-SC1</t>
        </is>
      </c>
      <c r="C8" s="27" t="inlineStr">
        <is>
          <t>Autocomplete &amp; Spelling Correction — Backend</t>
        </is>
      </c>
      <c r="D8" s="27" t="inlineStr">
        <is>
          <t>FR-SP-01, FR-AC-01, FR-AC-03</t>
        </is>
      </c>
      <c r="E8" s="27" t="inlineStr">
        <is>
          <t>Performance</t>
        </is>
      </c>
      <c r="F8" s="27" t="inlineStr">
        <is>
          <t>P95 autocomplete API latency is under 300ms</t>
        </is>
      </c>
      <c r="G8" s="27" t="inlineStr">
        <is>
          <t>Autocomplete endpoint is healthy, normal load.</t>
        </is>
      </c>
      <c r="H8" s="27" t="inlineStr">
        <is>
          <t>1. Call the autocomplete API 50 times with different queries (2-4 characters), under normal load.
2. Measure the response time of each request (server-side, not counting debounce).
3. Calculate the p95 of the data set.</t>
        </is>
      </c>
      <c r="I8" s="27" t="inlineStr">
        <is>
          <t>50 requests, 2-4 character queries</t>
        </is>
      </c>
      <c r="J8" s="27" t="inlineStr">
        <is>
          <t>p95 latency is under 300ms. This meets NFR-002.</t>
        </is>
      </c>
      <c r="K8" s="27" t="inlineStr">
        <is>
          <t>High</t>
        </is>
      </c>
      <c r="L8" s="28" t="n"/>
      <c r="M8" s="28" t="inlineStr">
        <is>
          <t>Not Run</t>
        </is>
      </c>
      <c r="N8" s="28" t="n"/>
      <c r="O8" s="28" t="n"/>
      <c r="P8" s="27" t="n"/>
      <c r="Q8" s="27" t="n"/>
    </row>
    <row r="9" ht="57.45" customHeight="1" s="17">
      <c r="A9" s="26" t="inlineStr">
        <is>
          <t>INT-03-SC2-TC1</t>
        </is>
      </c>
      <c r="B9" s="26" t="inlineStr">
        <is>
          <t>INT-03-SC2</t>
        </is>
      </c>
      <c r="C9" s="26" t="inlineStr">
        <is>
          <t>Autocomplete &amp; Spelling Correction — Backend</t>
        </is>
      </c>
      <c r="D9" s="26" t="inlineStr">
        <is>
          <t>FR-SP-01, FR-AC-01, FR-AC-03</t>
        </is>
      </c>
      <c r="E9" s="26" t="inlineStr">
        <is>
          <t>Behavior</t>
        </is>
      </c>
      <c r="F9" s="26" t="inlineStr">
        <is>
          <t>Fuzzy-match trigger limit — exact number not confirmed yet</t>
        </is>
      </c>
      <c r="G9" s="26" t="inlineStr">
        <is>
          <t>Catalogue dictionary is fully indexed.</t>
        </is>
      </c>
      <c r="H9" s="26" t="inlineStr">
        <is>
          <t>1. Call the spell-check API with queries that are 1, 2, and 3 characters off from the valid word "sữa tươi".
2. Record which queries trigger the correction banner and which don't.</t>
        </is>
      </c>
      <c r="I9" s="26" t="inlineStr">
        <is>
          <t>"sua toui" (2 characters off) / "sabc tuoi" (more characters off)</t>
        </is>
      </c>
      <c r="J9" s="26" t="inlineStr">
        <is>
          <t>TBD — the exact distance limit to trigger the correction banner has not been confirmed by TD. Minimum requirement: the system must be consistent (the same distance always gives the same result across repeated calls). See QnA-04.</t>
        </is>
      </c>
      <c r="K9" s="26" t="inlineStr">
        <is>
          <t>Medium</t>
        </is>
      </c>
      <c r="L9" s="28" t="n"/>
      <c r="M9" s="28" t="inlineStr">
        <is>
          <t>N/A</t>
        </is>
      </c>
      <c r="N9" s="28" t="n"/>
      <c r="O9" s="28" t="n"/>
      <c r="P9" s="26" t="inlineStr">
        <is>
          <t>QnA-04</t>
        </is>
      </c>
      <c r="Q9" s="26" t="n"/>
    </row>
    <row r="10" ht="91" customHeight="1" s="17">
      <c r="A10" s="27" t="inlineStr">
        <is>
          <t>INT-04-SC1-TC1</t>
        </is>
      </c>
      <c r="B10" s="27" t="inlineStr">
        <is>
          <t>INT-04-SC1</t>
        </is>
      </c>
      <c r="C10" s="27" t="inlineStr">
        <is>
          <t>Personalization — OMS Integration (Order History)</t>
        </is>
      </c>
      <c r="D10" s="27" t="inlineStr">
        <is>
          <t>FR-PS-03</t>
        </is>
      </c>
      <c r="E10" s="27" t="inlineStr">
        <is>
          <t>Integration</t>
        </is>
      </c>
      <c r="F10" s="27" t="inlineStr">
        <is>
          <t>Search Service calls the OMS API correctly and applies the 90-day / COMPLETED filter</t>
        </is>
      </c>
      <c r="G10" s="27" t="inlineStr">
        <is>
          <t>OMS has an API that returns COMPLETED orders from the last 90 days.</t>
        </is>
      </c>
      <c r="H10" s="27" t="inlineStr">
        <is>
          <t>1. Prepare OMS data: 1 CANCELLED order within 90 days, 1 COMPLETED order within 90 days, 1 COMPLETED order 100 days ago (outside the window).
2. Call the "Frequently Purchased" API for the test account.
3. Check that the response only counts the COMPLETED order inside the 90-day window.</t>
        </is>
      </c>
      <c r="I10" s="27" t="inlineStr">
        <is>
          <t>3 orders: CANCELLED/90 days, COMPLETED/90 days, COMPLETED/100 days</t>
        </is>
      </c>
      <c r="J10" s="27" t="inlineStr">
        <is>
          <t>Only the COMPLETED order within 90 days counts toward Order Count. The CANCELLED order and the order outside the 90-day window are excluded.</t>
        </is>
      </c>
      <c r="K10" s="27" t="inlineStr">
        <is>
          <t>High</t>
        </is>
      </c>
      <c r="L10" s="28" t="n"/>
      <c r="M10" s="28" t="inlineStr">
        <is>
          <t>Not Run</t>
        </is>
      </c>
      <c r="N10" s="28" t="n"/>
      <c r="O10" s="28" t="n"/>
      <c r="P10" s="27" t="n"/>
      <c r="Q10" s="27" t="n"/>
    </row>
    <row r="11" ht="57.45" customHeight="1" s="17">
      <c r="A11" s="27" t="inlineStr">
        <is>
          <t>INT-04-SC1-TC2</t>
        </is>
      </c>
      <c r="B11" s="27" t="inlineStr">
        <is>
          <t>INT-04-SC1</t>
        </is>
      </c>
      <c r="C11" s="27" t="inlineStr">
        <is>
          <t>Personalization — OMS Integration (Order History)</t>
        </is>
      </c>
      <c r="D11" s="27" t="inlineStr">
        <is>
          <t>FR-PS-03</t>
        </is>
      </c>
      <c r="E11" s="27" t="inlineStr">
        <is>
          <t>Integration</t>
        </is>
      </c>
      <c r="F11" s="27" t="inlineStr">
        <is>
          <t>OMS API timeout/error — Search Service must fail gracefully</t>
        </is>
      </c>
      <c r="G11" s="27" t="inlineStr">
        <is>
          <t>OMS has an API that returns COMPLETED orders from the last 90 days.</t>
        </is>
      </c>
      <c r="H11" s="27" t="inlineStr">
        <is>
          <t>1. Simulate the OMS API returning a 5xx error or timing out.
2. Call the "Frequently Purchased" API for the test account.
3. Observe the Search Service's response.</t>
        </is>
      </c>
      <c r="I11" s="27" t="inlineStr">
        <is>
          <t>OMS API 5xx error / timeout</t>
        </is>
      </c>
      <c r="J11" s="27" t="inlineStr">
        <is>
          <t>The Search Service does NOT return a 5xx error itself. It returns a valid response instead, such as an empty list or a fallback to Best-sellers, instead of letting the OMS failure break the whole Pre-search page.</t>
        </is>
      </c>
      <c r="K11" s="27" t="inlineStr">
        <is>
          <t>High</t>
        </is>
      </c>
      <c r="L11" s="28" t="n"/>
      <c r="M11" s="28" t="inlineStr">
        <is>
          <t>Not Run</t>
        </is>
      </c>
      <c r="N11" s="28" t="n"/>
      <c r="O11" s="28" t="n"/>
      <c r="P11" s="27" t="n"/>
      <c r="Q11" s="27" t="n"/>
    </row>
    <row r="12" ht="57.45" customHeight="1" s="17">
      <c r="A12" s="27" t="inlineStr">
        <is>
          <t>INT-05-SC1-TC1</t>
        </is>
      </c>
      <c r="B12" s="27" t="inlineStr">
        <is>
          <t>INT-05-SC1</t>
        </is>
      </c>
      <c r="C12" s="27" t="inlineStr">
        <is>
          <t>Sponsored Ads — Retail Media Integration</t>
        </is>
      </c>
      <c r="D12" s="27" t="inlineStr">
        <is>
          <t>FR-PR-05</t>
        </is>
      </c>
      <c r="E12" s="27" t="inlineStr">
        <is>
          <t>Integration</t>
        </is>
      </c>
      <c r="F12" s="27" t="inlineStr">
        <is>
          <t>Correct request/response flow with the Retail Media Platform</t>
        </is>
      </c>
      <c r="G12" s="27" t="inlineStr">
        <is>
          <t>Retail Media Platform has 1 or more active campaigns for the test keyword.</t>
        </is>
      </c>
      <c r="H12" s="27" t="inlineStr">
        <is>
          <t>1. Set up 1 active sponsored campaign for the keyword "sữa chua".
2. Call the search API with query="sữa chua".
3. Check that the response has is_sponsored=true for the SKU tied to that campaign.</t>
        </is>
      </c>
      <c r="I12" s="27" t="inlineStr">
        <is>
          <t>Sponsored campaign for "sữa chua"</t>
        </is>
      </c>
      <c r="J12" s="27" t="inlineStr">
        <is>
          <t>The API response correctly shows is_sponsored=true for the sponsored SKU. SKUs not in any campaign show is_sponsored=false, or don't have this field at all.</t>
        </is>
      </c>
      <c r="K12" s="27" t="inlineStr">
        <is>
          <t>High</t>
        </is>
      </c>
      <c r="L12" s="28" t="n"/>
      <c r="M12" s="28" t="inlineStr">
        <is>
          <t>Not Run</t>
        </is>
      </c>
      <c r="N12" s="28" t="n"/>
      <c r="O12" s="28" t="n"/>
      <c r="P12" s="27" t="n"/>
      <c r="Q12" s="27" t="n"/>
    </row>
    <row r="13" ht="57.45" customHeight="1" s="17">
      <c r="A13" s="27" t="inlineStr">
        <is>
          <t>INT-05-SC1-TC2</t>
        </is>
      </c>
      <c r="B13" s="27" t="inlineStr">
        <is>
          <t>INT-05-SC1</t>
        </is>
      </c>
      <c r="C13" s="27" t="inlineStr">
        <is>
          <t>Sponsored Ads — Retail Media Integration</t>
        </is>
      </c>
      <c r="D13" s="27" t="inlineStr">
        <is>
          <t>FR-PR-05</t>
        </is>
      </c>
      <c r="E13" s="27" t="inlineStr">
        <is>
          <t>Integration</t>
        </is>
      </c>
      <c r="F13" s="27" t="inlineStr">
        <is>
          <t>Retail Media Platform timeout — Search Service still returns organic results</t>
        </is>
      </c>
      <c r="G13" s="27" t="inlineStr">
        <is>
          <t>Retail Media Platform has 1 or more active campaigns for the test keyword.</t>
        </is>
      </c>
      <c r="H13" s="27" t="inlineStr">
        <is>
          <t>1. Simulate a Retail Media Platform timeout.
2. Call the search API with a query that has an active sponsored campaign.
3. Observe the response.</t>
        </is>
      </c>
      <c r="I13" s="27" t="inlineStr">
        <is>
          <t>Retail Media timeout</t>
        </is>
      </c>
      <c r="J13" s="27" t="inlineStr">
        <is>
          <t>The Search Service still returns the full set of organic (non-sponsored) results on time, without being blocked or delayed by the Retail Media failure. This confirms the two services have separate circuit-breaker/timeout settings.</t>
        </is>
      </c>
      <c r="K13" s="27" t="inlineStr">
        <is>
          <t>High</t>
        </is>
      </c>
      <c r="L13" s="28" t="n"/>
      <c r="M13" s="28" t="inlineStr">
        <is>
          <t>Not Run</t>
        </is>
      </c>
      <c r="N13" s="28" t="n"/>
      <c r="O13" s="28" t="n"/>
      <c r="P13" s="27" t="n"/>
      <c r="Q13" s="27" t="n"/>
    </row>
    <row r="14" ht="68.65000000000001" customHeight="1" s="17">
      <c r="A14" s="27" t="inlineStr">
        <is>
          <t>INT-06-SC1-TC1</t>
        </is>
      </c>
      <c r="B14" s="27" t="inlineStr">
        <is>
          <t>INT-06-SC1</t>
        </is>
      </c>
      <c r="C14" s="27" t="inlineStr">
        <is>
          <t>Image Search — Computer Vision Service Integration</t>
        </is>
      </c>
      <c r="D14" s="27" t="inlineStr">
        <is>
          <t>FR-IS-01, FR-IS-03, FR-IS-05, FR-IS-07</t>
        </is>
      </c>
      <c r="E14" s="27" t="inlineStr">
        <is>
          <t>Integration</t>
        </is>
      </c>
      <c r="F14" s="27" t="inlineStr">
        <is>
          <t>CV Service result maps correctly to real catalogue Product_IDs</t>
        </is>
      </c>
      <c r="G14" s="27" t="inlineStr">
        <is>
          <t>CV Service is healthy and trained on the LOTTE Mart catalogue.</t>
        </is>
      </c>
      <c r="H14" s="27" t="inlineStr">
        <is>
          <t>1. Send a photo of a TH True Milk carton to the image search API.
2. Check what labels/embeddings the CV Service returns.
3. Check that the Search Service maps them to real Product_IDs that are actually sold on MART.</t>
        </is>
      </c>
      <c r="I14" s="27" t="inlineStr">
        <is>
          <t>Photo of a TH True Milk carton</t>
        </is>
      </c>
      <c r="J14" s="27" t="inlineStr">
        <is>
          <t>Every Product_ID returned actually exists and is active (is_active=true) in the catalogue. No fake, missing, or discontinued Product_IDs.</t>
        </is>
      </c>
      <c r="K14" s="27" t="inlineStr">
        <is>
          <t>High</t>
        </is>
      </c>
      <c r="L14" s="28" t="n"/>
      <c r="M14" s="28" t="inlineStr">
        <is>
          <t>Not Run</t>
        </is>
      </c>
      <c r="N14" s="28" t="n"/>
      <c r="O14" s="28" t="n"/>
      <c r="P14" s="27" t="n"/>
      <c r="Q14" s="27" t="n"/>
    </row>
    <row r="15" ht="57.45" customHeight="1" s="17">
      <c r="A15" s="27" t="inlineStr">
        <is>
          <t>INT-06-SC1-TC2</t>
        </is>
      </c>
      <c r="B15" s="27" t="inlineStr">
        <is>
          <t>INT-06-SC1</t>
        </is>
      </c>
      <c r="C15" s="27" t="inlineStr">
        <is>
          <t>Image Search — Computer Vision Service Integration</t>
        </is>
      </c>
      <c r="D15" s="27" t="inlineStr">
        <is>
          <t>FR-IS-01, FR-IS-03, FR-IS-05, FR-IS-07</t>
        </is>
      </c>
      <c r="E15" s="27" t="inlineStr">
        <is>
          <t>Integration</t>
        </is>
      </c>
      <c r="F15" s="27" t="inlineStr">
        <is>
          <t>CV Service error/timeout — Search Service correctly routes to the recognition-failure screen</t>
        </is>
      </c>
      <c r="G15" s="27" t="inlineStr">
        <is>
          <t>CV Service is healthy and trained on the LOTTE Mart catalogue.</t>
        </is>
      </c>
      <c r="H15" s="27" t="inlineStr">
        <is>
          <t>1. Simulate the CV Service returning a 5xx error or timing out while processing an image.
2. Send a valid image through the image search API.
3. Observe the response/error code sent back to the client.</t>
        </is>
      </c>
      <c r="I15" s="27" t="inlineStr">
        <is>
          <t>CV Service 5xx error / timeout</t>
        </is>
      </c>
      <c r="J15" s="27" t="inlineStr">
        <is>
          <t>The Search Service returns a clear error code/response so the client can correctly show the "Not Recognized" screen (SS-SCR-016), instead of leaking a raw 5xx system error to the client or crashing the app.</t>
        </is>
      </c>
      <c r="K15" s="27" t="inlineStr">
        <is>
          <t>High</t>
        </is>
      </c>
      <c r="L15" s="28" t="n"/>
      <c r="M15" s="28" t="inlineStr">
        <is>
          <t>Not Run</t>
        </is>
      </c>
      <c r="N15" s="28" t="n"/>
      <c r="O15" s="28" t="n"/>
      <c r="P15" s="27" t="n"/>
      <c r="Q15" s="27" t="n"/>
    </row>
    <row r="16" ht="68.65000000000001" customHeight="1" s="17">
      <c r="A16" s="27" t="inlineStr">
        <is>
          <t>INT-06-SC1-TC3</t>
        </is>
      </c>
      <c r="B16" s="27" t="inlineStr">
        <is>
          <t>INT-06-SC1</t>
        </is>
      </c>
      <c r="C16" s="27" t="inlineStr">
        <is>
          <t>Image Search — Computer Vision Service Integration</t>
        </is>
      </c>
      <c r="D16" s="27" t="inlineStr">
        <is>
          <t>FR-IS-01, FR-IS-03, FR-IS-05, FR-IS-07</t>
        </is>
      </c>
      <c r="E16" s="27" t="inlineStr">
        <is>
          <t>Performance</t>
        </is>
      </c>
      <c r="F16" s="27" t="inlineStr">
        <is>
          <t>P95 end-to-end image processing time (upload -&gt; CV Service -&gt; mapping -&gt; response) is under 3,000ms</t>
        </is>
      </c>
      <c r="G16" s="27" t="inlineStr">
        <is>
          <t>CV Service is healthy and trained on the LOTTE Mart catalogue.</t>
        </is>
      </c>
      <c r="H16" s="27" t="inlineStr">
        <is>
          <t>1. Send 30 or more standard test images through the image search API under normal load.
2. Measure the time from when the server receives the image to when it sends back a response (not counting client-side upload time).
3. Calculate the p95.</t>
        </is>
      </c>
      <c r="I16" s="27" t="inlineStr">
        <is>
          <t>30+ standard test images</t>
        </is>
      </c>
      <c r="J16" s="27" t="inlineStr">
        <is>
          <t>p95 server-side processing time is under 3,000ms. This meets FR-IS-07.</t>
        </is>
      </c>
      <c r="K16" s="27" t="inlineStr">
        <is>
          <t>High</t>
        </is>
      </c>
      <c r="L16" s="28" t="n"/>
      <c r="M16" s="28" t="inlineStr">
        <is>
          <t>Not Run</t>
        </is>
      </c>
      <c r="N16" s="28" t="n"/>
      <c r="O16" s="28" t="n"/>
      <c r="P16" s="27" t="n"/>
      <c r="Q16" s="27" t="n"/>
    </row>
    <row r="17" ht="68.65000000000001" customHeight="1" s="17">
      <c r="A17" s="27" t="inlineStr">
        <is>
          <t>INT-07-SC1-TC1</t>
        </is>
      </c>
      <c r="B17" s="27" t="inlineStr">
        <is>
          <t>INT-07-SC1</t>
        </is>
      </c>
      <c r="C17" s="27" t="inlineStr">
        <is>
          <t>Voice Search — Speech-to-Text Service Integration</t>
        </is>
      </c>
      <c r="D17" s="27" t="inlineStr">
        <is>
          <t>FR-VS-01, FR-VS-04, FR-VS-06</t>
        </is>
      </c>
      <c r="E17" s="27" t="inlineStr">
        <is>
          <t>Integration</t>
        </is>
      </c>
      <c r="F17" s="27" t="inlineStr">
        <is>
          <t>STT transcript goes through the same Query Understanding pipeline as Text Search</t>
        </is>
      </c>
      <c r="G17" s="27" t="inlineStr">
        <is>
          <t>STT Service supports Vietnamese and is healthy.</t>
        </is>
      </c>
      <c r="H17" s="27" t="inlineStr">
        <is>
          <t>1. Send audio saying "sua tuoi" (regional accent, unclear diacritics) through the voice search API.
2. Check the transcript the STT Service returns.
3. Check whether the final search result applies the same diacritic normalization/synonym expansion as Text Search.</t>
        </is>
      </c>
      <c r="I17" s="27" t="inlineStr">
        <is>
          <t>Audio: "sua tuoi" (regional accent)</t>
        </is>
      </c>
      <c r="J17" s="27" t="inlineStr">
        <is>
          <t>The voice search result must match what you'd get from typing the same transcript into Text Search. This confirms both flows share one query-processing pipeline.</t>
        </is>
      </c>
      <c r="K17" s="27" t="inlineStr">
        <is>
          <t>High</t>
        </is>
      </c>
      <c r="L17" s="28" t="n"/>
      <c r="M17" s="28" t="inlineStr">
        <is>
          <t>Not Run</t>
        </is>
      </c>
      <c r="N17" s="28" t="n"/>
      <c r="O17" s="28" t="n"/>
      <c r="P17" s="27" t="n"/>
      <c r="Q17" s="27" t="n"/>
    </row>
    <row r="18" ht="57.45" customHeight="1" s="17">
      <c r="A18" s="26" t="inlineStr">
        <is>
          <t>INT-07-SC1-TC2</t>
        </is>
      </c>
      <c r="B18" s="26" t="inlineStr">
        <is>
          <t>INT-07-SC1</t>
        </is>
      </c>
      <c r="C18" s="26" t="inlineStr">
        <is>
          <t>Voice Search — Speech-to-Text Service Integration</t>
        </is>
      </c>
      <c r="D18" s="26" t="inlineStr">
        <is>
          <t>FR-VS-01, FR-VS-04, FR-VS-06</t>
        </is>
      </c>
      <c r="E18" s="26" t="inlineStr">
        <is>
          <t>Behavior</t>
        </is>
      </c>
      <c r="F18" s="26" t="inlineStr">
        <is>
          <t>Low STT confidence — how numbers/units are handled is not confirmed yet</t>
        </is>
      </c>
      <c r="G18" s="26" t="inlineStr">
        <is>
          <t>STT Service supports Vietnamese and is healthy.</t>
        </is>
      </c>
      <c r="H18" s="26" t="inlineStr">
        <is>
          <t>1. Send audio saying "sữa tươi hai lít" ("two liters of fresh milk").
2. Check the transcript STT returns. Does it keep the word "hai", or convert it to the digit "2"?
3. Check the final query sent to the Search Engine.</t>
        </is>
      </c>
      <c r="I18" s="26" t="inlineStr">
        <is>
          <t>Audio: "sữa tươi hai lít"</t>
        </is>
      </c>
      <c r="J18" s="26" t="inlineStr">
        <is>
          <t>TBD — how numbers and units should be handled before reaching the Search Engine has not been decided yet. Minimum requirement: no system error, and the final query still contains "sữa tươi". See QnA-22.</t>
        </is>
      </c>
      <c r="K18" s="26" t="inlineStr">
        <is>
          <t>Medium</t>
        </is>
      </c>
      <c r="L18" s="28" t="n"/>
      <c r="M18" s="28" t="inlineStr">
        <is>
          <t>N/A</t>
        </is>
      </c>
      <c r="N18" s="28" t="n"/>
      <c r="O18" s="28" t="n"/>
      <c r="P18" s="26" t="inlineStr">
        <is>
          <t>QnA-22</t>
        </is>
      </c>
      <c r="Q18" s="26" t="n"/>
    </row>
    <row r="19" ht="57.45" customHeight="1" s="17">
      <c r="A19" s="27" t="inlineStr">
        <is>
          <t>INT-08-SC1-TC1</t>
        </is>
      </c>
      <c r="B19" s="27" t="inlineStr">
        <is>
          <t>INT-08-SC1</t>
        </is>
      </c>
      <c r="C19" s="27" t="inlineStr">
        <is>
          <t>Add to Cart — Cart/OMS Transactional Integration</t>
        </is>
      </c>
      <c r="D19" s="27" t="inlineStr">
        <is>
          <t>No clear FR ID yet — see QnA-10</t>
        </is>
      </c>
      <c r="E19" s="27" t="inlineStr">
        <is>
          <t>Integration</t>
        </is>
      </c>
      <c r="F19" s="27" t="inlineStr">
        <is>
          <t>Handling many shoppers adding the same near-out-of-stock SKU at the same time</t>
        </is>
      </c>
      <c r="G19" s="27" t="inlineStr">
        <is>
          <t>1 SKU with limited stock (for example, 5 units left).</t>
        </is>
      </c>
      <c r="H19" s="27" t="inlineStr">
        <is>
          <t>1. Set a SKU's stock to 5.
2. Send 10 add-to-cart requests at the same time (1 unit each) from 10 different sessions.
3. Check the real total quantity that was successfully added across all carts.</t>
        </is>
      </c>
      <c r="I19" s="27" t="inlineStr">
        <is>
          <t>Stock=5, 10 requests sent at the same time</t>
        </is>
      </c>
      <c r="J19" s="27" t="inlineStr">
        <is>
          <t>The total quantity successfully added must NOT go above 5 (the real stock). Any request that goes over stock must return a clear error, such as "Out of stock", instead of succeeding and causing negative stock.</t>
        </is>
      </c>
      <c r="K19" s="27" t="inlineStr">
        <is>
          <t>High</t>
        </is>
      </c>
      <c r="L19" s="28" t="n"/>
      <c r="M19" s="28" t="inlineStr">
        <is>
          <t>Not Run</t>
        </is>
      </c>
      <c r="N19" s="28" t="n"/>
      <c r="O19" s="28" t="n"/>
      <c r="P19" s="27" t="n"/>
      <c r="Q19" s="27" t="n"/>
    </row>
    <row r="20" ht="46.25" customHeight="1" s="17">
      <c r="A20" s="27" t="inlineStr">
        <is>
          <t>INT-08-SC1-TC2</t>
        </is>
      </c>
      <c r="B20" s="27" t="inlineStr">
        <is>
          <t>INT-08-SC1</t>
        </is>
      </c>
      <c r="C20" s="27" t="inlineStr">
        <is>
          <t>Add to Cart — Cart/OMS Transactional Integration</t>
        </is>
      </c>
      <c r="D20" s="27" t="inlineStr">
        <is>
          <t>No clear FR ID yet — see QnA-10</t>
        </is>
      </c>
      <c r="E20" s="27" t="inlineStr">
        <is>
          <t>Integration</t>
        </is>
      </c>
      <c r="F20" s="27" t="inlineStr">
        <is>
          <t>The app's quick 'optimistic' cart update matches the real cart state on OMS</t>
        </is>
      </c>
      <c r="G20" s="27" t="inlineStr">
        <is>
          <t>1 SKU with limited stock (for example, 5 units left).</t>
        </is>
      </c>
      <c r="H20" s="27" t="inlineStr">
        <is>
          <t>1. Add 1 product to the cart through the API.
2. Call the API to get the current cart state from OMS.
3. Compare it with the quick update already shown on screen before OMS confirmed it.</t>
        </is>
      </c>
      <c r="I20" s="27" t="inlineStr">
        <is>
          <t>1 SKU added to cart</t>
        </is>
      </c>
      <c r="J20" s="27" t="inlineStr">
        <is>
          <t>The cart state returned by OMS exactly matches what was already shown on screen (no mismatch in quantity or price).</t>
        </is>
      </c>
      <c r="K20" s="27" t="inlineStr">
        <is>
          <t>Medium</t>
        </is>
      </c>
      <c r="L20" s="28" t="n"/>
      <c r="M20" s="28" t="inlineStr">
        <is>
          <t>Not Run</t>
        </is>
      </c>
      <c r="N20" s="28" t="n"/>
      <c r="O20" s="28" t="n"/>
      <c r="P20" s="27" t="n"/>
      <c r="Q20" s="27" t="n"/>
    </row>
    <row r="21" ht="79.84999999999999" customHeight="1" s="17">
      <c r="A21" s="26" t="inlineStr">
        <is>
          <t>INT-09-SC1-TC1</t>
        </is>
      </c>
      <c r="B21" s="26" t="inlineStr">
        <is>
          <t>INT-09-SC1</t>
        </is>
      </c>
      <c r="C21" s="26" t="inlineStr">
        <is>
          <t>Catalog &amp; Inventory — Real-Time Stock Sync</t>
        </is>
      </c>
      <c r="D21" s="26" t="inlineStr">
        <is>
          <t>Related to FR-PR-01 (Out-of-stock override)</t>
        </is>
      </c>
      <c r="E21" s="26" t="inlineStr">
        <is>
          <t>Integration</t>
        </is>
      </c>
      <c r="F21" s="26" t="inlineStr">
        <is>
          <t>Sync delay from Inventory Service to Search Index</t>
        </is>
      </c>
      <c r="G21" s="26" t="inlineStr">
        <is>
          <t>1 SKU currently shows as in stock (stock=10) in the Search Index.</t>
        </is>
      </c>
      <c r="H21" s="26" t="inlineStr">
        <is>
          <t>1. Confirm SKU-X shows stock=10 in the Search Index (it appears in stock when you search).
2. Update the Inventory Service: SKU-X to stock=0.
3. Measure the time between the update and when the Search Index correctly shows SKU-X as out of stock (the out-of-stock override kicks in).</t>
        </is>
      </c>
      <c r="I21" s="26" t="inlineStr">
        <is>
          <t>SKU-X: 10 to 0</t>
        </is>
      </c>
      <c r="J21" s="26" t="inlineStr">
        <is>
          <t>TBD — the exact sync time limit (for example, under 30 seconds, under 5 minutes, or near-real-time using event streaming) is not confirmed in the current BRD. Minimum requirement: there IS some syncing (not a once-a-day batch job), so shoppers can't order something that's actually out of stock. See QnA-04.</t>
        </is>
      </c>
      <c r="K21" s="26" t="inlineStr">
        <is>
          <t>High</t>
        </is>
      </c>
      <c r="L21" s="28" t="n"/>
      <c r="M21" s="28" t="inlineStr">
        <is>
          <t>N/A</t>
        </is>
      </c>
      <c r="N21" s="28" t="n"/>
      <c r="O21" s="28" t="n"/>
      <c r="P21" s="26" t="inlineStr">
        <is>
          <t>QnA-04</t>
        </is>
      </c>
      <c r="Q21" s="26" t="n"/>
    </row>
    <row r="22" ht="68.65000000000001" customHeight="1" s="17">
      <c r="A22" s="27" t="inlineStr">
        <is>
          <t>INT-10-SC1-TC1</t>
        </is>
      </c>
      <c r="B22" s="27" t="inlineStr">
        <is>
          <t>INT-10-SC1</t>
        </is>
      </c>
      <c r="C22" s="27" t="inlineStr">
        <is>
          <t>Zero-Result Fallback Engine — Recommendation Algorithm</t>
        </is>
      </c>
      <c r="D22" s="27" t="inlineStr">
        <is>
          <t>FR-ZR-01, FR-ZR-02, FR-SM-07</t>
        </is>
      </c>
      <c r="E22" s="27" t="inlineStr">
        <is>
          <t>Functional</t>
        </is>
      </c>
      <c r="F22" s="27" t="inlineStr">
        <is>
          <t>Substitute engine returns the most similar, in-stock SKUs, sorted correctly</t>
        </is>
      </c>
      <c r="G22" s="27" t="inlineStr">
        <is>
          <t>The original SKU is out of stock; there are 3 or more SKUs in the same category with close embedding vectors.</t>
        </is>
      </c>
      <c r="H22" s="27" t="inlineStr">
        <is>
          <t>1. Set up an out-of-stock original SKU "Corona Beer" and 5 other in-stock beer SKUs in the same category with different similarity scores.
2. Call the Substitute API for the original SKU.
3. Check that the returned list is sorted from most to least similar, and every item is in stock.</t>
        </is>
      </c>
      <c r="I22" s="27" t="inlineStr">
        <is>
          <t>Out-of-stock original SKU + 5 same-category SKUs</t>
        </is>
      </c>
      <c r="J22" s="27" t="inlineStr">
        <is>
          <t>The returned list only has in-stock SKUs, sorted from highest to lowest similarity score. Any candidate below the minimum similarity threshold is left out.</t>
        </is>
      </c>
      <c r="K22" s="27" t="inlineStr">
        <is>
          <t>High</t>
        </is>
      </c>
      <c r="L22" s="28" t="n"/>
      <c r="M22" s="28" t="inlineStr">
        <is>
          <t>Not Run</t>
        </is>
      </c>
      <c r="N22" s="28" t="n"/>
      <c r="O22" s="28" t="n"/>
      <c r="P22" s="27" t="n"/>
      <c r="Q22" s="27" t="n"/>
    </row>
    <row r="23" ht="57.45" customHeight="1" s="17">
      <c r="A23" s="27" t="inlineStr">
        <is>
          <t>INT-10-SC2-TC1</t>
        </is>
      </c>
      <c r="B23" s="27" t="inlineStr">
        <is>
          <t>INT-10-SC2</t>
        </is>
      </c>
      <c r="C23" s="27" t="inlineStr">
        <is>
          <t>Zero-Result Fallback Engine — Recommendation Algorithm</t>
        </is>
      </c>
      <c r="D23" s="27" t="inlineStr">
        <is>
          <t>FR-ZR-01, FR-ZR-02, FR-SM-07</t>
        </is>
      </c>
      <c r="E23" s="27" t="inlineStr">
        <is>
          <t>Functional</t>
        </is>
      </c>
      <c r="F23" s="27" t="inlineStr">
        <is>
          <t>Cross-sell engine returns the product with the strongest association rule</t>
        </is>
      </c>
      <c r="G23" s="27" t="inlineStr">
        <is>
          <t>There is enough order history to calculate association rules (for example, Beer and Peanuts are often bought together).</t>
        </is>
      </c>
      <c r="H23" s="27" t="inlineStr">
        <is>
          <t>1. Prepare historical data: "Corona Beer" is often bought with "Roasted Peanuts" (strong link) and "Soft Drink" (weaker link).
2. Call the Cross-sell API for "Corona Beer".
3. Check the order of the returned products.</t>
        </is>
      </c>
      <c r="I23" s="27" t="inlineStr">
        <is>
          <t>Association rule: Beer+Peanuts (strong link), Beer+Soft Drink (weaker link)</t>
        </is>
      </c>
      <c r="J23" s="27" t="inlineStr">
        <is>
          <t>"Roasted Peanuts" ranks above "Soft Drink" in the Cross-sell list, matching the strength of the association rule.</t>
        </is>
      </c>
      <c r="K23" s="27" t="inlineStr">
        <is>
          <t>Medium</t>
        </is>
      </c>
      <c r="L23" s="28" t="n"/>
      <c r="M23" s="28" t="inlineStr">
        <is>
          <t>Not Run</t>
        </is>
      </c>
      <c r="N23" s="28" t="n"/>
      <c r="O23" s="28" t="n"/>
      <c r="P23" s="27" t="n"/>
      <c r="Q23" s="27" t="n"/>
    </row>
    <row r="24" ht="46.25" customHeight="1" s="17">
      <c r="A24" s="27" t="inlineStr">
        <is>
          <t>INT-10-SC3-TC1</t>
        </is>
      </c>
      <c r="B24" s="27" t="inlineStr">
        <is>
          <t>INT-10-SC3</t>
        </is>
      </c>
      <c r="C24" s="27" t="inlineStr">
        <is>
          <t>Zero-Result Fallback Engine — Recommendation Algorithm</t>
        </is>
      </c>
      <c r="D24" s="27" t="inlineStr">
        <is>
          <t>FR-ZR-01, FR-ZR-02, FR-SM-07</t>
        </is>
      </c>
      <c r="E24" s="27" t="inlineStr">
        <is>
          <t>Boundary</t>
        </is>
      </c>
      <c r="F24" s="27" t="inlineStr">
        <is>
          <t>Falls back to Best-sellers when there is no Substitute/Cross-sell — never returns an empty list</t>
        </is>
      </c>
      <c r="G24" s="27" t="inlineStr">
        <is>
          <t>The keyword is completely outside the catalogue (no similar SKU, no association rule at all).</t>
        </is>
      </c>
      <c r="H24" s="27" t="inlineStr">
        <is>
          <t>1. Call the Zero-Result Fallback API with a keyword that is completely outside the catalogue, with no similar SKU or association rule.
2. Check the response.</t>
        </is>
      </c>
      <c r="I24" s="27" t="inlineStr">
        <is>
          <t>Keyword outside the catalogue</t>
        </is>
      </c>
      <c r="J24" s="27" t="inlineStr">
        <is>
          <t>The response returns at least 10 system-wide Best-seller SKUs, and it NEVER returns an empty list. This matches the "never show a blank page" rule (FR-SM-07).</t>
        </is>
      </c>
      <c r="K24" s="27" t="inlineStr">
        <is>
          <t>High</t>
        </is>
      </c>
      <c r="L24" s="28" t="n"/>
      <c r="M24" s="28" t="inlineStr">
        <is>
          <t>Not Run</t>
        </is>
      </c>
      <c r="N24" s="28" t="n"/>
      <c r="O24" s="28" t="n"/>
      <c r="P24" s="27" t="n"/>
      <c r="Q24" s="27" t="n"/>
    </row>
    <row r="25" ht="79.84999999999999" customHeight="1" s="17">
      <c r="A25" s="26" t="inlineStr">
        <is>
          <t>INT-11-SC1-TC1</t>
        </is>
      </c>
      <c r="B25" s="26" t="inlineStr">
        <is>
          <t>INT-11-SC1</t>
        </is>
      </c>
      <c r="C25" s="26" t="inlineStr">
        <is>
          <t>Auth &amp; Session — Guest vs Member</t>
        </is>
      </c>
      <c r="D25" s="26" t="inlineStr">
        <is>
          <t>Related to FR-PS-03, FR-PS-01</t>
        </is>
      </c>
      <c r="E25" s="26" t="inlineStr">
        <is>
          <t>Behavior</t>
        </is>
      </c>
      <c r="F25" s="26" t="inlineStr">
        <is>
          <t>Token expiring mid-call to the personalization API — API behavior not fully documented</t>
        </is>
      </c>
      <c r="G25" s="26" t="inlineStr">
        <is>
          <t>The shopper's login token (JWT) is about to expire (less than 5 seconds left).</t>
        </is>
      </c>
      <c r="H25" s="26" t="inlineStr">
        <is>
          <t>1. Get a login token that is about to expire (less than 5 seconds left).
2. Call the "Frequently Purchased" API (which needs login) right as the token expires.
3. Check the HTTP error code that comes back.</t>
        </is>
      </c>
      <c r="I25" s="26" t="inlineStr">
        <is>
          <t>Login token expiring mid-request</t>
        </is>
      </c>
      <c r="J25" s="26" t="inlineStr">
        <is>
          <t>TBD — the BRD does not clearly say what should happen when a token expires mid-request (auto-refresh, return 401, or treat as Guest). Minimum requirement: it must NOT return a 500 error or another account's data; it must return a clear error code (401) so the client can handle it properly. See QnA-20.</t>
        </is>
      </c>
      <c r="K25" s="26" t="inlineStr">
        <is>
          <t>High</t>
        </is>
      </c>
      <c r="L25" s="28" t="n"/>
      <c r="M25" s="28" t="inlineStr">
        <is>
          <t>N/A</t>
        </is>
      </c>
      <c r="N25" s="28" t="n"/>
      <c r="O25" s="28" t="n"/>
      <c r="P25" s="26" t="inlineStr">
        <is>
          <t>QnA-20</t>
        </is>
      </c>
      <c r="Q25" s="26" t="n"/>
    </row>
    <row r="26" ht="68.65000000000001" customHeight="1" s="17">
      <c r="A26" s="27" t="inlineStr">
        <is>
          <t>INT-11-SC2-TC1</t>
        </is>
      </c>
      <c r="B26" s="27" t="inlineStr">
        <is>
          <t>INT-11-SC2</t>
        </is>
      </c>
      <c r="C26" s="27" t="inlineStr">
        <is>
          <t>Auth &amp; Session — Guest vs Member</t>
        </is>
      </c>
      <c r="D26" s="27" t="inlineStr">
        <is>
          <t>Related to FR-PS-03, FR-PS-01</t>
        </is>
      </c>
      <c r="E26" s="27" t="inlineStr">
        <is>
          <t>Functional</t>
        </is>
      </c>
      <c r="F26" s="27" t="inlineStr">
        <is>
          <t>Switching from Guest to Member updates the personalization block without a manual reload</t>
        </is>
      </c>
      <c r="G26" s="27" t="inlineStr">
        <is>
          <t>The shopper is browsing as a Guest, then logs in successfully.</t>
        </is>
      </c>
      <c r="H26" s="27" t="inlineStr">
        <is>
          <t>1. Open the app as a Guest, go to the Pre-search screen, and note the "Frequently Purchased" block.
2. Log in to an account that has purchase history.
3. Go back to the Pre-search screen (without force-closing the app) and check the "Frequently Purchased" block.</t>
        </is>
      </c>
      <c r="I26" s="27" t="inlineStr">
        <is>
          <t>An account with purchase history</t>
        </is>
      </c>
      <c r="J26" s="27" t="inlineStr">
        <is>
          <t>After logging in, the "Frequently Purchased" block automatically shows the correct personalized data. It no longer shows the old Guest version, and the shopper does not need to restart the app.</t>
        </is>
      </c>
      <c r="K26" s="27" t="inlineStr">
        <is>
          <t>Medium</t>
        </is>
      </c>
      <c r="L26" s="28" t="n"/>
      <c r="M26" s="28" t="inlineStr">
        <is>
          <t>Not Run</t>
        </is>
      </c>
      <c r="N26" s="28" t="n"/>
      <c r="O26" s="28" t="n"/>
      <c r="P26" s="27" t="n"/>
      <c r="Q26" s="27" t="n"/>
    </row>
    <row r="27" ht="46.25" customHeight="1" s="17">
      <c r="A27" s="27" t="inlineStr">
        <is>
          <t>INT-12-SC1-TC1</t>
        </is>
      </c>
      <c r="B27" s="27" t="inlineStr">
        <is>
          <t>INT-12-SC1</t>
        </is>
      </c>
      <c r="C27" s="27" t="inlineStr">
        <is>
          <t>Analytics &amp; Event Logging</t>
        </is>
      </c>
      <c r="D27" s="27" t="inlineStr">
        <is>
          <t>Related to FR-PS-02 (Trending), NFR tracking</t>
        </is>
      </c>
      <c r="E27" s="27" t="inlineStr">
        <is>
          <t>Integration</t>
        </is>
      </c>
      <c r="F27" s="27" t="inlineStr">
        <is>
          <t>Search events are logged completely and correctly</t>
        </is>
      </c>
      <c r="G27" s="27" t="inlineStr">
        <is>
          <t>The analytics pipeline is healthy.</t>
        </is>
      </c>
      <c r="H27" s="27" t="inlineStr">
        <is>
          <t>1. Search for "sữa" once (with more than 0 results).
2. Check the event log in the Analytics pipeline.
3. Compare the fields: query text, timestamp, user segment, result count.</t>
        </is>
      </c>
      <c r="I27" s="27" t="inlineStr">
        <is>
          <t>query="sữa"</t>
        </is>
      </c>
      <c r="J27" s="27" t="inlineStr">
        <is>
          <t>The event log correctly and fully records: query="sữa", an accurate timestamp (within 1 second of the real time), the correct user segment, and a result count that matches the API response.</t>
        </is>
      </c>
      <c r="K27" s="27" t="inlineStr">
        <is>
          <t>Medium</t>
        </is>
      </c>
      <c r="L27" s="28" t="n"/>
      <c r="M27" s="28" t="inlineStr">
        <is>
          <t>Not Run</t>
        </is>
      </c>
      <c r="N27" s="28" t="n"/>
      <c r="O27" s="28" t="n"/>
      <c r="P27" s="27" t="n"/>
      <c r="Q27" s="27" t="n"/>
    </row>
    <row r="28" ht="46.25" customHeight="1" s="17">
      <c r="A28" s="27" t="inlineStr">
        <is>
          <t>INT-12-SC1-TC2</t>
        </is>
      </c>
      <c r="B28" s="27" t="inlineStr">
        <is>
          <t>INT-12-SC1</t>
        </is>
      </c>
      <c r="C28" s="27" t="inlineStr">
        <is>
          <t>Analytics &amp; Event Logging</t>
        </is>
      </c>
      <c r="D28" s="27" t="inlineStr">
        <is>
          <t>Related to FR-PS-02 (Trending), NFR tracking</t>
        </is>
      </c>
      <c r="E28" s="27" t="inlineStr">
        <is>
          <t>Negative</t>
        </is>
      </c>
      <c r="F28" s="27" t="inlineStr">
        <is>
          <t>Zero-result searches are NOT counted toward the Trending Score</t>
        </is>
      </c>
      <c r="G28" s="27" t="inlineStr">
        <is>
          <t>The analytics pipeline is healthy.</t>
        </is>
      </c>
      <c r="H28" s="27" t="inlineStr">
        <is>
          <t>1. Search for a keyword that is guaranteed to return 0 results.
2. Check the event log and whether the Trending Score algorithm counts this keyword.</t>
        </is>
      </c>
      <c r="I28" s="27" t="inlineStr">
        <is>
          <t>A zero-result keyword</t>
        </is>
      </c>
      <c r="J28" s="27" t="inlineStr">
        <is>
          <t>A zero-result keyword is not included in the Trending Score calculation. This matches FR-PS-02 ("only show/count keywords with more than 0 results").</t>
        </is>
      </c>
      <c r="K28" s="27" t="inlineStr">
        <is>
          <t>Medium</t>
        </is>
      </c>
      <c r="L28" s="28" t="n"/>
      <c r="M28" s="28" t="inlineStr">
        <is>
          <t>Not Run</t>
        </is>
      </c>
      <c r="N28" s="28" t="n"/>
      <c r="O28" s="28" t="n"/>
      <c r="P28" s="27" t="n"/>
      <c r="Q28" s="27" t="n"/>
    </row>
    <row r="29" ht="57.45" customHeight="1" s="17">
      <c r="A29" s="27" t="inlineStr">
        <is>
          <t>INT-13-SC1-TC1</t>
        </is>
      </c>
      <c r="B29" s="27" t="inlineStr">
        <is>
          <t>INT-13-SC1</t>
        </is>
      </c>
      <c r="C29" s="27" t="inlineStr">
        <is>
          <t>Performance &amp; Scalability (NFR)</t>
        </is>
      </c>
      <c r="D29" s="27" t="inlineStr">
        <is>
          <t>NFR-001 to NFR-005 (Search/Autocomplete/Image response time)</t>
        </is>
      </c>
      <c r="E29" s="27" t="inlineStr">
        <is>
          <t>Performance</t>
        </is>
      </c>
      <c r="F29" s="27" t="inlineStr">
        <is>
          <t>P95 search response time stays within SLA under peak load</t>
        </is>
      </c>
      <c r="G29" s="27" t="inlineStr">
        <is>
          <t>A load-test environment is set up to simulate realistic traffic.</t>
        </is>
      </c>
      <c r="H29" s="27" t="inlineStr">
        <is>
          <t>1. Run a load test simulating 5 times the average daily traffic for 15 minutes.
2. Measure P95 search API response time during the test.
3. Measure the error rate over the same period.</t>
        </is>
      </c>
      <c r="I29" s="27" t="inlineStr">
        <is>
          <t>Load = 5x average, 15 minutes</t>
        </is>
      </c>
      <c r="J29" s="27" t="inlineStr">
        <is>
          <t>P95 response time is 1,000ms or less (the peak-day limit). The error rate does not go above the SLA agreed with the infrastructure team (usually 0.1-1% or less).</t>
        </is>
      </c>
      <c r="K29" s="27" t="inlineStr">
        <is>
          <t>High</t>
        </is>
      </c>
      <c r="L29" s="28" t="n"/>
      <c r="M29" s="28" t="inlineStr">
        <is>
          <t>Not Run</t>
        </is>
      </c>
      <c r="N29" s="28" t="n"/>
      <c r="O29" s="28" t="n"/>
      <c r="P29" s="27" t="n"/>
      <c r="Q29" s="27" t="n"/>
    </row>
    <row r="30" ht="79.84999999999999" customHeight="1" s="17">
      <c r="A30" s="27" t="inlineStr">
        <is>
          <t>INT-14-SC1-TC1</t>
        </is>
      </c>
      <c r="B30" s="27" t="inlineStr">
        <is>
          <t>INT-14-SC1</t>
        </is>
      </c>
      <c r="C30" s="27" t="inlineStr">
        <is>
          <t>Security &amp; Data Privacy (PDPL)</t>
        </is>
      </c>
      <c r="D30" s="27" t="inlineStr">
        <is>
          <t>RSK-05, DEP-08 (PDPL dependency)</t>
        </is>
      </c>
      <c r="E30" s="27" t="inlineStr">
        <is>
          <t>Security</t>
        </is>
      </c>
      <c r="F30" s="27" t="inlineStr">
        <is>
          <t>No cross-account data leak for personalized data (data isolation)</t>
        </is>
      </c>
      <c r="G30" s="27" t="inlineStr">
        <is>
          <t>2 different test accounts, each with separate purchase history.</t>
        </is>
      </c>
      <c r="H30" s="27" t="inlineStr">
        <is>
          <t>1. Log in as Account A, call the "Frequently Purchased" API, and record the SKU list returned.
2. Log in as Account B (completely different purchase history), call the same API, and record the SKU list returned.
3. Send both requests (A and B) at the same time and check that each response matches the right account.</t>
        </is>
      </c>
      <c r="I30" s="27" t="inlineStr">
        <is>
          <t>Accounts A and B, completely different purchase histories</t>
        </is>
      </c>
      <c r="J30" s="27" t="inlineStr">
        <is>
          <t>Account A's response only has A's data, and Account B's response only has B's data. There must be no mixing or leaking between them, even when the calls happen at the same time.</t>
        </is>
      </c>
      <c r="K30" s="27" t="inlineStr">
        <is>
          <t>High</t>
        </is>
      </c>
      <c r="L30" s="28" t="n"/>
      <c r="M30" s="28" t="inlineStr">
        <is>
          <t>Not Run</t>
        </is>
      </c>
      <c r="N30" s="28" t="n"/>
      <c r="O30" s="28" t="n"/>
      <c r="P30" s="27" t="n"/>
      <c r="Q30" s="27" t="n"/>
    </row>
    <row r="31" ht="91" customHeight="1" s="17">
      <c r="A31" s="27" t="inlineStr">
        <is>
          <t>INT-14-SC1-TC2</t>
        </is>
      </c>
      <c r="B31" s="27" t="inlineStr">
        <is>
          <t>INT-14-SC1</t>
        </is>
      </c>
      <c r="C31" s="27" t="inlineStr">
        <is>
          <t>Security &amp; Data Privacy (PDPL)</t>
        </is>
      </c>
      <c r="D31" s="27" t="inlineStr">
        <is>
          <t>RSK-05, DEP-08 (PDPL dependency)</t>
        </is>
      </c>
      <c r="E31" s="27" t="inlineStr">
        <is>
          <t>Security</t>
        </is>
      </c>
      <c r="F31" s="27" t="inlineStr">
        <is>
          <t>PDPL legal dependency (RSK-05/DEP-08) blocking go-live for personalization — still unresolved</t>
        </is>
      </c>
      <c r="G31" s="27" t="inlineStr">
        <is>
          <t>2 different test accounts, each with separate purchase history.</t>
        </is>
      </c>
      <c r="H31" s="27" t="inlineStr">
        <is>
          <t>1. Check the current legal/compliance documents about using Order History to personalize search results.
2. Confirm whether valid customer consent has been collected for this purpose.</t>
        </is>
      </c>
      <c r="I31" s="27" t="inlineStr">
        <is>
          <t>N/A</t>
        </is>
      </c>
      <c r="J31" s="27" t="inlineStr">
        <is>
          <t>TBD — per the BRD, this is RSK-05/DEP-08: the PDPL (Personal Data Protection Law) legal dependency is NOT resolved yet, and it may block the whole personalization feature ("Frequently Purchased", personalized ranking) from going live. Do not mark Pass/Fail until Compliance/Legal confirms. This is the highest-level risk in this whole test scope.</t>
        </is>
      </c>
      <c r="K31" s="27" t="inlineStr">
        <is>
          <t>High</t>
        </is>
      </c>
      <c r="L31" s="28" t="n"/>
      <c r="M31" s="28" t="inlineStr">
        <is>
          <t>Not Run</t>
        </is>
      </c>
      <c r="N31" s="28" t="n"/>
      <c r="O31" s="28" t="n"/>
      <c r="P31" s="27" t="n"/>
      <c r="Q31" s="27" t="inlineStr">
        <is>
          <t>This legal risk was already flagged by the BA in the BRD (RSK-05/DEP-08). It is not a new QC finding, but it is repeated here because it directly affects several integration modules (INT-04, INT-11).</t>
        </is>
      </c>
    </row>
    <row r="32">
      <c r="A32" s="27" t="inlineStr">
        <is>
          <t>INT-13-SC2-TC1</t>
        </is>
      </c>
      <c r="B32" s="27" t="inlineStr">
        <is>
          <t>INT-13-SC2</t>
        </is>
      </c>
      <c r="C32" s="27" t="inlineStr">
        <is>
          <t>Performance &amp; Scalability (NFR)</t>
        </is>
      </c>
      <c r="D32" s="27" t="inlineStr">
        <is>
          <t>FR-GD-03, NFR-009</t>
        </is>
      </c>
      <c r="E32" s="27" t="inlineStr">
        <is>
          <t>Behavior</t>
        </is>
      </c>
      <c r="F32" s="27" t="inlineStr">
        <is>
          <t>AI Search down/timeout -&gt; automatic fallback to keyword search, no technical error shown</t>
        </is>
      </c>
      <c r="G32" s="27" t="inlineStr">
        <is>
          <t>The test environment can simulate the AI Search Service returning an error/timeout (e.g. disabling the service via a feature flag or blocking network access to the AI endpoint).</t>
        </is>
      </c>
      <c r="H32" s="27" t="inlineStr">
        <is>
          <t>1. Simulate the AI Search Service timing out/going down.
2. Perform a normal text search (e.g. "fresh milk").
3. Check the UI: are any results shown, and does any technical error popup/text appear.
4. Check whether the returned results come from the basic keyword algorithm (compare against normal AI Search results — e.g. loses synonym/semantic understanding, matches only on raw keywords).
5. Restore the AI Search Service, repeat the search, confirm the system automatically switches back to using AI Search.</t>
        </is>
      </c>
      <c r="I32" s="27" t="inlineStr">
        <is>
          <t>"fresh milk", simulate AI Search down then restore it</t>
        </is>
      </c>
      <c r="J32" s="27" t="inlineStr">
        <is>
          <t>Step 3: the customer still gets a results page with products (not blank, no visible error); absolutely no technical popup/toast/text (e.g. "AI service unavailable", a 5xx error code, a stack trace). Step 4: the results reflect basic keyword-search characteristics (possibly less accurate than AI but still reasonable, not empty). Step 5: once AI Search recovers, the system automatically resumes using AI Search with no redeploy or manual ops intervention needed.</t>
        </is>
      </c>
      <c r="K32" s="27" t="inlineStr">
        <is>
          <t>High</t>
        </is>
      </c>
      <c r="L32" s="28" t="n"/>
      <c r="M32" s="28" t="inlineStr">
        <is>
          <t>Not Run</t>
        </is>
      </c>
      <c r="N32" s="28" t="n"/>
      <c r="O32" s="28" t="n"/>
      <c r="P32" s="27" t="n"/>
      <c r="Q32" s="27" t="n"/>
    </row>
    <row r="33">
      <c r="A33" s="35" t="inlineStr">
        <is>
          <t>INT-13-SC2-TC2</t>
        </is>
      </c>
      <c r="B33" s="35" t="inlineStr">
        <is>
          <t>INT-13-SC2</t>
        </is>
      </c>
      <c r="C33" s="35" t="inlineStr">
        <is>
          <t>Performance &amp; Scalability (NFR)</t>
        </is>
      </c>
      <c r="D33" s="35" t="inlineStr">
        <is>
          <t>FR-GD-03, NFR-009</t>
        </is>
      </c>
      <c r="E33" s="35" t="inlineStr">
        <is>
          <t>Performance</t>
        </is>
      </c>
      <c r="F33" s="35" t="inlineStr">
        <is>
          <t>Response time while in keyword-search fallback mode — TBD whether the same 300ms SLA applies</t>
        </is>
      </c>
      <c r="G33" s="35" t="inlineStr">
        <is>
          <t>The AI Search Service is down/timing out (fallback mode active).</t>
        </is>
      </c>
      <c r="H33" s="35" t="inlineStr">
        <is>
          <t>1. While fallback is active, perform searches and measure response time (enough runs to compute P95).
2. Compare against the 300ms P95 threshold (NFR-001/FR-GD-01) that applies in normal AI Search mode.</t>
        </is>
      </c>
      <c r="I33" s="35" t="inlineStr">
        <is>
          <t>Measure P95 response time in fallback mode</t>
        </is>
      </c>
      <c r="J33" s="35" t="inlineStr">
        <is>
          <t>TBD — the BRD does not specify whether the performance threshold is relaxed in fallback mode (the keyword algorithm is simpler than AI and could be faster or slower depending on infrastructure) or whether the same 300ms P95 SLA still applies as in normal mode. Cannot be scored against a precise quantitative Pass/Fail until BA/TD confirms the SLA threshold that applies in fallback mode. See QnA-43.</t>
        </is>
      </c>
      <c r="K33" s="35" t="inlineStr">
        <is>
          <t>Medium</t>
        </is>
      </c>
      <c r="L33" s="28" t="n"/>
      <c r="M33" s="28" t="inlineStr">
        <is>
          <t>N/A</t>
        </is>
      </c>
      <c r="N33" s="28" t="n"/>
      <c r="O33" s="28" t="n"/>
      <c r="P33" s="35" t="inlineStr">
        <is>
          <t>QnA-43</t>
        </is>
      </c>
      <c r="Q33" s="35" t="inlineStr">
        <is>
          <t>OPEN — QnA-43: xem chi tiết trong file QnA log.</t>
        </is>
      </c>
    </row>
    <row r="34">
      <c r="A34" s="27" t="inlineStr">
        <is>
          <t>INT-13-SC3-TC1</t>
        </is>
      </c>
      <c r="B34" s="27" t="inlineStr">
        <is>
          <t>INT-13-SC3</t>
        </is>
      </c>
      <c r="C34" s="27" t="inlineStr">
        <is>
          <t>Performance &amp; Scalability (NFR)</t>
        </is>
      </c>
      <c r="D34" s="27" t="inlineStr">
        <is>
          <t>FR-GD-01, NFR-001</t>
        </is>
      </c>
      <c r="E34" s="27" t="inlineStr">
        <is>
          <t>Performance</t>
        </is>
      </c>
      <c r="F34" s="27" t="inlineStr">
        <is>
          <t>P95 text-search response time under average load meets the 300ms SLA (FR-GD-01/NFR-001)</t>
        </is>
      </c>
      <c r="G34" s="27" t="inlineStr">
        <is>
          <t>The test environment simulates average daily traffic (baseline, not the 5x used in INT-13-SC1).</t>
        </is>
      </c>
      <c r="H34" s="27" t="inlineStr">
        <is>
          <t>1. Run a load test at average (baseline, 1x) traffic for 15 minutes.
2. Measure P95 text-search API response time throughout the test.
3. Compare against the 300ms threshold per NFR-001/FR-GD-01.</t>
        </is>
      </c>
      <c r="I34" s="27" t="inlineStr">
        <is>
          <t>Load = 1x average (baseline), 15 minutes</t>
        </is>
      </c>
      <c r="J34" s="27" t="inlineStr">
        <is>
          <t>P95 response time is &lt;=300ms — a separate and STRICTER measurement than the &lt;=1,000ms threshold already tested for peak load (5x) in INT-13-SC1-TC1; the two test cases complement each other, covering both normal-load and peak-load conditions against the two distinct thresholds in the BRD (the standard 300ms P95 per NFR-001 vs. the &lt;=1,000ms peak-day note per KPI-01).</t>
        </is>
      </c>
      <c r="K34" s="27" t="inlineStr">
        <is>
          <t>High</t>
        </is>
      </c>
      <c r="L34" s="28" t="n"/>
      <c r="M34" s="28" t="inlineStr">
        <is>
          <t>Not Run</t>
        </is>
      </c>
      <c r="N34" s="28" t="n"/>
      <c r="O34" s="28" t="n"/>
      <c r="P34" s="27" t="n"/>
      <c r="Q34" s="27" t="n"/>
    </row>
  </sheetData>
  <mergeCells count="1">
    <mergeCell ref="A1:Q1"/>
  </mergeCells>
  <dataValidations count="1">
    <dataValidation sqref="M3:M31" showDropDown="0" showInputMessage="0" showErrorMessage="0" allowBlank="1" type="list" errorStyle="stop" operator="between">
      <formula1>"Pass,Fail,Blocked,N/A,Not Run"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8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6" min="1" max="1"/>
    <col width="16" customWidth="1" style="16" min="2" max="2"/>
    <col width="4" customWidth="1" style="16" min="3" max="3"/>
    <col width="34" customWidth="1" style="16" min="4" max="4"/>
    <col width="16" customWidth="1" style="16" min="5" max="5"/>
  </cols>
  <sheetData>
    <row r="1" ht="21.75" customHeight="1" s="17">
      <c r="A1" s="18" t="inlineStr">
        <is>
          <t>Aggregate Summary — Combined Test Suite (UI + Functional/Integration)</t>
        </is>
      </c>
    </row>
    <row r="2"/>
    <row r="3" ht="15" customHeight="1" s="17">
      <c r="A3" s="21" t="inlineStr">
        <is>
          <t>Overall Totals</t>
        </is>
      </c>
    </row>
    <row r="4" ht="15" customHeight="1" s="17">
      <c r="A4" s="21" t="inlineStr">
        <is>
          <t>Total Scenarios (UI + Functional)</t>
        </is>
      </c>
      <c r="B4" s="31">
        <f>COUNTA('UI Test Scenarios'!$B$3:$B$85)+COUNTA('Functional Test Scenarios'!$B$3:$B$24)</f>
        <v/>
      </c>
    </row>
    <row r="5" ht="15" customHeight="1" s="17">
      <c r="A5" s="21" t="inlineStr">
        <is>
          <t>Total Test Cases (UI + Functional)</t>
        </is>
      </c>
      <c r="B5" s="31">
        <f>COUNTA('UI Test Cases'!$A$3:$A$177)+COUNTA('Functional Test Cases'!$A$3:$A$34)</f>
        <v/>
      </c>
    </row>
    <row r="6"/>
    <row r="7" ht="15" customHeight="1" s="17">
      <c r="A7" s="21" t="inlineStr">
        <is>
          <t>UI Test Cases — By Test Result</t>
        </is>
      </c>
      <c r="D7" s="21" t="inlineStr">
        <is>
          <t>Functional Test Cases — By Test Result</t>
        </is>
      </c>
    </row>
    <row r="8" ht="15" customHeight="1" s="17">
      <c r="A8" s="31" t="inlineStr">
        <is>
          <t>Pass</t>
        </is>
      </c>
      <c r="B8" s="31">
        <f>COUNTIF('UI Test Cases'!$M$3:$M$177,"Pass")</f>
        <v/>
      </c>
      <c r="D8" s="31" t="inlineStr">
        <is>
          <t>Pass</t>
        </is>
      </c>
      <c r="E8" s="31">
        <f>COUNTIF('Functional Test Cases'!$M$3:$M$34,"Pass")</f>
        <v/>
      </c>
    </row>
    <row r="9" ht="15" customHeight="1" s="17">
      <c r="A9" s="31" t="inlineStr">
        <is>
          <t>Fail</t>
        </is>
      </c>
      <c r="B9" s="31">
        <f>COUNTIF('UI Test Cases'!$M$3:$M$177,"Fail")</f>
        <v/>
      </c>
      <c r="D9" s="31" t="inlineStr">
        <is>
          <t>Fail</t>
        </is>
      </c>
      <c r="E9" s="31">
        <f>COUNTIF('Functional Test Cases'!$M$3:$M$34,"Fail")</f>
        <v/>
      </c>
    </row>
    <row r="10" ht="15" customHeight="1" s="17">
      <c r="A10" s="31" t="inlineStr">
        <is>
          <t>Blocked</t>
        </is>
      </c>
      <c r="B10" s="31">
        <f>COUNTIF('UI Test Cases'!$M$3:$M$177,"Blocked")</f>
        <v/>
      </c>
      <c r="D10" s="31" t="inlineStr">
        <is>
          <t>Blocked</t>
        </is>
      </c>
      <c r="E10" s="31">
        <f>COUNTIF('Functional Test Cases'!$M$3:$M$34,"Blocked")</f>
        <v/>
      </c>
    </row>
    <row r="11" ht="15" customHeight="1" s="17">
      <c r="A11" s="31" t="inlineStr">
        <is>
          <t>N/A</t>
        </is>
      </c>
      <c r="B11" s="31">
        <f>COUNTIF('UI Test Cases'!$M$3:$M$177,"N/A")</f>
        <v/>
      </c>
      <c r="D11" s="31" t="inlineStr">
        <is>
          <t>N/A</t>
        </is>
      </c>
      <c r="E11" s="31">
        <f>COUNTIF('Functional Test Cases'!$M$3:$M$34,"N/A")</f>
        <v/>
      </c>
    </row>
    <row r="12" ht="15" customHeight="1" s="17">
      <c r="A12" s="31" t="inlineStr">
        <is>
          <t>Not Run</t>
        </is>
      </c>
      <c r="B12" s="31">
        <f>COUNTIF('UI Test Cases'!$M$3:$M$177,"Not Run")</f>
        <v/>
      </c>
      <c r="D12" s="31" t="inlineStr">
        <is>
          <t>Not Run</t>
        </is>
      </c>
      <c r="E12" s="31">
        <f>COUNTIF('Functional Test Cases'!$M$3:$M$34,"Not Run")</f>
        <v/>
      </c>
    </row>
    <row r="13" ht="15" customHeight="1" s="17">
      <c r="A13" s="21" t="inlineStr">
        <is>
          <t>Total</t>
        </is>
      </c>
      <c r="B13" s="21">
        <f>SUM(B8:B12)</f>
        <v/>
      </c>
      <c r="D13" s="21" t="inlineStr">
        <is>
          <t>Total</t>
        </is>
      </c>
      <c r="E13" s="21">
        <f>SUM(E8:E12)</f>
        <v/>
      </c>
    </row>
    <row r="14" ht="15" customHeight="1" s="17">
      <c r="A14" s="21" t="inlineStr">
        <is>
          <t>Total Scenarios</t>
        </is>
      </c>
      <c r="B14" s="31">
        <f>COUNTA('UI Test Scenarios'!$B$3:$B$85)</f>
        <v/>
      </c>
      <c r="D14" s="21" t="inlineStr">
        <is>
          <t>Total Scenarios</t>
        </is>
      </c>
      <c r="E14" s="31">
        <f>COUNTA('Functional Test Scenarios'!$B$3:$B$24)</f>
        <v/>
      </c>
    </row>
    <row r="15" ht="15" customHeight="1" s="17">
      <c r="A15" s="21" t="inlineStr">
        <is>
          <t>Total Test Cases</t>
        </is>
      </c>
      <c r="B15" s="31">
        <f>COUNTA('UI Test Cases'!$A$3:$A$177)</f>
        <v/>
      </c>
      <c r="D15" s="21" t="inlineStr">
        <is>
          <t>Total Test Cases</t>
        </is>
      </c>
      <c r="E15" s="31">
        <f>COUNTA('Functional Test Cases'!$A$3:$A$34)</f>
        <v/>
      </c>
    </row>
    <row r="16" ht="15" customHeight="1" s="17">
      <c r="A16" s="21" t="inlineStr">
        <is>
          <t>Linked to an Open QnA item</t>
        </is>
      </c>
      <c r="B16" s="31">
        <f>COUNTIF('UI Test Cases'!$P$3:$P$177,"QnA*")</f>
        <v/>
      </c>
      <c r="D16" s="21" t="inlineStr">
        <is>
          <t>Linked to an Open QnA item</t>
        </is>
      </c>
      <c r="E16" s="31">
        <f>COUNTIF('Functional Test Cases'!$P$3:$P$34,"QnA*")</f>
        <v/>
      </c>
    </row>
    <row r="17"/>
    <row r="18" ht="15" customHeight="1" s="17">
      <c r="A18" s="21" t="inlineStr">
        <is>
          <t>UI — By Capability Area</t>
        </is>
      </c>
    </row>
    <row r="19" ht="15" customHeight="1" s="17">
      <c r="A19" s="31" t="inlineStr">
        <is>
          <t>A. Search Bar &amp; Pre-search</t>
        </is>
      </c>
      <c r="B19" s="31">
        <f>COUNTIF('UI Test Scenarios'!$D$3:$D$85,"A. Search Bar &amp; Pre-search")</f>
        <v/>
      </c>
    </row>
    <row r="20" ht="15" customHeight="1" s="17">
      <c r="A20" s="31" t="inlineStr">
        <is>
          <t>B. Autocomplete</t>
        </is>
      </c>
      <c r="B20" s="31">
        <f>COUNTIF('UI Test Scenarios'!$D$3:$D$85,"B. Autocomplete")</f>
        <v/>
      </c>
    </row>
    <row r="21" ht="15" customHeight="1" s="17">
      <c r="A21" s="31" t="inlineStr">
        <is>
          <t>C. Auto-Correct Banner</t>
        </is>
      </c>
      <c r="B21" s="31">
        <f>COUNTIF('UI Test Scenarios'!$D$3:$D$85,"C. Auto-Correct Banner")</f>
        <v/>
      </c>
    </row>
    <row r="22" ht="15" customHeight="1" s="17">
      <c r="A22" s="31" t="inlineStr">
        <is>
          <t>D. Search Processing / Loading</t>
        </is>
      </c>
      <c r="B22" s="31">
        <f>COUNTIF('UI Test Scenarios'!$D$3:$D$85,"D. Search Processing / Loading")</f>
        <v/>
      </c>
    </row>
    <row r="23" ht="15" customHeight="1" s="17">
      <c r="A23" s="31" t="inlineStr">
        <is>
          <t>E. Search Results — Grid</t>
        </is>
      </c>
      <c r="B23" s="31">
        <f>COUNTIF('UI Test Scenarios'!$D$3:$D$85,"E. Search Results — Grid")</f>
        <v/>
      </c>
    </row>
    <row r="24" ht="15" customHeight="1" s="17">
      <c r="A24" s="31" t="inlineStr">
        <is>
          <t>F. Search Results — List</t>
        </is>
      </c>
      <c r="B24" s="31">
        <f>COUNTIF('UI Test Scenarios'!$D$3:$D$85,"F. Search Results — List")</f>
        <v/>
      </c>
    </row>
    <row r="25" ht="15" customHeight="1" s="17">
      <c r="A25" s="31" t="inlineStr">
        <is>
          <t>G. Sort</t>
        </is>
      </c>
      <c r="B25" s="31">
        <f>COUNTIF('UI Test Scenarios'!$D$3:$D$85,"G. Sort")</f>
        <v/>
      </c>
    </row>
    <row r="26" ht="15" customHeight="1" s="17">
      <c r="A26" s="31" t="inlineStr">
        <is>
          <t>H. Smart Filter / Detailed Filter</t>
        </is>
      </c>
      <c r="B26" s="31">
        <f>COUNTIF('UI Test Scenarios'!$D$3:$D$85,"H. Smart Filter / Detailed Filter")</f>
        <v/>
      </c>
    </row>
    <row r="27" ht="15" customHeight="1" s="17">
      <c r="A27" s="31" t="inlineStr">
        <is>
          <t>I. Filter Applied State</t>
        </is>
      </c>
      <c r="B27" s="31">
        <f>COUNTIF('UI Test Scenarios'!$D$3:$D$85,"I. Filter Applied State")</f>
        <v/>
      </c>
    </row>
    <row r="28" ht="15" customHeight="1" s="17">
      <c r="A28" s="31" t="inlineStr">
        <is>
          <t>J. Add to Cart</t>
        </is>
      </c>
      <c r="B28" s="31">
        <f>COUNTIF('UI Test Scenarios'!$D$3:$D$85,"J. Add to Cart")</f>
        <v/>
      </c>
    </row>
    <row r="29" ht="15" customHeight="1" s="17">
      <c r="A29" s="31" t="inlineStr">
        <is>
          <t>K. Zero-Result Recovery</t>
        </is>
      </c>
      <c r="B29" s="31">
        <f>COUNTIF('UI Test Scenarios'!$D$3:$D$85,"K. Zero-Result Recovery")</f>
        <v/>
      </c>
    </row>
    <row r="30" ht="15" customHeight="1" s="17">
      <c r="A30" s="31" t="inlineStr">
        <is>
          <t>L. Image Search — Camera</t>
        </is>
      </c>
      <c r="B30" s="31">
        <f>COUNTIF('UI Test Scenarios'!$D$3:$D$85,"L. Image Search — Camera")</f>
        <v/>
      </c>
    </row>
    <row r="31" ht="15" customHeight="1" s="17">
      <c r="A31" s="31" t="inlineStr">
        <is>
          <t>M. Image Search — Gallery</t>
        </is>
      </c>
      <c r="B31" s="31">
        <f>COUNTIF('UI Test Scenarios'!$D$3:$D$85,"M. Image Search — Gallery")</f>
        <v/>
      </c>
    </row>
    <row r="32" ht="15" customHeight="1" s="17">
      <c r="A32" s="31" t="inlineStr">
        <is>
          <t>N. Image Search — Recognition Result</t>
        </is>
      </c>
      <c r="B32" s="31">
        <f>COUNTIF('UI Test Scenarios'!$D$3:$D$85,"N. Image Search — Recognition Result")</f>
        <v/>
      </c>
    </row>
    <row r="33" ht="15" customHeight="1" s="17">
      <c r="A33" s="31" t="inlineStr">
        <is>
          <t>O. Image Search — Fail</t>
        </is>
      </c>
      <c r="B33" s="31">
        <f>COUNTIF('UI Test Scenarios'!$D$3:$D$85,"O. Image Search — Fail")</f>
        <v/>
      </c>
    </row>
    <row r="34" ht="15" customHeight="1" s="17">
      <c r="A34" s="31" t="inlineStr">
        <is>
          <t>P. Voice Search — Listening</t>
        </is>
      </c>
      <c r="B34" s="31">
        <f>COUNTIF('UI Test Scenarios'!$D$3:$D$85,"P. Voice Search — Listening")</f>
        <v/>
      </c>
    </row>
    <row r="35" ht="15" customHeight="1" s="17">
      <c r="A35" s="31" t="inlineStr">
        <is>
          <t>Q. Voice Search — Result</t>
        </is>
      </c>
      <c r="B35" s="31">
        <f>COUNTIF('UI Test Scenarios'!$D$3:$D$85,"Q. Voice Search — Result")</f>
        <v/>
      </c>
    </row>
    <row r="36" ht="15" customHeight="1" s="17">
      <c r="A36" s="31" t="inlineStr">
        <is>
          <t>R. Voice Search — Fail</t>
        </is>
      </c>
      <c r="B36" s="31">
        <f>COUNTIF('UI Test Scenarios'!$D$3:$D$85,"R. Voice Search — Fail")</f>
        <v/>
      </c>
    </row>
    <row r="37" ht="15" customHeight="1" s="17">
      <c r="A37" s="21" t="inlineStr">
        <is>
          <t>Total</t>
        </is>
      </c>
      <c r="B37" s="21">
        <f>SUM(B19:B36)</f>
        <v/>
      </c>
    </row>
    <row r="38"/>
    <row r="39" ht="15" customHeight="1" s="17">
      <c r="A39" s="21" t="inlineStr">
        <is>
          <t>Functional — By Module</t>
        </is>
      </c>
    </row>
    <row r="40" ht="15" customHeight="1" s="17">
      <c r="A40" s="31" t="inlineStr">
        <is>
          <t>INT-01 — Search Ranking Engine</t>
        </is>
      </c>
      <c r="B40" s="31">
        <f>COUNTIF('Functional Test Scenarios'!$C$3:$C$24,"Search Ranking Engine")</f>
        <v/>
      </c>
    </row>
    <row r="41" ht="15" customHeight="1" s="17">
      <c r="A41" s="31" t="inlineStr">
        <is>
          <t>INT-02 — Query Understanding — Synonyms &amp; Multilingual</t>
        </is>
      </c>
      <c r="B41" s="31">
        <f>COUNTIF('Functional Test Scenarios'!$C$3:$C$24,"Query Understanding — Synonyms &amp; Multilingual")</f>
        <v/>
      </c>
    </row>
    <row r="42" ht="15" customHeight="1" s="17">
      <c r="A42" s="31" t="inlineStr">
        <is>
          <t>INT-03 — Autocomplete &amp; Spelling Correction — Backend</t>
        </is>
      </c>
      <c r="B42" s="31">
        <f>COUNTIF('Functional Test Scenarios'!$C$3:$C$24,"Autocomplete &amp; Spelling Correction — Backend")</f>
        <v/>
      </c>
    </row>
    <row r="43" ht="15" customHeight="1" s="17">
      <c r="A43" s="31" t="inlineStr">
        <is>
          <t>INT-04 — Personalization — OMS Integration (Order History)</t>
        </is>
      </c>
      <c r="B43" s="31">
        <f>COUNTIF('Functional Test Scenarios'!$C$3:$C$24,"Personalization — OMS Integration (Order History)")</f>
        <v/>
      </c>
    </row>
    <row r="44" ht="15" customHeight="1" s="17">
      <c r="A44" s="31" t="inlineStr">
        <is>
          <t>INT-05 — Sponsored Ads — Retail Media Integration</t>
        </is>
      </c>
      <c r="B44" s="31">
        <f>COUNTIF('Functional Test Scenarios'!$C$3:$C$24,"Sponsored Ads — Retail Media Integration")</f>
        <v/>
      </c>
    </row>
    <row r="45" ht="15" customHeight="1" s="17">
      <c r="A45" s="31" t="inlineStr">
        <is>
          <t>INT-06 — Image Search — Computer Vision Service Integration</t>
        </is>
      </c>
      <c r="B45" s="31">
        <f>COUNTIF('Functional Test Scenarios'!$C$3:$C$24,"Image Search — Computer Vision Service Integration")</f>
        <v/>
      </c>
    </row>
    <row r="46" ht="15" customHeight="1" s="17">
      <c r="A46" s="31" t="inlineStr">
        <is>
          <t>INT-07 — Voice Search — Speech-to-Text Service Integration</t>
        </is>
      </c>
      <c r="B46" s="31">
        <f>COUNTIF('Functional Test Scenarios'!$C$3:$C$24,"Voice Search — Speech-to-Text Service Integration")</f>
        <v/>
      </c>
    </row>
    <row r="47" ht="15" customHeight="1" s="17">
      <c r="A47" s="31" t="inlineStr">
        <is>
          <t>INT-08 — Add to Cart — Cart/OMS Transactional Integration</t>
        </is>
      </c>
      <c r="B47" s="31">
        <f>COUNTIF('Functional Test Scenarios'!$C$3:$C$24,"Add to Cart — Cart/OMS Transactional Integration")</f>
        <v/>
      </c>
    </row>
    <row r="48" ht="15" customHeight="1" s="17">
      <c r="A48" s="31" t="inlineStr">
        <is>
          <t>INT-09 — Catalog &amp; Inventory — Real-Time Stock Sync</t>
        </is>
      </c>
      <c r="B48" s="31">
        <f>COUNTIF('Functional Test Scenarios'!$C$3:$C$24,"Catalog &amp; Inventory — Real-Time Stock Sync")</f>
        <v/>
      </c>
    </row>
    <row r="49" ht="15" customHeight="1" s="17">
      <c r="A49" s="31" t="inlineStr">
        <is>
          <t>INT-10 — Zero-Result Fallback Engine — Recommendation Algorithm</t>
        </is>
      </c>
      <c r="B49" s="31">
        <f>COUNTIF('Functional Test Scenarios'!$C$3:$C$24,"Zero-Result Fallback Engine — Recommendation Algorithm")</f>
        <v/>
      </c>
    </row>
    <row r="50" ht="15" customHeight="1" s="17">
      <c r="A50" s="31" t="inlineStr">
        <is>
          <t>INT-11 — Auth &amp; Session — Guest vs Member</t>
        </is>
      </c>
      <c r="B50" s="31">
        <f>COUNTIF('Functional Test Scenarios'!$C$3:$C$24,"Auth &amp; Session — Guest vs Member")</f>
        <v/>
      </c>
    </row>
    <row r="51" ht="15" customHeight="1" s="17">
      <c r="A51" s="31" t="inlineStr">
        <is>
          <t>INT-12 — Analytics &amp; Event Logging</t>
        </is>
      </c>
      <c r="B51" s="31">
        <f>COUNTIF('Functional Test Scenarios'!$C$3:$C$24,"Analytics &amp; Event Logging")</f>
        <v/>
      </c>
    </row>
    <row r="52" ht="15" customHeight="1" s="17">
      <c r="A52" s="31" t="inlineStr">
        <is>
          <t>INT-13 — Performance &amp; Scalability (NFR)</t>
        </is>
      </c>
      <c r="B52" s="31">
        <f>COUNTIF('Functional Test Scenarios'!$C$3:$C$24,"Performance &amp; Scalability (NFR)")</f>
        <v/>
      </c>
    </row>
    <row r="53" ht="15" customHeight="1" s="17">
      <c r="A53" s="31" t="inlineStr">
        <is>
          <t>INT-14 — Security &amp; Data Privacy (PDPL)</t>
        </is>
      </c>
      <c r="B53" s="31">
        <f>COUNTIF('Functional Test Scenarios'!$C$3:$C$24,"Security &amp; Data Privacy (PDPL)")</f>
        <v/>
      </c>
    </row>
    <row r="54" ht="15" customHeight="1" s="17">
      <c r="A54" s="21" t="inlineStr">
        <is>
          <t>Total</t>
        </is>
      </c>
      <c r="B54" s="21">
        <f>SUM(B40:B53)</f>
        <v/>
      </c>
    </row>
    <row r="55"/>
    <row r="56" ht="15" customHeight="1" s="17">
      <c r="A56" s="21" t="inlineStr">
        <is>
          <t>UI — By Test Case Type</t>
        </is>
      </c>
    </row>
    <row r="57" ht="15" customHeight="1" s="17">
      <c r="A57" s="31" t="inlineStr">
        <is>
          <t>Normal</t>
        </is>
      </c>
      <c r="B57" s="31">
        <f>COUNTIF('UI Test Cases'!$E$3:$E$177,"Normal")</f>
        <v/>
      </c>
    </row>
    <row r="58" ht="15" customHeight="1" s="17">
      <c r="A58" s="31" t="inlineStr">
        <is>
          <t>Functional</t>
        </is>
      </c>
      <c r="B58" s="31">
        <f>COUNTIF('UI Test Cases'!$E$3:$E$177,"Functional")</f>
        <v/>
      </c>
    </row>
    <row r="59" ht="15" customHeight="1" s="17">
      <c r="A59" s="31" t="inlineStr">
        <is>
          <t>Validation</t>
        </is>
      </c>
      <c r="B59" s="31">
        <f>COUNTIF('UI Test Cases'!$E$3:$E$177,"Validation")</f>
        <v/>
      </c>
    </row>
    <row r="60" ht="15" customHeight="1" s="17">
      <c r="A60" s="31" t="inlineStr">
        <is>
          <t>Negative</t>
        </is>
      </c>
      <c r="B60" s="31">
        <f>COUNTIF('UI Test Cases'!$E$3:$E$177,"Negative")</f>
        <v/>
      </c>
    </row>
    <row r="61" ht="15" customHeight="1" s="17">
      <c r="A61" s="31" t="inlineStr">
        <is>
          <t>Boundary</t>
        </is>
      </c>
      <c r="B61" s="31">
        <f>COUNTIF('UI Test Cases'!$E$3:$E$177,"Boundary")</f>
        <v/>
      </c>
    </row>
    <row r="62" ht="15" customHeight="1" s="17">
      <c r="A62" s="31" t="inlineStr">
        <is>
          <t>Edge</t>
        </is>
      </c>
      <c r="B62" s="31">
        <f>COUNTIF('UI Test Cases'!$E$3:$E$177,"Edge")</f>
        <v/>
      </c>
    </row>
    <row r="63" ht="15" customHeight="1" s="17">
      <c r="A63" s="31" t="inlineStr">
        <is>
          <t>Exception</t>
        </is>
      </c>
      <c r="B63" s="31">
        <f>COUNTIF('UI Test Cases'!$E$3:$E$177,"Exception")</f>
        <v/>
      </c>
    </row>
    <row r="64" ht="15" customHeight="1" s="17">
      <c r="A64" s="31" t="inlineStr">
        <is>
          <t>Integration</t>
        </is>
      </c>
      <c r="B64" s="31">
        <f>COUNTIF('UI Test Cases'!$E$3:$E$177,"Integration")</f>
        <v/>
      </c>
    </row>
    <row r="65" ht="15" customHeight="1" s="17">
      <c r="A65" s="31" t="inlineStr">
        <is>
          <t>Performance</t>
        </is>
      </c>
      <c r="B65" s="31">
        <f>COUNTIF('UI Test Cases'!$E$3:$E$177,"Performance")</f>
        <v/>
      </c>
    </row>
    <row r="66" ht="15" customHeight="1" s="17">
      <c r="A66" s="31" t="inlineStr">
        <is>
          <t>Sponsored</t>
        </is>
      </c>
      <c r="B66" s="31">
        <f>COUNTIF('UI Test Cases'!$E$3:$E$177,"Sponsored")</f>
        <v/>
      </c>
    </row>
    <row r="67" ht="15" customHeight="1" s="17">
      <c r="A67" s="31" t="inlineStr">
        <is>
          <t>Ranking</t>
        </is>
      </c>
      <c r="B67" s="31">
        <f>COUNTIF('UI Test Cases'!$E$3:$E$177,"Ranking")</f>
        <v/>
      </c>
    </row>
    <row r="68" ht="15" customHeight="1" s="17">
      <c r="A68" s="31" t="inlineStr">
        <is>
          <t>No-result</t>
        </is>
      </c>
      <c r="B68" s="31">
        <f>COUNTIF('UI Test Cases'!$E$3:$E$177,"No-result")</f>
        <v/>
      </c>
    </row>
    <row r="69" ht="15" customHeight="1" s="17">
      <c r="A69" s="31" t="inlineStr">
        <is>
          <t>Typo</t>
        </is>
      </c>
      <c r="B69" s="31">
        <f>COUNTIF('UI Test Cases'!$E$3:$E$177,"Typo")</f>
        <v/>
      </c>
    </row>
    <row r="70" ht="15" customHeight="1" s="17">
      <c r="A70" s="31" t="inlineStr">
        <is>
          <t>Sort</t>
        </is>
      </c>
      <c r="B70" s="31">
        <f>COUNTIF('UI Test Cases'!$E$3:$E$177,"Sort")</f>
        <v/>
      </c>
    </row>
    <row r="71" ht="15" customHeight="1" s="17">
      <c r="A71" s="31" t="inlineStr">
        <is>
          <t>Filter</t>
        </is>
      </c>
      <c r="B71" s="31">
        <f>COUNTIF('UI Test Cases'!$E$3:$E$177,"Filter")</f>
        <v/>
      </c>
    </row>
    <row r="72" ht="15" customHeight="1" s="17">
      <c r="A72" s="21" t="inlineStr">
        <is>
          <t>Total</t>
        </is>
      </c>
      <c r="B72" s="21">
        <f>SUM(B57:B71)</f>
        <v/>
      </c>
    </row>
    <row r="73"/>
    <row r="74" ht="15" customHeight="1" s="17">
      <c r="A74" s="21" t="inlineStr">
        <is>
          <t>Functional — By Test Case Type</t>
        </is>
      </c>
    </row>
    <row r="75" ht="15" customHeight="1" s="17">
      <c r="A75" s="31" t="inlineStr">
        <is>
          <t>Functional</t>
        </is>
      </c>
      <c r="B75" s="31">
        <f>COUNTIF('Functional Test Cases'!$E$3:$E$34,"Functional")</f>
        <v/>
      </c>
    </row>
    <row r="76" ht="15" customHeight="1" s="17">
      <c r="A76" s="31" t="inlineStr">
        <is>
          <t>Behavior</t>
        </is>
      </c>
      <c r="B76" s="31">
        <f>COUNTIF('Functional Test Cases'!$E$3:$E$34,"Behavior")</f>
        <v/>
      </c>
    </row>
    <row r="77" ht="15" customHeight="1" s="17">
      <c r="A77" s="31" t="inlineStr">
        <is>
          <t>Integration</t>
        </is>
      </c>
      <c r="B77" s="31">
        <f>COUNTIF('Functional Test Cases'!$E$3:$E$34,"Integration")</f>
        <v/>
      </c>
    </row>
    <row r="78" ht="15" customHeight="1" s="17">
      <c r="A78" s="31" t="inlineStr">
        <is>
          <t>Boundary</t>
        </is>
      </c>
      <c r="B78" s="31">
        <f>COUNTIF('Functional Test Cases'!$E$3:$E$34,"Boundary")</f>
        <v/>
      </c>
    </row>
    <row r="79" ht="15" customHeight="1" s="17">
      <c r="A79" s="31" t="inlineStr">
        <is>
          <t>Negative</t>
        </is>
      </c>
      <c r="B79" s="31">
        <f>COUNTIF('Functional Test Cases'!$E$3:$E$34,"Negative")</f>
        <v/>
      </c>
    </row>
    <row r="80" ht="15" customHeight="1" s="17">
      <c r="A80" s="31" t="inlineStr">
        <is>
          <t>Performance</t>
        </is>
      </c>
      <c r="B80" s="31">
        <f>COUNTIF('Functional Test Cases'!$E$3:$E$34,"Performance")</f>
        <v/>
      </c>
    </row>
    <row r="81" ht="15" customHeight="1" s="17">
      <c r="A81" s="31" t="inlineStr">
        <is>
          <t>Security</t>
        </is>
      </c>
      <c r="B81" s="31">
        <f>COUNTIF('Functional Test Cases'!$E$3:$E$34,"Security")</f>
        <v/>
      </c>
    </row>
    <row r="82" ht="15" customHeight="1" s="17">
      <c r="A82" s="21" t="inlineStr">
        <is>
          <t>Total</t>
        </is>
      </c>
      <c r="B82" s="21">
        <f>SUM(B75:B81)</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6" min="1" max="1"/>
    <col width="60" customWidth="1" style="16" min="2" max="2"/>
    <col width="20" customWidth="1" style="16" min="3" max="3"/>
  </cols>
  <sheetData>
    <row r="1" ht="21.75" customHeight="1" s="17">
      <c r="A1" s="29" t="inlineStr">
        <is>
          <t>Integration Points Reference</t>
        </is>
      </c>
    </row>
    <row r="3" ht="15" customHeight="1" s="17">
      <c r="A3" s="30" t="inlineStr">
        <is>
          <t>System/Service</t>
        </is>
      </c>
      <c r="B3" s="30" t="inlineStr">
        <is>
          <t>Role in Smart Search</t>
        </is>
      </c>
      <c r="C3" s="30" t="inlineStr">
        <is>
          <t>Modules Using It</t>
        </is>
      </c>
    </row>
    <row r="4" ht="23.85" customHeight="1" s="17">
      <c r="A4" s="27" t="inlineStr">
        <is>
          <t>Search Service (core)</t>
        </is>
      </c>
      <c r="B4" s="27" t="inlineStr">
        <is>
          <t>Receives the query, runs Query Understanding, calls the Ranking Engine, builds the final response.</t>
        </is>
      </c>
      <c r="C4" s="27" t="inlineStr">
        <is>
          <t>INT-01, INT-02, INT-03</t>
        </is>
      </c>
    </row>
    <row r="5" ht="23.85" customHeight="1" s="17">
      <c r="A5" s="27" t="inlineStr">
        <is>
          <t>OMS (Order Management System)</t>
        </is>
      </c>
      <c r="B5" s="27" t="inlineStr">
        <is>
          <t>Provides Order History to build "Frequently Purchased" and the cart state.</t>
        </is>
      </c>
      <c r="C5" s="27" t="inlineStr">
        <is>
          <t>INT-04, INT-08</t>
        </is>
      </c>
    </row>
    <row r="6" ht="15" customHeight="1" s="17">
      <c r="A6" s="27" t="inlineStr">
        <is>
          <t>Retail Media Platform</t>
        </is>
      </c>
      <c r="B6" s="27" t="inlineStr">
        <is>
          <t>Provides the list of Sponsored products from active ad campaigns.</t>
        </is>
      </c>
      <c r="C6" s="27" t="inlineStr">
        <is>
          <t>INT-05</t>
        </is>
      </c>
    </row>
    <row r="7" ht="23.85" customHeight="1" s="17">
      <c r="A7" s="27" t="inlineStr">
        <is>
          <t>Computer Vision (CV) Service</t>
        </is>
      </c>
      <c r="B7" s="27" t="inlineStr">
        <is>
          <t>Recognizes products from photos, returns labels/embeddings with confidence scores.</t>
        </is>
      </c>
      <c r="C7" s="27" t="inlineStr">
        <is>
          <t>INT-06</t>
        </is>
      </c>
    </row>
    <row r="8" ht="15" customHeight="1" s="17">
      <c r="A8" s="27" t="inlineStr">
        <is>
          <t>Speech-to-Text (STT) Service</t>
        </is>
      </c>
      <c r="B8" s="27" t="inlineStr">
        <is>
          <t>Converts speech to text (transcript) with a confidence score.</t>
        </is>
      </c>
      <c r="C8" s="27" t="inlineStr">
        <is>
          <t>INT-07</t>
        </is>
      </c>
    </row>
    <row r="9" ht="15" customHeight="1" s="17">
      <c r="A9" s="27" t="inlineStr">
        <is>
          <t>Inventory Service</t>
        </is>
      </c>
      <c r="B9" s="27" t="inlineStr">
        <is>
          <t>Provides real-time stock status to the Search Index.</t>
        </is>
      </c>
      <c r="C9" s="27" t="inlineStr">
        <is>
          <t>INT-09</t>
        </is>
      </c>
    </row>
    <row r="10" ht="23.85" customHeight="1" s="17">
      <c r="A10" s="27" t="inlineStr">
        <is>
          <t>Zero-Result Fallback Engine</t>
        </is>
      </c>
      <c r="B10" s="27" t="inlineStr">
        <is>
          <t>Calculates Substitute (vector similarity) and Cross-sell (basket analysis) products when there are 0 results.</t>
        </is>
      </c>
      <c r="C10" s="27" t="inlineStr">
        <is>
          <t>INT-10</t>
        </is>
      </c>
    </row>
    <row r="11" ht="15" customHeight="1" s="17">
      <c r="A11" s="27" t="inlineStr">
        <is>
          <t>Auth/Membership Service</t>
        </is>
      </c>
      <c r="B11" s="27" t="inlineStr">
        <is>
          <t>Validates the login token, tells Guest and Member users apart.</t>
        </is>
      </c>
      <c r="C11" s="27" t="inlineStr">
        <is>
          <t>INT-11</t>
        </is>
      </c>
    </row>
    <row r="12" ht="15" customHeight="1" s="17">
      <c r="A12" s="27" t="inlineStr">
        <is>
          <t>Analytics Pipeline</t>
        </is>
      </c>
      <c r="B12" s="27" t="inlineStr">
        <is>
          <t>Logs search events to calculate the Trending Score and for reporting.</t>
        </is>
      </c>
      <c r="C12" s="27" t="inlineStr">
        <is>
          <t>INT-12</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4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6" min="1" max="1"/>
    <col width="40" customWidth="1" style="16" min="2" max="2"/>
    <col width="26" customWidth="1" style="16" min="3" max="3"/>
    <col width="24" customWidth="1" style="16" min="4" max="4"/>
    <col width="18" customWidth="1" style="16" min="5" max="5"/>
    <col width="30" customWidth="1" style="16" min="6" max="6"/>
    <col width="24" customWidth="1" style="16" min="7" max="7"/>
    <col width="20" customWidth="1" style="16" min="8" max="8"/>
    <col width="30" customWidth="1" style="16" min="9" max="9"/>
    <col width="34" customWidth="1" style="16" min="10" max="10"/>
  </cols>
  <sheetData>
    <row r="1" ht="21.75" customHeight="1" s="17">
      <c r="A1" s="18" t="inlineStr">
        <is>
          <t>Test Data — Smart Search (placeholder waiting on real product data)</t>
        </is>
      </c>
    </row>
    <row r="2" ht="45.75" customHeight="1" s="17">
      <c r="A2" s="32" t="inlineStr">
        <is>
          <t>NOTE: This sheet is a TEMPLATE waiting for the Merchandising/OMS team to provide real product data (SKU, name, category, price, stock, images...). The test cases in the 'UI Test Cases' and 'Functional Test Cases' sheets currently use sample data in quotes (e.g. "sữa", "sua toui", "Bia Corona") taken directly from the BRD/Storyboard — replace with real SKU IDs / Product IDs once available, so the test cases can actually run in the UAT environment.</t>
        </is>
      </c>
    </row>
    <row r="4" ht="15" customHeight="1" s="17">
      <c r="A4" s="21" t="inlineStr">
        <is>
          <t>1) Test keyword set (Search Keywords)</t>
        </is>
      </c>
    </row>
    <row r="5" ht="15" customHeight="1" s="17">
      <c r="A5" s="23" t="inlineStr">
        <is>
          <t>Keyword ID</t>
        </is>
      </c>
      <c r="B5" s="23" t="inlineStr">
        <is>
          <t>Keyword / Input</t>
        </is>
      </c>
      <c r="C5" s="23" t="inlineStr">
        <is>
          <t>Purpose</t>
        </is>
      </c>
      <c r="D5" s="23" t="inlineStr">
        <is>
          <t>Related Test Case ID</t>
        </is>
      </c>
      <c r="E5" s="23" t="inlineStr">
        <is>
          <t>Language</t>
        </is>
      </c>
      <c r="F5" s="23" t="inlineStr">
        <is>
          <t>Expected Result Count (known)</t>
        </is>
      </c>
    </row>
    <row r="6" ht="23.85" customHeight="1" s="17">
      <c r="A6" s="27" t="inlineStr">
        <is>
          <t>KW-01</t>
        </is>
      </c>
      <c r="B6" s="27" t="inlineStr">
        <is>
          <t>sữa</t>
        </is>
      </c>
      <c r="C6" s="27" t="inlineStr">
        <is>
          <t>Autocomplete / Filter / Sort — happy path</t>
        </is>
      </c>
      <c r="D6" s="27" t="inlineStr">
        <is>
          <t>SS-SCR-002-SC1-TC1, SS-SCR-005-SC1-TC1</t>
        </is>
      </c>
      <c r="E6" s="27" t="inlineStr">
        <is>
          <t>VI</t>
        </is>
      </c>
      <c r="F6" s="27" t="inlineStr">
        <is>
          <t>TBD — waiting on real catalogue data</t>
        </is>
      </c>
    </row>
    <row r="7" ht="23.85" customHeight="1" s="17">
      <c r="A7" s="27" t="inlineStr">
        <is>
          <t>KW-02</t>
        </is>
      </c>
      <c r="B7" s="27" t="inlineStr">
        <is>
          <t>sua toui</t>
        </is>
      </c>
      <c r="C7" s="27" t="inlineStr">
        <is>
          <t>Test Auto-correct (no diacritics + typo)</t>
        </is>
      </c>
      <c r="D7" s="27" t="inlineStr">
        <is>
          <t>SS-SCR-003-SC1-TC1</t>
        </is>
      </c>
      <c r="E7" s="27" t="inlineStr">
        <is>
          <t>VI (no diacritics)</t>
        </is>
      </c>
      <c r="F7" s="27" t="inlineStr">
        <is>
          <t>TBD</t>
        </is>
      </c>
    </row>
    <row r="8" ht="23.85" customHeight="1" s="17">
      <c r="A8" s="27" t="inlineStr">
        <is>
          <t>KW-03</t>
        </is>
      </c>
      <c r="B8" s="27" t="inlineStr">
        <is>
          <t>Milo</t>
        </is>
      </c>
      <c r="C8" s="27" t="inlineStr">
        <is>
          <t>Test that Auto-correct does NOT trigger (valid brand)</t>
        </is>
      </c>
      <c r="D8" s="27" t="inlineStr">
        <is>
          <t>SS-SCR-003-SC2-TC1</t>
        </is>
      </c>
      <c r="E8" s="27" t="inlineStr">
        <is>
          <t>EN/VI (brand)</t>
        </is>
      </c>
      <c r="F8" s="27" t="inlineStr">
        <is>
          <t>TBD</t>
        </is>
      </c>
    </row>
    <row r="9" ht="15" customHeight="1" s="17">
      <c r="A9" s="27" t="inlineStr">
        <is>
          <t>KW-04</t>
        </is>
      </c>
      <c r="B9" s="27" t="inlineStr">
        <is>
          <t>xịt muỗi Tesla</t>
        </is>
      </c>
      <c r="C9" s="27" t="inlineStr">
        <is>
          <t>Zero Result</t>
        </is>
      </c>
      <c r="D9" s="27" t="inlineStr">
        <is>
          <t>SS-SCR-012-SC1-TC1</t>
        </is>
      </c>
      <c r="E9" s="27" t="inlineStr">
        <is>
          <t>VI</t>
        </is>
      </c>
      <c r="F9" s="27" t="inlineStr">
        <is>
          <t>0 (zero-result expected)</t>
        </is>
      </c>
    </row>
    <row r="10" ht="46.25" customHeight="1" s="17">
      <c r="A10" s="27" t="inlineStr">
        <is>
          <t>KW-05</t>
        </is>
      </c>
      <c r="B10" s="27" t="inlineStr">
        <is>
          <t>Bia Corona</t>
        </is>
      </c>
      <c r="C10" s="27" t="inlineStr">
        <is>
          <t>Zero Result — Substitute/Cross-sell (SKU needs to be set out of stock); shared with INT-10</t>
        </is>
      </c>
      <c r="D10" s="27" t="inlineStr">
        <is>
          <t>SS-SCR-012-SC1-TC2, INT-10-SC1-TC1</t>
        </is>
      </c>
      <c r="E10" s="27" t="inlineStr">
        <is>
          <t>VI</t>
        </is>
      </c>
      <c r="F10" s="27" t="inlineStr">
        <is>
          <t>0 direct, has a Substitute</t>
        </is>
      </c>
    </row>
    <row r="11" ht="15" customHeight="1" s="17">
      <c r="A11" s="27" t="inlineStr">
        <is>
          <t>KW-06</t>
        </is>
      </c>
      <c r="B11" s="27" t="inlineStr">
        <is>
          <t>x</t>
        </is>
      </c>
      <c r="C11" s="27" t="inlineStr">
        <is>
          <t>Autocomplete — empty API</t>
        </is>
      </c>
      <c r="D11" s="27" t="inlineStr">
        <is>
          <t>SS-SCR-002-SC2-TC1</t>
        </is>
      </c>
      <c r="E11" s="27" t="inlineStr">
        <is>
          <t>VI</t>
        </is>
      </c>
      <c r="F11" s="27" t="inlineStr">
        <is>
          <t>0 suggestions</t>
        </is>
      </c>
    </row>
    <row r="12" ht="23.85" customHeight="1" s="17">
      <c r="A12" s="27" t="inlineStr">
        <is>
          <t>KW-07</t>
        </is>
      </c>
      <c r="B12" s="27" t="inlineStr">
        <is>
          <t>sữa chua</t>
        </is>
      </c>
      <c r="C12" s="27" t="inlineStr">
        <is>
          <t>Sponsored label test; shared with INT-05</t>
        </is>
      </c>
      <c r="D12" s="27" t="inlineStr">
        <is>
          <t>SS-SCR-005-SC2-TC1, INT-05-SC1-TC1</t>
        </is>
      </c>
      <c r="E12" s="27" t="inlineStr">
        <is>
          <t>VI</t>
        </is>
      </c>
      <c r="F12" s="27" t="inlineStr">
        <is>
          <t>TBD — needs 1+ sponsored SKU</t>
        </is>
      </c>
    </row>
    <row r="13" ht="23.85" customHeight="1" s="17">
      <c r="A13" s="27" t="inlineStr">
        <is>
          <t>KW-08</t>
        </is>
      </c>
      <c r="B13" s="27" t="inlineStr">
        <is>
          <t>yogurt</t>
        </is>
      </c>
      <c r="C13" s="27" t="inlineStr">
        <is>
          <t>English synonym — used for INT-02</t>
        </is>
      </c>
      <c r="D13" s="27" t="inlineStr">
        <is>
          <t>INT-02-SC1-TC1</t>
        </is>
      </c>
      <c r="E13" s="27" t="inlineStr">
        <is>
          <t>EN</t>
        </is>
      </c>
      <c r="F13" s="27" t="inlineStr">
        <is>
          <t>TBD</t>
        </is>
      </c>
    </row>
    <row r="15" ht="15" customHeight="1" s="17">
      <c r="A15" s="21" t="inlineStr">
        <is>
          <t>2) Test SKU data template (waiting on the team)</t>
        </is>
      </c>
    </row>
    <row r="16" ht="15" customHeight="1" s="17">
      <c r="A16" s="23" t="inlineStr">
        <is>
          <t>SKU ID</t>
        </is>
      </c>
      <c r="B16" s="23" t="inlineStr">
        <is>
          <t>Product Name</t>
        </is>
      </c>
      <c r="C16" s="23" t="inlineStr">
        <is>
          <t>Category</t>
        </is>
      </c>
      <c r="D16" s="23" t="inlineStr">
        <is>
          <t>Price (VND)</t>
        </is>
      </c>
      <c r="E16" s="23" t="inlineStr">
        <is>
          <t>Stock</t>
        </is>
      </c>
      <c r="F16" s="23" t="inlineStr">
        <is>
          <t>Sponsored? (Y/N)</t>
        </is>
      </c>
      <c r="G16" s="23" t="inlineStr">
        <is>
          <t>Image URL/Asset</t>
        </is>
      </c>
      <c r="H16" s="23" t="inlineStr">
        <is>
          <t>Tags</t>
        </is>
      </c>
      <c r="I16" s="23" t="inlineStr">
        <is>
          <t>Used For Test Case</t>
        </is>
      </c>
      <c r="J16" s="23" t="inlineStr">
        <is>
          <t>Notes</t>
        </is>
      </c>
    </row>
    <row r="17" ht="35.05" customHeight="1" s="17">
      <c r="A17" s="33" t="inlineStr">
        <is>
          <t>&lt;sample SKU — replace with a real SKU&gt;</t>
        </is>
      </c>
      <c r="B17" s="33" t="inlineStr">
        <is>
          <t>TH True Milk Fresh Milk Unsweetened 1L</t>
        </is>
      </c>
      <c r="C17" s="33" t="inlineStr">
        <is>
          <t>Milk &amp; Dairy Products</t>
        </is>
      </c>
      <c r="D17" s="33" t="n">
        <v>32900</v>
      </c>
      <c r="E17" s="33" t="n">
        <v>25</v>
      </c>
      <c r="F17" s="33" t="inlineStr">
        <is>
          <t>N</t>
        </is>
      </c>
      <c r="G17" s="33" t="inlineStr">
        <is>
          <t>&lt;product image link&gt;</t>
        </is>
      </c>
      <c r="H17" s="33" t="inlineStr">
        <is>
          <t>No sugar</t>
        </is>
      </c>
      <c r="I17" s="33" t="inlineStr">
        <is>
          <t>SS-SCR-005-SC1-TC1, INT-01-SC1-TC1</t>
        </is>
      </c>
      <c r="J17" s="33" t="inlineStr">
        <is>
          <t>Sample row for illustration — DO NOT use for a real Pass/Fail call</t>
        </is>
      </c>
    </row>
    <row r="18" ht="15" customHeight="1" s="17">
      <c r="A18" s="34" t="n"/>
      <c r="B18" s="34" t="n"/>
      <c r="C18" s="34" t="n"/>
      <c r="D18" s="34" t="n"/>
      <c r="E18" s="34" t="n"/>
      <c r="F18" s="34" t="n"/>
      <c r="G18" s="34" t="n"/>
      <c r="H18" s="34" t="n"/>
      <c r="I18" s="34" t="n"/>
      <c r="J18" s="34" t="n"/>
    </row>
    <row r="19" ht="15" customHeight="1" s="17">
      <c r="A19" s="34" t="n"/>
      <c r="B19" s="34" t="n"/>
      <c r="C19" s="34" t="n"/>
      <c r="D19" s="34" t="n"/>
      <c r="E19" s="34" t="n"/>
      <c r="F19" s="34" t="n"/>
      <c r="G19" s="34" t="n"/>
      <c r="H19" s="34" t="n"/>
      <c r="I19" s="34" t="n"/>
      <c r="J19" s="34" t="n"/>
    </row>
    <row r="20" ht="15" customHeight="1" s="17">
      <c r="A20" s="34" t="n"/>
      <c r="B20" s="34" t="n"/>
      <c r="C20" s="34" t="n"/>
      <c r="D20" s="34" t="n"/>
      <c r="E20" s="34" t="n"/>
      <c r="F20" s="34" t="n"/>
      <c r="G20" s="34" t="n"/>
      <c r="H20" s="34" t="n"/>
      <c r="I20" s="34" t="n"/>
      <c r="J20" s="34" t="n"/>
    </row>
    <row r="21" ht="15" customHeight="1" s="17">
      <c r="A21" s="34" t="n"/>
      <c r="B21" s="34" t="n"/>
      <c r="C21" s="34" t="n"/>
      <c r="D21" s="34" t="n"/>
      <c r="E21" s="34" t="n"/>
      <c r="F21" s="34" t="n"/>
      <c r="G21" s="34" t="n"/>
      <c r="H21" s="34" t="n"/>
      <c r="I21" s="34" t="n"/>
      <c r="J21" s="34" t="n"/>
    </row>
    <row r="22" ht="15" customHeight="1" s="17">
      <c r="A22" s="34" t="n"/>
      <c r="B22" s="34" t="n"/>
      <c r="C22" s="34" t="n"/>
      <c r="D22" s="34" t="n"/>
      <c r="E22" s="34" t="n"/>
      <c r="F22" s="34" t="n"/>
      <c r="G22" s="34" t="n"/>
      <c r="H22" s="34" t="n"/>
      <c r="I22" s="34" t="n"/>
      <c r="J22" s="34" t="n"/>
    </row>
    <row r="23" ht="15" customHeight="1" s="17">
      <c r="A23" s="34" t="n"/>
      <c r="B23" s="34" t="n"/>
      <c r="C23" s="34" t="n"/>
      <c r="D23" s="34" t="n"/>
      <c r="E23" s="34" t="n"/>
      <c r="F23" s="34" t="n"/>
      <c r="G23" s="34" t="n"/>
      <c r="H23" s="34" t="n"/>
      <c r="I23" s="34" t="n"/>
      <c r="J23" s="34" t="n"/>
    </row>
    <row r="24" ht="15" customHeight="1" s="17">
      <c r="A24" s="34" t="n"/>
      <c r="B24" s="34" t="n"/>
      <c r="C24" s="34" t="n"/>
      <c r="D24" s="34" t="n"/>
      <c r="E24" s="34" t="n"/>
      <c r="F24" s="34" t="n"/>
      <c r="G24" s="34" t="n"/>
      <c r="H24" s="34" t="n"/>
      <c r="I24" s="34" t="n"/>
      <c r="J24" s="34" t="n"/>
    </row>
    <row r="25" ht="15" customHeight="1" s="17">
      <c r="A25" s="34" t="n"/>
      <c r="B25" s="34" t="n"/>
      <c r="C25" s="34" t="n"/>
      <c r="D25" s="34" t="n"/>
      <c r="E25" s="34" t="n"/>
      <c r="F25" s="34" t="n"/>
      <c r="G25" s="34" t="n"/>
      <c r="H25" s="34" t="n"/>
      <c r="I25" s="34" t="n"/>
      <c r="J25" s="34" t="n"/>
    </row>
    <row r="26" ht="15" customHeight="1" s="17">
      <c r="A26" s="34" t="n"/>
      <c r="B26" s="34" t="n"/>
      <c r="C26" s="34" t="n"/>
      <c r="D26" s="34" t="n"/>
      <c r="E26" s="34" t="n"/>
      <c r="F26" s="34" t="n"/>
      <c r="G26" s="34" t="n"/>
      <c r="H26" s="34" t="n"/>
      <c r="I26" s="34" t="n"/>
      <c r="J26" s="34" t="n"/>
    </row>
    <row r="27" ht="15" customHeight="1" s="17">
      <c r="A27" s="34" t="n"/>
      <c r="B27" s="34" t="n"/>
      <c r="C27" s="34" t="n"/>
      <c r="D27" s="34" t="n"/>
      <c r="E27" s="34" t="n"/>
      <c r="F27" s="34" t="n"/>
      <c r="G27" s="34" t="n"/>
      <c r="H27" s="34" t="n"/>
      <c r="I27" s="34" t="n"/>
      <c r="J27" s="34" t="n"/>
    </row>
    <row r="28" ht="15" customHeight="1" s="17">
      <c r="A28" s="34" t="n"/>
      <c r="B28" s="34" t="n"/>
      <c r="C28" s="34" t="n"/>
      <c r="D28" s="34" t="n"/>
      <c r="E28" s="34" t="n"/>
      <c r="F28" s="34" t="n"/>
      <c r="G28" s="34" t="n"/>
      <c r="H28" s="34" t="n"/>
      <c r="I28" s="34" t="n"/>
      <c r="J28" s="34" t="n"/>
    </row>
    <row r="29" ht="15" customHeight="1" s="17">
      <c r="A29" s="34" t="n"/>
      <c r="B29" s="34" t="n"/>
      <c r="C29" s="34" t="n"/>
      <c r="D29" s="34" t="n"/>
      <c r="E29" s="34" t="n"/>
      <c r="F29" s="34" t="n"/>
      <c r="G29" s="34" t="n"/>
      <c r="H29" s="34" t="n"/>
      <c r="I29" s="34" t="n"/>
      <c r="J29" s="34" t="n"/>
    </row>
    <row r="30" ht="15" customHeight="1" s="17">
      <c r="A30" s="34" t="n"/>
      <c r="B30" s="34" t="n"/>
      <c r="C30" s="34" t="n"/>
      <c r="D30" s="34" t="n"/>
      <c r="E30" s="34" t="n"/>
      <c r="F30" s="34" t="n"/>
      <c r="G30" s="34" t="n"/>
      <c r="H30" s="34" t="n"/>
      <c r="I30" s="34" t="n"/>
      <c r="J30" s="34" t="n"/>
    </row>
    <row r="31" ht="15" customHeight="1" s="17">
      <c r="A31" s="34" t="n"/>
      <c r="B31" s="34" t="n"/>
      <c r="C31" s="34" t="n"/>
      <c r="D31" s="34" t="n"/>
      <c r="E31" s="34" t="n"/>
      <c r="F31" s="34" t="n"/>
      <c r="G31" s="34" t="n"/>
      <c r="H31" s="34" t="n"/>
      <c r="I31" s="34" t="n"/>
      <c r="J31" s="34" t="n"/>
    </row>
    <row r="33" ht="15" customHeight="1" s="17">
      <c r="A33" s="21" t="inlineStr">
        <is>
          <t>3) Test images for Image Search (waiting on the team)</t>
        </is>
      </c>
    </row>
    <row r="34" ht="15" customHeight="1" s="17">
      <c r="A34" s="23" t="inlineStr">
        <is>
          <t>Image ID</t>
        </is>
      </c>
      <c r="B34" s="23" t="inlineStr">
        <is>
          <t>Image Description</t>
        </is>
      </c>
      <c r="C34" s="23" t="inlineStr">
        <is>
          <t>Format</t>
        </is>
      </c>
      <c r="D34" s="23" t="inlineStr">
        <is>
          <t>Size (MB)</t>
        </is>
      </c>
      <c r="E34" s="23" t="inlineStr">
        <is>
          <t>Expected Result</t>
        </is>
      </c>
      <c r="F34" s="23" t="inlineStr">
        <is>
          <t>Used For Test Case</t>
        </is>
      </c>
    </row>
    <row r="35" ht="35.05" customHeight="1" s="17">
      <c r="A35" s="27" t="inlineStr">
        <is>
          <t>IMG-01</t>
        </is>
      </c>
      <c r="B35" s="27" t="inlineStr">
        <is>
          <t>Clear photo of a TH True Milk carton</t>
        </is>
      </c>
      <c r="C35" s="27" t="inlineStr">
        <is>
          <t>JPEG</t>
        </is>
      </c>
      <c r="D35" s="27" t="n">
        <v>2.1</v>
      </c>
      <c r="E35" s="27" t="inlineStr">
        <is>
          <t>Correctly recognized, returns related milk SKUs</t>
        </is>
      </c>
      <c r="F35" s="27" t="inlineStr">
        <is>
          <t>SS-SCR-013-SC1-TC1, SS-SCR-015-SC1-TC1, INT-06-SC1-TC1</t>
        </is>
      </c>
    </row>
    <row r="36" ht="15" customHeight="1" s="17">
      <c r="A36" s="27" t="inlineStr">
        <is>
          <t>IMG-02</t>
        </is>
      </c>
      <c r="B36" s="27" t="inlineStr">
        <is>
          <t>Photo exactly at the 5.0MB threshold</t>
        </is>
      </c>
      <c r="C36" s="27" t="inlineStr">
        <is>
          <t>JPEG</t>
        </is>
      </c>
      <c r="D36" s="27" t="n">
        <v>5</v>
      </c>
      <c r="E36" s="27" t="inlineStr">
        <is>
          <t>Upload accepted</t>
        </is>
      </c>
      <c r="F36" s="27" t="inlineStr">
        <is>
          <t>SS-SCR-014-SC1-TC1</t>
        </is>
      </c>
    </row>
    <row r="37" ht="23.85" customHeight="1" s="17">
      <c r="A37" s="27" t="inlineStr">
        <is>
          <t>IMG-03</t>
        </is>
      </c>
      <c r="B37" s="27" t="inlineStr">
        <is>
          <t>Photo over the 5.1MB threshold</t>
        </is>
      </c>
      <c r="C37" s="27" t="inlineStr">
        <is>
          <t>JPEG</t>
        </is>
      </c>
      <c r="D37" s="27" t="n">
        <v>5.1</v>
      </c>
      <c r="E37" s="27" t="inlineStr">
        <is>
          <t>Rejected with an error Toast</t>
        </is>
      </c>
      <c r="F37" s="27" t="inlineStr">
        <is>
          <t>SS-SCR-014-SC1-TC1</t>
        </is>
      </c>
    </row>
    <row r="38" ht="23.85" customHeight="1" s="17">
      <c r="A38" s="27" t="inlineStr">
        <is>
          <t>IMG-04</t>
        </is>
      </c>
      <c r="B38" s="27" t="inlineStr">
        <is>
          <t>GIF format photo</t>
        </is>
      </c>
      <c r="C38" s="27" t="inlineStr">
        <is>
          <t>GIF</t>
        </is>
      </c>
      <c r="D38" s="27" t="n">
        <v>1</v>
      </c>
      <c r="E38" s="27" t="inlineStr">
        <is>
          <t>Rejected — unsupported format</t>
        </is>
      </c>
      <c r="F38" s="27" t="inlineStr">
        <is>
          <t>SS-SCR-014-SC1-TC2</t>
        </is>
      </c>
    </row>
    <row r="39" ht="23.85" customHeight="1" s="17">
      <c r="A39" s="27" t="inlineStr">
        <is>
          <t>IMG-05</t>
        </is>
      </c>
      <c r="B39" s="27" t="inlineStr">
        <is>
          <t>Blurry/out-of-focus photo</t>
        </is>
      </c>
      <c r="C39" s="27" t="inlineStr">
        <is>
          <t>JPEG</t>
        </is>
      </c>
      <c r="D39" s="27" t="n">
        <v>1.5</v>
      </c>
      <c r="E39" s="27" t="inlineStr">
        <is>
          <t>Switches to the 'Not Recognized' screen</t>
        </is>
      </c>
      <c r="F39" s="27" t="inlineStr">
        <is>
          <t>SS-SCR-016-SC1-TC1, INT-06-SC1-TC2</t>
        </is>
      </c>
    </row>
    <row r="40" ht="35.05" customHeight="1" s="17">
      <c r="A40" s="27" t="inlineStr">
        <is>
          <t>IMG-06</t>
        </is>
      </c>
      <c r="B40" s="27" t="inlineStr">
        <is>
          <t>Landscape photo (no product)</t>
        </is>
      </c>
      <c r="C40" s="27" t="inlineStr">
        <is>
          <t>JPEG</t>
        </is>
      </c>
      <c r="D40" s="27" t="n">
        <v>1.8</v>
      </c>
      <c r="E40" s="27" t="inlineStr">
        <is>
          <t>Switches to 'Not Recognized', no forced wrong result</t>
        </is>
      </c>
      <c r="F40" s="27" t="inlineStr">
        <is>
          <t>SS-SCR-016-SC1-TC2</t>
        </is>
      </c>
    </row>
    <row r="42" ht="15" customHeight="1" s="17">
      <c r="A42" s="21" t="inlineStr">
        <is>
          <t>4) Test voice phrases for Voice Search</t>
        </is>
      </c>
    </row>
    <row r="43" ht="15" customHeight="1" s="17">
      <c r="A43" s="23" t="inlineStr">
        <is>
          <t>Voice ID</t>
        </is>
      </c>
      <c r="B43" s="23" t="inlineStr">
        <is>
          <t>Spoken Content</t>
        </is>
      </c>
      <c r="C43" s="23" t="inlineStr">
        <is>
          <t>Language</t>
        </is>
      </c>
      <c r="D43" s="23" t="inlineStr">
        <is>
          <t>Recording Condition</t>
        </is>
      </c>
      <c r="E43" s="23" t="inlineStr">
        <is>
          <t>Expected Result</t>
        </is>
      </c>
      <c r="F43" s="23" t="inlineStr">
        <is>
          <t>Used For Test Case</t>
        </is>
      </c>
    </row>
    <row r="44" ht="35.05" customHeight="1" s="17">
      <c r="A44" s="27" t="inlineStr">
        <is>
          <t>VOI-01</t>
        </is>
      </c>
      <c r="B44" s="27" t="inlineStr">
        <is>
          <t>"sữa tươi không đường" (unsweetened fresh milk)</t>
        </is>
      </c>
      <c r="C44" s="27" t="inlineStr">
        <is>
          <t>VI</t>
        </is>
      </c>
      <c r="D44" s="27" t="inlineStr">
        <is>
          <t>Quiet room, clear voice</t>
        </is>
      </c>
      <c r="E44" s="27" t="inlineStr">
        <is>
          <t>Correctly transcribed, goes straight to results</t>
        </is>
      </c>
      <c r="F44" s="27" t="inlineStr">
        <is>
          <t>SS-SCR-018-SC1-TC1, INT-07-SC1-TC1</t>
        </is>
      </c>
    </row>
    <row r="45" ht="23.85" customHeight="1" s="17">
      <c r="A45" s="27" t="inlineStr">
        <is>
          <t>VOI-02</t>
        </is>
      </c>
      <c r="B45" s="27" t="inlineStr">
        <is>
          <t>"Ba quả chuối 60.000" (three bananas, 60,000 dong)</t>
        </is>
      </c>
      <c r="C45" s="27" t="inlineStr">
        <is>
          <t>VI</t>
        </is>
      </c>
      <c r="D45" s="27" t="inlineStr">
        <is>
          <t>Quiet room, clear voice</t>
        </is>
      </c>
      <c r="E45" s="27" t="inlineStr">
        <is>
          <t>Transcript shows in real time</t>
        </is>
      </c>
      <c r="F45" s="27" t="inlineStr">
        <is>
          <t>SS-SCR-017-SC1-TC1</t>
        </is>
      </c>
    </row>
    <row r="46" ht="23.85" customHeight="1" s="17">
      <c r="A46" s="27" t="inlineStr">
        <is>
          <t>VOI-03</t>
        </is>
      </c>
      <c r="B46" s="27" t="inlineStr">
        <is>
          <t>(background noise, no speech)</t>
        </is>
      </c>
      <c r="C46" s="27" t="inlineStr">
        <is>
          <t>N/A</t>
        </is>
      </c>
      <c r="D46" s="27" t="inlineStr">
        <is>
          <t>Noisy/unclear voice</t>
        </is>
      </c>
      <c r="E46" s="27" t="inlineStr">
        <is>
          <t>Switches to the 'Not Recognized' screen</t>
        </is>
      </c>
      <c r="F46" s="27" t="inlineStr">
        <is>
          <t>SS-SCR-019-SC1-TC1</t>
        </is>
      </c>
    </row>
    <row r="47" ht="35.05" customHeight="1" s="17">
      <c r="A47" s="27" t="inlineStr">
        <is>
          <t>VOI-04</t>
        </is>
      </c>
      <c r="B47" s="27" t="inlineStr">
        <is>
          <t>"sữa tươi hai lít" (two liters of fresh milk)</t>
        </is>
      </c>
      <c r="C47" s="27" t="inlineStr">
        <is>
          <t>VI</t>
        </is>
      </c>
      <c r="D47" s="27" t="inlineStr">
        <is>
          <t>Quiet room, clear voice</t>
        </is>
      </c>
      <c r="E47" s="27" t="inlineStr">
        <is>
          <t>Numbers/units handling — TBD, see QnA-22</t>
        </is>
      </c>
      <c r="F47" s="27" t="inlineStr">
        <is>
          <t>SS-SCR-017-SC2-TC1, INT-07-SC2-TC1</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2026-08-18T03:05:17Z</dcterms:created>
  <dcterms:modified xmlns:dcterms="http://purl.org/dc/terms/" xmlns:xsi="http://www.w3.org/2001/XMLSchema-instance" xsi:type="dcterms:W3CDTF">2026-08-19T11:11:35Z</dcterms:modified>
  <cp:revision>0</cp:revision>
</cp:coreProperties>
</file>