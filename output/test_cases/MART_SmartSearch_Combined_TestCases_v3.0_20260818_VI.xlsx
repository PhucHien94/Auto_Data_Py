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0" windowWidth="14610" windowHeight="15585" tabRatio="500" firstSheet="1" activeTab="1" autoFilterDateGrouping="1"/>
  </bookViews>
  <sheets>
    <sheet xmlns:r="http://schemas.openxmlformats.org/officeDocument/2006/relationships" name="Cover" sheetId="1" state="visible" r:id="rId1"/>
    <sheet xmlns:r="http://schemas.openxmlformats.org/officeDocument/2006/relationships" name="UI Test Scenarios" sheetId="2" state="visible" r:id="rId2"/>
    <sheet xmlns:r="http://schemas.openxmlformats.org/officeDocument/2006/relationships" name="UI Test Cases" sheetId="3" state="visible" r:id="rId3"/>
    <sheet xmlns:r="http://schemas.openxmlformats.org/officeDocument/2006/relationships" name="Integration Test Scenarios" sheetId="4" state="visible" r:id="rId4"/>
    <sheet xmlns:r="http://schemas.openxmlformats.org/officeDocument/2006/relationships" name="Integration Test Cases" sheetId="5" state="visible" r:id="rId5"/>
    <sheet xmlns:r="http://schemas.openxmlformats.org/officeDocument/2006/relationships" name="Summary" sheetId="6" state="visible" r:id="rId6"/>
    <sheet xmlns:r="http://schemas.openxmlformats.org/officeDocument/2006/relationships" name="Integration Points" sheetId="7" state="visible" r:id="rId7"/>
    <sheet xmlns:r="http://schemas.openxmlformats.org/officeDocument/2006/relationships" name="Test Data" sheetId="8" state="visible" r:id="rId8"/>
  </sheets>
  <definedNames>
    <definedName name="_xlnm._FilterDatabase" localSheetId="1" hidden="1">'UI Test Scenarios'!$A$2:$P$70</definedName>
    <definedName name="_xlnm._FilterDatabase" localSheetId="2" hidden="1">'UI Test Cases'!$A$2:$Q$104</definedName>
  </definedNames>
  <calcPr calcId="191029" fullCalcOnLoad="1" iterateDelta="0.0001"/>
</workbook>
</file>

<file path=xl/styles.xml><?xml version="1.0" encoding="utf-8"?>
<styleSheet xmlns="http://schemas.openxmlformats.org/spreadsheetml/2006/main">
  <numFmts count="0"/>
  <fonts count="11">
    <font>
      <name val="Calibri"/>
      <charset val="1"/>
      <family val="2"/>
      <color theme="1"/>
      <sz val="11"/>
    </font>
    <font>
      <name val="Arial"/>
      <family val="2"/>
      <sz val="10"/>
    </font>
    <font>
      <name val="Arial"/>
      <family val="2"/>
      <b val="1"/>
      <color rgb="FFFFFFFF"/>
      <sz val="14"/>
    </font>
    <font>
      <name val="Arial"/>
      <family val="2"/>
      <b val="1"/>
      <sz val="12"/>
    </font>
    <font>
      <name val="Arial"/>
      <family val="2"/>
      <i val="1"/>
      <sz val="10"/>
    </font>
    <font>
      <name val="Arial"/>
      <family val="2"/>
      <b val="1"/>
      <sz val="10"/>
    </font>
    <font>
      <name val="Arial"/>
      <family val="2"/>
      <sz val="10"/>
    </font>
    <font>
      <name val="Noto Sans CJK SC"/>
      <family val="2"/>
      <sz val="10"/>
    </font>
    <font>
      <name val="Arial"/>
      <family val="2"/>
      <b val="1"/>
      <color rgb="FFFFFFFF"/>
      <sz val="10"/>
    </font>
    <font>
      <name val="Arial"/>
      <family val="2"/>
      <i val="1"/>
      <color rgb="FFC00000"/>
      <sz val="10"/>
    </font>
    <font>
      <name val="Arial"/>
      <family val="2"/>
      <i val="1"/>
      <color rgb="FF808080"/>
      <sz val="10"/>
    </font>
  </fonts>
  <fills count="6">
    <fill>
      <patternFill/>
    </fill>
    <fill>
      <patternFill patternType="gray125"/>
    </fill>
    <fill>
      <patternFill patternType="solid">
        <fgColor rgb="FF1F4E78"/>
        <bgColor rgb="FF2E5E4E"/>
      </patternFill>
    </fill>
    <fill>
      <patternFill patternType="solid">
        <fgColor rgb="FFFFF2CC"/>
        <bgColor rgb="FFFCE4D6"/>
      </patternFill>
    </fill>
    <fill>
      <patternFill patternType="solid">
        <fgColor rgb="FFFCE4D6"/>
        <bgColor rgb="FFFFF2CC"/>
      </patternFill>
    </fill>
    <fill>
      <patternFill patternType="solid">
        <fgColor rgb="FF2E5E4E"/>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pivotButton="0" quotePrefix="0" xfId="0"/>
    <xf numFmtId="0" fontId="9" fillId="0" borderId="0" applyAlignment="1" pivotButton="0" quotePrefix="0" xfId="0">
      <alignment vertical="top" wrapText="1"/>
    </xf>
    <xf numFmtId="0" fontId="2" fillId="5" borderId="0" applyAlignment="1" pivotButton="0" quotePrefix="0" xfId="0">
      <alignment vertical="top" wrapText="1"/>
    </xf>
    <xf numFmtId="0" fontId="2" fillId="2"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8" fillId="2" borderId="1" applyAlignment="1" pivotButton="0" quotePrefix="0" xfId="0">
      <alignment horizontal="center"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8" fillId="5" borderId="1" applyAlignment="1" pivotButton="0" quotePrefix="0" xfId="0">
      <alignment horizontal="center" vertical="center" wrapText="1"/>
    </xf>
    <xf numFmtId="0" fontId="6" fillId="0" borderId="0" pivotButton="0" quotePrefix="0" xfId="0"/>
    <xf numFmtId="0" fontId="10" fillId="0" borderId="1" applyAlignment="1" pivotButton="0" quotePrefix="0" xfId="0">
      <alignment vertical="top" wrapText="1"/>
    </xf>
    <xf numFmtId="0" fontId="0" fillId="3" borderId="1" pivotButton="0" quotePrefix="0" xfId="0"/>
    <xf numFmtId="0" fontId="1" fillId="0" borderId="1" applyAlignment="1" pivotButton="0" quotePrefix="0" xfId="0">
      <alignment vertical="top" wrapText="1"/>
    </xf>
    <xf numFmtId="0" fontId="1" fillId="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E5E4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showGridLines="0" zoomScaleNormal="100" workbookViewId="0">
      <selection activeCell="A1" sqref="A1:B1"/>
    </sheetView>
  </sheetViews>
  <sheetFormatPr baseColWidth="8" defaultColWidth="8.7109375" defaultRowHeight="15"/>
  <cols>
    <col width="26" customWidth="1" min="1" max="1"/>
    <col width="100" customWidth="1" min="2" max="2"/>
  </cols>
  <sheetData>
    <row r="1" ht="24" customHeight="1">
      <c r="A1" s="3" t="inlineStr">
        <is>
          <t>MART VN ONLINE RENEWAL 2026 PROJECT</t>
        </is>
      </c>
    </row>
    <row r="3" ht="15.75" customHeight="1">
      <c r="A3" s="4" t="inlineStr">
        <is>
          <t>Smart Search — Combined Test Suite: UI-Detailed + Functional/Behavior/System Integration</t>
        </is>
      </c>
    </row>
    <row r="4">
      <c r="A4" s="5" t="inlineStr">
        <is>
          <t>Gộp 2 bộ test case (UI cấp giao diện + Functional/Integration cấp logic nghiệp vụ &amp; tích hợp hệ thống) vào 1 file duy nhất</t>
        </is>
      </c>
    </row>
    <row r="6">
      <c r="A6" s="6" t="inlineStr">
        <is>
          <t>Document</t>
        </is>
      </c>
      <c r="B6" s="7" t="inlineStr">
        <is>
          <t>MART-AI-SmartSearch Combined Test Suite — v3.0 — 20260818</t>
        </is>
      </c>
    </row>
    <row r="7">
      <c r="A7" s="6" t="inlineStr">
        <is>
          <t>Prepared for</t>
        </is>
      </c>
      <c r="B7" s="7" t="inlineStr">
        <is>
          <t>Mart Online Division</t>
        </is>
      </c>
    </row>
    <row r="8">
      <c r="A8" s="6" t="inlineStr">
        <is>
          <t>Prepared by</t>
        </is>
      </c>
      <c r="B8" s="7" t="inlineStr">
        <is>
          <t>QC/BA Team</t>
        </is>
      </c>
    </row>
    <row r="9">
      <c r="A9" s="6" t="inlineStr">
        <is>
          <t>Date</t>
        </is>
      </c>
      <c r="B9" s="7" t="inlineStr">
        <is>
          <t>18 August 2026</t>
        </is>
      </c>
    </row>
    <row r="10">
      <c r="A10" s="6" t="inlineStr">
        <is>
          <t>Source — REQ</t>
        </is>
      </c>
      <c r="B10" s="7" t="inlineStr">
        <is>
          <t>BRD_AI_Search_VI_v0_0_3_20260812.docx</t>
        </is>
      </c>
    </row>
    <row r="11" ht="25.5" customHeight="1">
      <c r="A11" s="6" t="inlineStr">
        <is>
          <t>Merged from</t>
        </is>
      </c>
      <c r="B11" s="7" t="inlineStr">
        <is>
          <t>MART_SmartSearch_UI_TestCases_v2.2_20260817.xlsx (68 kịch bản/102 TC) + MART_SmartSearch_Functional_Integration_TestCases_v1.0_20260817_VI.xlsx (20 kịch bản/29 TC)</t>
        </is>
      </c>
    </row>
    <row r="12" ht="51" customHeight="1">
      <c r="A12" s="6" t="inlineStr">
        <is>
          <t>Structure</t>
        </is>
      </c>
      <c r="B12" s="7" t="inlineStr">
        <is>
          <t>4 sheet test case: 'UI Test Scenarios', 'UI Test Cases' (kiểm thử giao diện, theo từng màn hình Figma) và 'Functional Test Scenarios', 'Functional Test Cases' (kiểm thử logic nghiệp vụ backend &amp; tích hợp hệ thống: OMS, Retail Media, Computer Vision, Speech-to-Text, Cart, Analytics, Security). Sheet 'Summary' tổng hợp cả 2 bộ. Sheet 'Integration Points' và 'Test Data' hỗ trợ thực thi.</t>
        </is>
      </c>
    </row>
    <row r="13" ht="25.5" customHeight="1">
      <c r="A13" s="6" t="inlineStr">
        <is>
          <t>Related file — QnA Log</t>
        </is>
      </c>
      <c r="B13" s="7" t="inlineStr">
        <is>
          <t>MART_SmartSearch_QnA_Log_v1.1_20260817.xlsx (26 mục — dùng chung cho cả 2 bộ UI và Functional, không gộp vào file này để tránh trùng lặp khi nhiều BA/Dev cùng cập nhật).</t>
        </is>
      </c>
    </row>
    <row r="14">
      <c r="A14" s="6" t="inlineStr">
        <is>
          <t>Confidentiality</t>
        </is>
      </c>
      <c r="B14" s="7" t="inlineStr">
        <is>
          <t>Confidential / 대외비</t>
        </is>
      </c>
    </row>
    <row r="16">
      <c r="A16" s="6" t="inlineStr">
        <is>
          <t>Legend</t>
        </is>
      </c>
    </row>
    <row r="17" ht="25.5" customHeight="1">
      <c r="A17" s="6" t="inlineStr">
        <is>
          <t>UI Scenario/Test Case Type</t>
        </is>
      </c>
      <c r="B17" s="7" t="inlineStr">
        <is>
          <t>Normal · Boundary · Edge · Exception · No-result · Typo · Ranking · Sort · Filter · Sponsored · Functional · Performance</t>
        </is>
      </c>
    </row>
    <row r="18">
      <c r="A18" s="6" t="inlineStr">
        <is>
          <t>Functional Test Case Type</t>
        </is>
      </c>
      <c r="B18" s="7" t="inlineStr">
        <is>
          <t>Functional · Behavior · Integration · Boundary · Negative · Performance · Security</t>
        </is>
      </c>
    </row>
    <row r="19">
      <c r="A19" s="6" t="inlineStr">
        <is>
          <t>Test Result (Summary sheet)</t>
        </is>
      </c>
      <c r="B19" s="7" t="inlineStr">
        <is>
          <t>Pass / Fail / Blocked / N/A</t>
        </is>
      </c>
    </row>
    <row r="20">
      <c r="A20" s="6" t="inlineStr">
        <is>
          <t>Yellow columns</t>
        </is>
      </c>
      <c r="B20" s="7" t="inlineStr">
        <is>
          <t>Trường theo dõi thực thi để QA điền (Actual Result, Pass/Fail Status, Tester, Test Date)</t>
        </is>
      </c>
    </row>
    <row r="21">
      <c r="A21" s="6" t="inlineStr">
        <is>
          <t>QnA Ref column</t>
        </is>
      </c>
      <c r="B21" s="7" t="inlineStr">
        <is>
          <t>Mã tham chiếu tới file QnA log khi test case liên quan tới điểm chưa chốt (Expected Result có thể ghi TBD).</t>
        </is>
      </c>
    </row>
    <row r="23" ht="90" customHeight="1">
      <c r="A23" s="6" t="inlineStr">
        <is>
          <t>Revision Note (v3.0)</t>
        </is>
      </c>
      <c r="B23" s="7" t="inlineStr">
        <is>
          <t>v3.0 (18-Aug-2026): Gộp MART_SmartSearch_UI_TestCases_v2.2 và MART_SmartSearch_Functional_Integration_TestCases_v1.0 thành 1 workbook duy nhất theo yêu cầu, để QC/BA/PM chỉ cần quản lý 1 file cho toàn bộ phạm vi kiểm thử Smart Search (UI + Backend/Integration). Nội dung từng bộ giữ nguyên không đổi so với bản gốc — chỉ thay đổi cách tổ chức file. Sheet Summary được viết lại để tổng hợp số liệu của cả 2 bộ.</t>
        </is>
      </c>
    </row>
    <row r="25">
      <c r="A25" s="6" t="inlineStr">
        <is>
          <t>Change History</t>
        </is>
      </c>
    </row>
    <row r="26">
      <c r="A26" t="inlineStr">
        <is>
          <t>Version</t>
        </is>
      </c>
      <c r="B26" t="inlineStr">
        <is>
          <t>Date</t>
        </is>
      </c>
      <c r="C26" t="inlineStr">
        <is>
          <t>Author</t>
        </is>
      </c>
      <c r="D26" t="inlineStr">
        <is>
          <t>Change</t>
        </is>
      </c>
    </row>
    <row r="27" ht="165.75" customHeight="1">
      <c r="A27" s="7" t="inlineStr">
        <is>
          <t>v1.0-v1.2</t>
        </is>
      </c>
      <c r="B27" s="7" t="inlineStr">
        <is>
          <t>19 Jul - 04 Aug 2026</t>
        </is>
      </c>
      <c r="C27" s="7" t="inlineStr">
        <is>
          <t>BA/QC Team</t>
        </is>
      </c>
      <c r="D27" s="7" t="inlineStr">
        <is>
          <t>Bộ test case cấp logic nghiệp vụ ban đầu (96 kịch bản/142 TC), theo BRD v0.0.2.</t>
        </is>
      </c>
    </row>
    <row r="28" ht="229.5" customHeight="1">
      <c r="A28" s="7" t="inlineStr">
        <is>
          <t>v2.0-v2.2</t>
        </is>
      </c>
      <c r="B28" s="7" t="inlineStr">
        <is>
          <t>17 Aug 2026</t>
        </is>
      </c>
      <c r="C28" s="7" t="inlineStr">
        <is>
          <t>QC Team</t>
        </is>
      </c>
      <c r="D28" s="7" t="inlineStr">
        <is>
          <t>Bộ UI Test Cases mới theo BRD v0.0.3 + Storyboard Figma v0.1, mở rộng qua 3 lần review (68 kịch bản/102 TC).</t>
        </is>
      </c>
    </row>
    <row r="29" ht="165.75" customHeight="1">
      <c r="A29" s="7" t="inlineStr">
        <is>
          <t>Functional v1.0</t>
        </is>
      </c>
      <c r="B29" s="7" t="inlineStr">
        <is>
          <t>17 Aug 2026</t>
        </is>
      </c>
      <c r="C29" s="7" t="inlineStr">
        <is>
          <t>QC Team</t>
        </is>
      </c>
      <c r="D29" s="7" t="inlineStr">
        <is>
          <t>Bộ Functional/Behavior/System Integration Test Cases mới (20 kịch bản/29 TC, 14 module).</t>
        </is>
      </c>
    </row>
    <row r="30" ht="153" customHeight="1">
      <c r="A30" s="7" t="inlineStr">
        <is>
          <t>v3.0</t>
        </is>
      </c>
      <c r="B30" s="7" t="inlineStr">
        <is>
          <t>18 Aug 2026</t>
        </is>
      </c>
      <c r="C30" s="7" t="inlineStr">
        <is>
          <t>QC Team</t>
        </is>
      </c>
      <c r="D30" s="7" t="inlineStr">
        <is>
          <t>Gộp UI Test Cases + Functional/Integration Test Cases thành 1 workbook duy nhất — file này.</t>
        </is>
      </c>
    </row>
  </sheetData>
  <mergeCells count="1">
    <mergeCell ref="A1:B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filterMode="1">
    <outlinePr summaryBelow="1" summaryRight="1"/>
    <pageSetUpPr/>
  </sheetPr>
  <dimension ref="A1:P70"/>
  <sheetViews>
    <sheetView showGridLines="0" tabSelected="1" topLeftCell="D1" zoomScale="90" zoomScaleNormal="90" workbookViewId="0">
      <pane ySplit="2" topLeftCell="A3" activePane="bottomLeft" state="frozen"/>
      <selection pane="bottomLeft" activeCell="D5" sqref="A5:XFD5"/>
    </sheetView>
  </sheetViews>
  <sheetFormatPr baseColWidth="8" defaultColWidth="8.7109375" defaultRowHeight="15"/>
  <cols>
    <col width="5" customWidth="1" min="1" max="1"/>
    <col width="16" customWidth="1" min="2" max="2"/>
    <col width="12" customWidth="1" min="3" max="3"/>
    <col width="26" customWidth="1" min="4" max="5"/>
    <col width="12" customWidth="1" min="6" max="6"/>
    <col width="30" customWidth="1" min="7" max="7"/>
    <col width="22" customWidth="1" min="8" max="8"/>
    <col width="24" customWidth="1" min="9" max="9"/>
    <col width="40" customWidth="1" min="10" max="10"/>
    <col width="34" customWidth="1" min="11" max="11"/>
    <col width="10" customWidth="1" min="12" max="14"/>
    <col width="12" customWidth="1" min="15" max="15"/>
    <col width="42" customWidth="1" min="16" max="16"/>
  </cols>
  <sheetData>
    <row r="1" ht="21.75" customHeight="1">
      <c r="A1" s="3" t="inlineStr">
        <is>
          <t>Smart Search — UI Test Scenario Register</t>
        </is>
      </c>
    </row>
    <row r="2" ht="25.5" customHeight="1">
      <c r="A2" s="8" t="inlineStr">
        <is>
          <t>No</t>
        </is>
      </c>
      <c r="B2" s="8" t="inlineStr">
        <is>
          <t>Scenario ID</t>
        </is>
      </c>
      <c r="C2" s="8" t="inlineStr">
        <is>
          <t>Screen ID</t>
        </is>
      </c>
      <c r="D2" s="8" t="inlineStr">
        <is>
          <t>Capability Area</t>
        </is>
      </c>
      <c r="E2" s="8" t="inlineStr">
        <is>
          <t>REQ ID (BRD/Storyboard)</t>
        </is>
      </c>
      <c r="F2" s="8" t="inlineStr">
        <is>
          <t>Scenario Type</t>
        </is>
      </c>
      <c r="G2" s="8" t="inlineStr">
        <is>
          <t>User Action</t>
        </is>
      </c>
      <c r="H2" s="8" t="inlineStr">
        <is>
          <t>Input</t>
        </is>
      </c>
      <c r="I2" s="8" t="inlineStr">
        <is>
          <t>Preconditions</t>
        </is>
      </c>
      <c r="J2" s="8" t="inlineStr">
        <is>
          <t>Expected Output</t>
        </is>
      </c>
      <c r="K2" s="8" t="inlineStr">
        <is>
          <t>Acceptance Criteria</t>
        </is>
      </c>
      <c r="L2" s="8" t="inlineStr">
        <is>
          <t>QnA Ref</t>
        </is>
      </c>
      <c r="M2" s="8" t="inlineStr">
        <is>
          <t>Test Result</t>
        </is>
      </c>
      <c r="N2" s="8" t="inlineStr">
        <is>
          <t>Tester</t>
        </is>
      </c>
      <c r="O2" s="8" t="inlineStr">
        <is>
          <t>Test Date</t>
        </is>
      </c>
      <c r="P2" s="8" t="inlineStr">
        <is>
          <t>Comments</t>
        </is>
      </c>
    </row>
    <row r="3" ht="63.75" customHeight="1">
      <c r="A3" s="9" t="n">
        <v>1</v>
      </c>
      <c r="B3" s="9" t="inlineStr">
        <is>
          <t>SS-SCR-001-SC1</t>
        </is>
      </c>
      <c r="C3" s="9" t="inlineStr">
        <is>
          <t>SS-SCR-001</t>
        </is>
      </c>
      <c r="D3" s="9" t="inlineStr">
        <is>
          <t>A. Search Bar &amp; Pre-search</t>
        </is>
      </c>
      <c r="E3" s="9" t="inlineStr">
        <is>
          <t>FR-SP-02, FR-IS-02, FR-VS-02, FR-PS-01, FR-PS-02, FR-PS-03, FR-PS-04</t>
        </is>
      </c>
      <c r="F3" s="9" t="inlineStr">
        <is>
          <t>Normal</t>
        </is>
      </c>
      <c r="G3" s="9" t="inlineStr">
        <is>
          <t>Mở app, chạm vào Search Bar / icon Mic / icon Camera / icon Giỏ hàng trên Global Header.</t>
        </is>
      </c>
      <c r="H3" s="9" t="inlineStr">
        <is>
          <t>Chạm lần lượt: Search Bar, Mic, Camera, Cart</t>
        </is>
      </c>
      <c r="I3" s="9" t="inlineStr">
        <is>
          <t>App đã mở, ở bất kỳ màn hình nào có Global Header.</t>
        </is>
      </c>
      <c r="J3" s="9" t="inlineStr">
        <is>
          <t>Chạm Search Bar mở Autocomplete (SS-SCR-002); chạm Mic mở Voice Listening (SS-SCR-017); chạm Camera mở Camera Capture (SS-SCR-013); chạm Cart mở trang Giỏ hàng, badge hiển thị đúng số lượng.</t>
        </is>
      </c>
      <c r="K3" s="16" t="inlineStr">
        <is>
          <t>Cả 4 điểm chạm điều hướng đúng màn hình đích, không có độ trễ &gt; 300ms.</t>
        </is>
      </c>
      <c r="L3" s="9" t="n"/>
      <c r="M3" s="10" t="n"/>
      <c r="N3" s="10" t="n"/>
      <c r="O3" s="10" t="n"/>
      <c r="P3" s="9" t="n"/>
    </row>
    <row r="4" ht="63.75" customHeight="1">
      <c r="A4" s="9" t="n">
        <v>2</v>
      </c>
      <c r="B4" s="9" t="inlineStr">
        <is>
          <t>SS-SCR-001-SC2</t>
        </is>
      </c>
      <c r="C4" s="9" t="inlineStr">
        <is>
          <t>SS-SCR-001</t>
        </is>
      </c>
      <c r="D4" s="9" t="inlineStr">
        <is>
          <t>A. Search Bar &amp; Pre-search</t>
        </is>
      </c>
      <c r="E4" s="9" t="inlineStr">
        <is>
          <t>FR-SP-02, FR-IS-02, FR-VS-02, FR-PS-01, FR-PS-02, FR-PS-03, FR-PS-04</t>
        </is>
      </c>
      <c r="F4" s="9" t="inlineStr">
        <is>
          <t>Boundary</t>
        </is>
      </c>
      <c r="G4" s="9" t="inlineStr">
        <is>
          <t>Kiểm tra khối "Tìm kiếm gần đây" ở các mức số lượng từ khoá khác nhau.</t>
        </is>
      </c>
      <c r="H4" s="9" t="inlineStr">
        <is>
          <t>0 từ khoá / 10 từ khoá / 11 từ khoá (thêm mới)</t>
        </is>
      </c>
      <c r="I4" s="9" t="inlineStr">
        <is>
          <t>Local Storage của thiết bị chứa lịch sử tìm kiếm.</t>
        </is>
      </c>
      <c r="J4" s="9" t="inlineStr">
        <is>
          <t>0 từ khoá → ẩn toàn bộ khối (kể cả header); 10 từ khoá → hiển thị đủ 10, mới nhất đứng đầu; thêm từ khoá thứ 11 → từ khoá cũ nhất (FIFO) bị loại khỏi danh sách, tổng vẫn giữ 10.</t>
        </is>
      </c>
      <c r="K4" s="9" t="inlineStr">
        <is>
          <t>Danh sách luôn ≤10 phần tử, thứ tự mới nhất → cũ nhất, cơ chế FIFO đúng khi vượt ngưỡng.</t>
        </is>
      </c>
      <c r="L4" s="9" t="n"/>
      <c r="M4" s="10" t="n"/>
      <c r="N4" s="10" t="n"/>
      <c r="O4" s="10" t="n"/>
      <c r="P4" s="9" t="n"/>
    </row>
    <row r="5" ht="63.75" customHeight="1">
      <c r="A5" s="11" t="n">
        <v>3</v>
      </c>
      <c r="B5" s="11" t="inlineStr">
        <is>
          <t>SS-SCR-001-SC3</t>
        </is>
      </c>
      <c r="C5" s="11" t="inlineStr">
        <is>
          <t>SS-SCR-001</t>
        </is>
      </c>
      <c r="D5" s="11" t="inlineStr">
        <is>
          <t>A. Search Bar &amp; Pre-search</t>
        </is>
      </c>
      <c r="E5" s="11" t="inlineStr">
        <is>
          <t>FR-SP-02, FR-IS-02, FR-VS-02, FR-PS-01, FR-PS-02, FR-PS-03, FR-PS-04</t>
        </is>
      </c>
      <c r="F5" s="11" t="inlineStr">
        <is>
          <t>Normal</t>
        </is>
      </c>
      <c r="G5" s="11" t="inlineStr">
        <is>
          <t>Kiểm tra khối "Xu hướng tìm kiếm" (Trending).</t>
        </is>
      </c>
      <c r="H5" s="11" t="inlineStr">
        <is>
          <t>Hệ thống truy vấn Top 10 từ khoá trending; hiển thị Top 5</t>
        </is>
      </c>
      <c r="I5" s="11" t="inlineStr">
        <is>
          <t>Dữ liệu truy vấn 7 ngày gần nhất có sẵn; có từ khoá vi phạm profanity filter trong tập thô.</t>
        </is>
      </c>
      <c r="J5" s="11" t="inlineStr">
        <is>
          <t>Danh sách hiển thị đúng Top 5 (đã xác nhận qua QnA-17), #1–#3 có icon 🔥 màu đỏ, #4–#5 icon xu hướng màu xám; không có từ khoá nào trả về 0 kết quả; không có từ khoá vi phạm profanity filter. Hệ thống vẫn truy vấn Top 10 nội bộ — 5 từ khoá còn lại (#6–#10) dùng làm nguồn cho placeholder xoay vòng của Search Bar (FR-PS-04, xem SS-SCR-001-SC5).</t>
        </is>
      </c>
      <c r="K5" s="17" t="inlineStr">
        <is>
          <t>Đúng thứ hạng theo Trending Score (Volume + Velocity); 100% từ khoá hiển thị có kết quả &gt; 0; 0% từ khoá vi phạm bộ lọc từ cấm.</t>
        </is>
      </c>
      <c r="L5" s="11" t="n"/>
      <c r="M5" s="10" t="n"/>
      <c r="N5" s="10" t="n"/>
      <c r="O5" s="10" t="n"/>
      <c r="P5" s="11" t="n"/>
    </row>
    <row r="6" ht="89.25" customHeight="1">
      <c r="A6" s="11" t="n">
        <v>4</v>
      </c>
      <c r="B6" s="11" t="inlineStr">
        <is>
          <t>SS-SCR-001-SC4</t>
        </is>
      </c>
      <c r="C6" s="11" t="inlineStr">
        <is>
          <t>SS-SCR-001</t>
        </is>
      </c>
      <c r="D6" s="11" t="inlineStr">
        <is>
          <t>A. Search Bar &amp; Pre-search</t>
        </is>
      </c>
      <c r="E6" s="11" t="inlineStr">
        <is>
          <t>FR-SP-02, FR-IS-02, FR-VS-02, FR-PS-01, FR-PS-02, FR-PS-03, FR-PS-04</t>
        </is>
      </c>
      <c r="F6" s="11" t="inlineStr">
        <is>
          <t>Ranking</t>
        </is>
      </c>
      <c r="G6" s="11" t="inlineStr">
        <is>
          <t>Kiểm tra khối "Thường mua" (Frequently Purchased) cho Thành viên vs Khách vãng lai.</t>
        </is>
      </c>
      <c r="H6" s="11" t="inlineStr">
        <is>
          <t>Tài khoản Thành viên có lịch sử đơn hàng COMPLETED trong 90 ngày / Khách vãng lai (chưa đăng nhập)</t>
        </is>
      </c>
      <c r="I6" s="11" t="inlineStr">
        <is>
          <t>OMS có dữ liệu Order History; tồn kho một số SKU = 0.</t>
        </is>
      </c>
      <c r="J6" s="11" t="inlineStr">
        <is>
          <t>Thành viên: hiển thị Top 10 SKU còn hàng (stock&gt;0), sắp theo số lượng Order (Order Count, KHÔNG theo Item Quantity) giảm dần; SKU hết hàng không lọt vào Top 10 đầu, hệ thống load tiếp lô kế tiếp khi user lướt hết. Khách vãng lai: hành vi hiện TBD — xem QnA-01.</t>
        </is>
      </c>
      <c r="K6" s="11" t="inlineStr">
        <is>
          <t>Đúng thứ tự theo Order Count; SKU hết hàng bị loại khỏi lô hiển thị đầu; khối hoàn toàn không xuất hiện với dữ liệu PII thô nào ngoài Product_ID.</t>
        </is>
      </c>
      <c r="L6" s="11" t="inlineStr">
        <is>
          <t>QnA-01</t>
        </is>
      </c>
      <c r="M6" s="10" t="n"/>
      <c r="N6" s="10" t="n"/>
      <c r="O6" s="10" t="n"/>
      <c r="P6" s="11" t="inlineStr">
        <is>
          <t>OPEN — QnA-01: xem chi tiết trong file QnA log.</t>
        </is>
      </c>
    </row>
    <row r="7" ht="63.75" customHeight="1">
      <c r="A7" s="9" t="n">
        <v>5</v>
      </c>
      <c r="B7" s="9" t="inlineStr">
        <is>
          <t>SS-SCR-001-SC5</t>
        </is>
      </c>
      <c r="C7" s="9" t="inlineStr">
        <is>
          <t>SS-SCR-001</t>
        </is>
      </c>
      <c r="D7" s="9" t="inlineStr">
        <is>
          <t>A. Search Bar &amp; Pre-search</t>
        </is>
      </c>
      <c r="E7" s="9" t="inlineStr">
        <is>
          <t>FR-SP-02, FR-IS-02, FR-VS-02, FR-PS-01, FR-PS-02, FR-PS-03, FR-PS-04</t>
        </is>
      </c>
      <c r="F7" s="9" t="inlineStr">
        <is>
          <t>Normal</t>
        </is>
      </c>
      <c r="G7" s="9" t="inlineStr">
        <is>
          <t>Kiểm tra Placeholder xoay vòng trên ô nhập Search Bar khi chưa gõ gì.</t>
        </is>
      </c>
      <c r="H7" s="9" t="inlineStr">
        <is>
          <t>Placeholder rotating theo danh sách Xu hướng tìm kiếm</t>
        </is>
      </c>
      <c r="I7" s="9" t="inlineStr">
        <is>
          <t>Search Bar rỗng, chưa focus; danh sách Trending đã có dữ liệu.</t>
        </is>
      </c>
      <c r="J7" s="9" t="inlineStr">
        <is>
          <t>Placeholder text đổi từ khoá hot mỗi 3 giây, nguồn dữ liệu đồng bộ trực tiếp từ khối Xu hướng tìm kiếm (FR-PS-02).</t>
        </is>
      </c>
      <c r="K7" s="9" t="inlineStr">
        <is>
          <t>Chu kỳ đổi placeholder đúng 3 giây ± dung sai hợp lý; nội dung placeholder luôn nằm trong tập từ khoá trending hiện có, không hiển thị khi ô nhập đã có nội dung/đang focus.</t>
        </is>
      </c>
      <c r="L7" s="9" t="n"/>
      <c r="M7" s="10" t="n"/>
      <c r="N7" s="10" t="n"/>
      <c r="O7" s="10" t="n"/>
      <c r="P7" s="9" t="n"/>
    </row>
    <row r="8" ht="51" customHeight="1">
      <c r="A8" s="11" t="n">
        <v>6</v>
      </c>
      <c r="B8" s="11" t="inlineStr">
        <is>
          <t>SS-SCR-001-SC6</t>
        </is>
      </c>
      <c r="C8" s="11" t="inlineStr">
        <is>
          <t>SS-SCR-001</t>
        </is>
      </c>
      <c r="D8" s="11" t="inlineStr">
        <is>
          <t>A. Search Bar &amp; Pre-search</t>
        </is>
      </c>
      <c r="E8" s="11" t="inlineStr">
        <is>
          <t>FR-SP-02, FR-IS-02, FR-VS-02, FR-PS-01, FR-PS-02, FR-PS-03, FR-PS-04</t>
        </is>
      </c>
      <c r="F8" s="11" t="inlineStr">
        <is>
          <t>Boundary</t>
        </is>
      </c>
      <c r="G8" s="11" t="inlineStr">
        <is>
          <t>Kiểm tra badge số lượng Giỏ hàng ở các mức 0 / 1-98 / 99+.</t>
        </is>
      </c>
      <c r="H8" s="11" t="inlineStr">
        <is>
          <t>0 sản phẩm / 45 sản phẩm / 130 sản phẩm trong giỏ</t>
        </is>
      </c>
      <c r="I8" s="11" t="inlineStr">
        <is>
          <t>Global Header hiển thị trên mọi màn hình.</t>
        </is>
      </c>
      <c r="J8" s="11" t="inlineStr">
        <is>
          <t>0 sản phẩm: badge ẩn hoàn toàn. 1-98: hiện đúng số. ≥99: hiển thị dạng rút gọn — định dạng cụ thể ("99+") chưa được BRD/Storyboard quy định.</t>
        </is>
      </c>
      <c r="K8" s="11" t="inlineStr">
        <is>
          <t>Badge không hiển thị số 0; không tràn UI khi số lớn.</t>
        </is>
      </c>
      <c r="L8" s="11" t="inlineStr">
        <is>
          <t>QnA-25</t>
        </is>
      </c>
      <c r="M8" s="10" t="n"/>
      <c r="N8" s="10" t="n"/>
      <c r="O8" s="10" t="n"/>
      <c r="P8" s="11" t="inlineStr">
        <is>
          <t>OPEN — QnA-25: xem chi tiết trong file QnA log.</t>
        </is>
      </c>
    </row>
    <row r="9" ht="51" customHeight="1">
      <c r="A9" s="9" t="n">
        <v>7</v>
      </c>
      <c r="B9" s="9" t="inlineStr">
        <is>
          <t>SS-SCR-001-SC7</t>
        </is>
      </c>
      <c r="C9" s="9" t="inlineStr">
        <is>
          <t>SS-SCR-001</t>
        </is>
      </c>
      <c r="D9" s="9" t="inlineStr">
        <is>
          <t>A. Search Bar &amp; Pre-search</t>
        </is>
      </c>
      <c r="E9" s="9" t="inlineStr">
        <is>
          <t>FR-SP-02, FR-IS-02, FR-VS-02, FR-PS-01, FR-PS-02, FR-PS-03, FR-PS-04</t>
        </is>
      </c>
      <c r="F9" s="9" t="inlineStr">
        <is>
          <t>Functional</t>
        </is>
      </c>
      <c r="G9" s="9" t="inlineStr">
        <is>
          <t>Tương tác với Product Card trong khối "Thường mua": tap card mở PDP, tap (+) thêm nhanh.</t>
        </is>
      </c>
      <c r="H9" s="9" t="inlineStr">
        <is>
          <t>Tap vào card sản phẩm / tap nút (+)</t>
        </is>
      </c>
      <c r="I9" s="9" t="inlineStr">
        <is>
          <t>Đã đăng nhập, khối "Thường mua" hiển thị ≥1 sản phẩm.</t>
        </is>
      </c>
      <c r="J9" s="9" t="inlineStr">
        <is>
          <t>Tap card mở đúng trang PDP của sản phẩm đó; tap (+) thêm 1 đơn vị vào giỏ và hiện Toast (SS-SCR-011), không rời Pre-search.</t>
        </is>
      </c>
      <c r="K9" s="9" t="inlineStr">
        <is>
          <t>Điều hướng đúng PDP; add-to-cart không rời màn hình hiện tại.</t>
        </is>
      </c>
      <c r="L9" s="9" t="n"/>
      <c r="M9" s="10" t="n"/>
      <c r="N9" s="10" t="n"/>
      <c r="O9" s="10" t="n"/>
      <c r="P9" s="9" t="n"/>
    </row>
    <row r="10" ht="51" customHeight="1">
      <c r="A10" s="9" t="n">
        <v>8</v>
      </c>
      <c r="B10" s="9" t="inlineStr">
        <is>
          <t>SS-SCR-001-SC8</t>
        </is>
      </c>
      <c r="C10" s="9" t="inlineStr">
        <is>
          <t>SS-SCR-001</t>
        </is>
      </c>
      <c r="D10" s="9" t="inlineStr">
        <is>
          <t>A. Search Bar &amp; Pre-search</t>
        </is>
      </c>
      <c r="E10" s="9" t="inlineStr">
        <is>
          <t>FR-SP-02, FR-IS-02, FR-VS-02, FR-PS-01, FR-PS-02, FR-PS-03, FR-PS-04</t>
        </is>
      </c>
      <c r="F10" s="9" t="inlineStr">
        <is>
          <t>Boundary</t>
        </is>
      </c>
      <c r="G10" s="9" t="inlineStr">
        <is>
          <t>Tải thêm SKU trong khối "Thường mua" khi khách lướt hết Top 10 đầu tiên.</t>
        </is>
      </c>
      <c r="H10" s="9" t="inlineStr">
        <is>
          <t>Cuộn ngang hết 10 SKU đầu</t>
        </is>
      </c>
      <c r="I10" s="9" t="inlineStr">
        <is>
          <t>Khách hàng có &gt;10 SKU đủ điều kiện xếp vào "Thường mua".</t>
        </is>
      </c>
      <c r="J10" s="9" t="inlineStr">
        <is>
          <t>Theo FR-PS-03: sau khi lướt hết Top 10 hiển thị, hệ thống tải tiếp lô 10 SKU kế tiếp theo đúng thứ tự tần suất mua giảm dần, tiếp tục cho tới hết danh sách.</t>
        </is>
      </c>
      <c r="K10" s="9" t="inlineStr">
        <is>
          <t>Không trùng lặp SKU giữa các lô; dừng tải khi hết danh sách, không hiện loading vô hạn.</t>
        </is>
      </c>
      <c r="L10" s="9" t="n"/>
      <c r="M10" s="10" t="n"/>
      <c r="N10" s="10" t="n"/>
      <c r="O10" s="10" t="n"/>
      <c r="P10" s="9" t="n"/>
    </row>
    <row r="11" ht="51" customHeight="1">
      <c r="A11" s="11" t="n">
        <v>9</v>
      </c>
      <c r="B11" s="11" t="inlineStr">
        <is>
          <t>SS-SCR-001-SC9</t>
        </is>
      </c>
      <c r="C11" s="11" t="inlineStr">
        <is>
          <t>SS-SCR-001</t>
        </is>
      </c>
      <c r="D11" s="11" t="inlineStr">
        <is>
          <t>A. Search Bar &amp; Pre-search</t>
        </is>
      </c>
      <c r="E11" s="11" t="inlineStr">
        <is>
          <t>FR-SP-02, FR-IS-02, FR-VS-02, FR-PS-01, FR-PS-02, FR-PS-03, FR-PS-04</t>
        </is>
      </c>
      <c r="F11" s="11" t="inlineStr">
        <is>
          <t>Exception</t>
        </is>
      </c>
      <c r="G11" s="11" t="inlineStr">
        <is>
          <t>Lỗi mạng khi tải khối Trending/Thường mua ngay tại Pre-search (trước khi khách thực hiện bất kỳ tìm kiếm nào).</t>
        </is>
      </c>
      <c r="H11" s="11" t="inlineStr">
        <is>
          <t>Mất kết nối mạng khi mở Pre-search Screen</t>
        </is>
      </c>
      <c r="I11" s="11" t="inlineStr">
        <is>
          <t>Thiết bị test có thể giả lập mất mạng.</t>
        </is>
      </c>
      <c r="J11" s="11" t="inlineStr">
        <is>
          <t>Chưa có tài liệu quy định hành vi UI cụ thể cho trường hợp này (khác với lỗi mạng lúc xử lý tìm kiếm ở SS-SCR-004, đã có quy định &gt;5s → thông báo lỗi + Thử lại).</t>
        </is>
      </c>
      <c r="K11" s="11" t="inlineStr">
        <is>
          <t>Không được để trắng toàn bộ Pre-search hay crash app.</t>
        </is>
      </c>
      <c r="L11" s="11" t="inlineStr">
        <is>
          <t>QnA-26</t>
        </is>
      </c>
      <c r="M11" s="10" t="n"/>
      <c r="N11" s="10" t="n"/>
      <c r="O11" s="10" t="n"/>
      <c r="P11" s="11" t="inlineStr">
        <is>
          <t>OPEN — QnA-26: xem chi tiết trong file QnA log.</t>
        </is>
      </c>
    </row>
    <row r="12" hidden="1" ht="63.75" customHeight="1">
      <c r="A12" s="9" t="n">
        <v>10</v>
      </c>
      <c r="B12" s="9" t="inlineStr">
        <is>
          <t>SS-SCR-002-SC1</t>
        </is>
      </c>
      <c r="C12" s="9" t="inlineStr">
        <is>
          <t>SS-SCR-002</t>
        </is>
      </c>
      <c r="D12" s="9" t="inlineStr">
        <is>
          <t>B. Autocomplete</t>
        </is>
      </c>
      <c r="E12" s="9" t="inlineStr">
        <is>
          <t>FR-SP-01, FR-GD-02</t>
        </is>
      </c>
      <c r="F12" s="9" t="inlineStr">
        <is>
          <t>Normal</t>
        </is>
      </c>
      <c r="G12" s="9" t="inlineStr">
        <is>
          <t>Gõ từ khoá, quan sát danh sách gợi ý autocomplete.</t>
        </is>
      </c>
      <c r="H12" s="9" t="inlineStr">
        <is>
          <t>"sữa"</t>
        </is>
      </c>
      <c r="I12" s="9" t="inlineStr">
        <is>
          <t>Search bar auto-focus, bàn phím hệ thống hiện sẵn.</t>
        </is>
      </c>
      <c r="J12" s="9" t="inlineStr">
        <is>
          <t>Sau debounce 300ms, tối đa 10 dòng gợi ý hiện ra, sắp theo search volume giảm dần, phần khớp với chuỗi đang gõ được in đậm; danh sách nằm trọn phía trên bàn phím, không bị che.</t>
        </is>
      </c>
      <c r="K12" s="9" t="inlineStr">
        <is>
          <t>Độ trễ hiển thị ≤300ms sau khi dừng gõ 300ms (P95, NFR-002); ≤10 dòng; highlight đúng vị trí ký tự khớp.</t>
        </is>
      </c>
      <c r="L12" s="9" t="n"/>
      <c r="M12" s="10" t="n"/>
      <c r="N12" s="10" t="n"/>
      <c r="O12" s="10" t="n"/>
      <c r="P12" s="9" t="n"/>
    </row>
    <row r="13" hidden="1" ht="51" customHeight="1">
      <c r="A13" s="9" t="n">
        <v>11</v>
      </c>
      <c r="B13" s="9" t="inlineStr">
        <is>
          <t>SS-SCR-002-SC2</t>
        </is>
      </c>
      <c r="C13" s="9" t="inlineStr">
        <is>
          <t>SS-SCR-002</t>
        </is>
      </c>
      <c r="D13" s="9" t="inlineStr">
        <is>
          <t>B. Autocomplete</t>
        </is>
      </c>
      <c r="E13" s="9" t="inlineStr">
        <is>
          <t>FR-SP-01, FR-GD-02</t>
        </is>
      </c>
      <c r="F13" s="9" t="inlineStr">
        <is>
          <t>Edge</t>
        </is>
      </c>
      <c r="G13" s="9" t="inlineStr">
        <is>
          <t>Gõ 1 ký tự và API không trả gợi ý nào.</t>
        </is>
      </c>
      <c r="H13" s="9" t="inlineStr">
        <is>
          <t>"x" (không khớp gợi ý nào)</t>
        </is>
      </c>
      <c r="I13" s="9" t="inlineStr">
        <is>
          <t>Catalogue đã index; API trả rỗng cho input này.</t>
        </is>
      </c>
      <c r="J13" s="9" t="inlineStr">
        <is>
          <t>Danh sách gợi ý bị ẩn hoàn toàn, màn hình Pre-search bên dưới vẫn nguyên trạng, KHÔNG hiển thị trạng thái "không có gợi ý"/rỗng.</t>
        </is>
      </c>
      <c r="K13" s="9" t="inlineStr">
        <is>
          <t>Không có UI trạng thái trống nào xuất hiện; Pre-search giữ nguyên nội dung phía sau lớp Autocomplete.</t>
        </is>
      </c>
      <c r="L13" s="9" t="n"/>
      <c r="M13" s="10" t="n"/>
      <c r="N13" s="10" t="n"/>
      <c r="O13" s="10" t="n"/>
      <c r="P13" s="9" t="n"/>
    </row>
    <row r="14" hidden="1" ht="63.75" customHeight="1">
      <c r="A14" s="9" t="n">
        <v>12</v>
      </c>
      <c r="B14" s="9" t="inlineStr">
        <is>
          <t>SS-SCR-002-SC3</t>
        </is>
      </c>
      <c r="C14" s="9" t="inlineStr">
        <is>
          <t>SS-SCR-002</t>
        </is>
      </c>
      <c r="D14" s="9" t="inlineStr">
        <is>
          <t>B. Autocomplete</t>
        </is>
      </c>
      <c r="E14" s="9" t="inlineStr">
        <is>
          <t>FR-SP-01, FR-GD-02</t>
        </is>
      </c>
      <c r="F14" s="9" t="inlineStr">
        <is>
          <t>Functional</t>
        </is>
      </c>
      <c r="G14" s="9" t="inlineStr">
        <is>
          <t>So sánh hành vi Tap gợi ý vs nhấn Enter trên bàn phím.</t>
        </is>
      </c>
      <c r="H14" s="9" t="inlineStr">
        <is>
          <t>Tap 1 dòng gợi ý / Gõ xong rồi nhấn Enter</t>
        </is>
      </c>
      <c r="I14" s="9" t="inlineStr">
        <is>
          <t>Danh sách gợi ý đang hiển thị.</t>
        </is>
      </c>
      <c r="J14" s="9" t="inlineStr">
        <is>
          <t>Tap gợi ý: đổ đúng từ khoá của dòng đó vào ô nhập, đóng bàn phím, chạy tìm kiếm theo từ khoá gợi ý. Nhấn Enter: tìm theo đúng chuỗi khách đang gõ (không phải chuỗi gợi ý đầu danh sách).</t>
        </is>
      </c>
      <c r="K14" s="9" t="inlineStr">
        <is>
          <t>2 hành vi phải cho ra 2 kết quả khác nhau nếu chuỗi gõ khác với gợi ý đầu tiên.</t>
        </is>
      </c>
      <c r="L14" s="9" t="n"/>
      <c r="M14" s="10" t="n"/>
      <c r="N14" s="10" t="n"/>
      <c r="O14" s="10" t="n"/>
      <c r="P14" s="9" t="n"/>
    </row>
    <row r="15" hidden="1" ht="51" customHeight="1">
      <c r="A15" s="9" t="n">
        <v>13</v>
      </c>
      <c r="B15" s="9" t="inlineStr">
        <is>
          <t>SS-SCR-002-SC4</t>
        </is>
      </c>
      <c r="C15" s="9" t="inlineStr">
        <is>
          <t>SS-SCR-002</t>
        </is>
      </c>
      <c r="D15" s="9" t="inlineStr">
        <is>
          <t>B. Autocomplete</t>
        </is>
      </c>
      <c r="E15" s="9" t="inlineStr">
        <is>
          <t>FR-SP-01, FR-GD-02</t>
        </is>
      </c>
      <c r="F15" s="9" t="inlineStr">
        <is>
          <t>Boundary</t>
        </is>
      </c>
      <c r="G15" s="9" t="inlineStr">
        <is>
          <t>Xoá dần ký tự trong ô nhập cho tới khi rỗng.</t>
        </is>
      </c>
      <c r="H15" s="9" t="inlineStr">
        <is>
          <t>Gõ "sữa" rồi xoá từng ký tự tới rỗng</t>
        </is>
      </c>
      <c r="I15" s="9" t="inlineStr">
        <is>
          <t>Đang ở Autocomplete Screen với gợi ý hiển thị.</t>
        </is>
      </c>
      <c r="J15" s="9" t="inlineStr">
        <is>
          <t>Danh sách gợi ý cập nhật lại theo từng ký tự còn lại; khi ô nhập về rỗng hoàn toàn, quay lại đúng trạng thái Pre-search (không phải danh sách gợi ý rỗng).</t>
        </is>
      </c>
      <c r="K15" s="9" t="inlineStr">
        <is>
          <t>Không có trạng thái trung gian bị treo/gợi ý cũ còn sót lại khi ô nhập đã rỗng.</t>
        </is>
      </c>
      <c r="L15" s="9" t="n"/>
      <c r="M15" s="10" t="n"/>
      <c r="N15" s="10" t="n"/>
      <c r="O15" s="10" t="n"/>
      <c r="P15" s="9" t="n"/>
    </row>
    <row r="16" hidden="1" ht="76.5" customHeight="1">
      <c r="A16" s="11" t="n">
        <v>14</v>
      </c>
      <c r="B16" s="11" t="inlineStr">
        <is>
          <t>SS-SCR-002-SC5</t>
        </is>
      </c>
      <c r="C16" s="11" t="inlineStr">
        <is>
          <t>SS-SCR-002</t>
        </is>
      </c>
      <c r="D16" s="11" t="inlineStr">
        <is>
          <t>B. Autocomplete</t>
        </is>
      </c>
      <c r="E16" s="11" t="inlineStr">
        <is>
          <t>FR-SP-01, FR-GD-02</t>
        </is>
      </c>
      <c r="F16" s="11" t="inlineStr">
        <is>
          <t>Edge</t>
        </is>
      </c>
      <c r="G16" s="11" t="inlineStr">
        <is>
          <t>Nhập chuỗi ký tự đặc biệt / emoji / chuỗi rất dài vào ô tìm kiếm.</t>
        </is>
      </c>
      <c r="H16" s="11" t="inlineStr">
        <is>
          <t>"@@@###!!!" / 😀🥛 / chuỗi 200 ký tự lặp lại</t>
        </is>
      </c>
      <c r="I16" s="11" t="inlineStr">
        <is>
          <t>Search Bar đang focus.</t>
        </is>
      </c>
      <c r="J16" s="11" t="inlineStr">
        <is>
          <t>Hệ thống không crash; với ký tự đặc biệt/emoji trả về gợi ý rỗng (ẩn danh sách theo đúng quy tắc "API rỗng"); chuỗi vượt quá độ dài tối đa cho phép bị giới hạn nhập hoặc bị cắt — giới hạn cụ thể (số ký tự tối đa) chưa được BRD quy định.</t>
        </is>
      </c>
      <c r="K16" s="11" t="inlineStr">
        <is>
          <t>Không crash; không gửi request gây lỗi 5xx; UI luôn ở trạng thái ổn định.</t>
        </is>
      </c>
      <c r="L16" s="11" t="inlineStr">
        <is>
          <t>QnA-04</t>
        </is>
      </c>
      <c r="M16" s="10" t="n"/>
      <c r="N16" s="10" t="n"/>
      <c r="O16" s="10" t="n"/>
      <c r="P16" s="11" t="inlineStr">
        <is>
          <t>OPEN — QnA-04: xem chi tiết trong file QnA log.</t>
        </is>
      </c>
    </row>
    <row r="17" hidden="1" ht="63.75" customHeight="1">
      <c r="A17" s="9" t="n">
        <v>15</v>
      </c>
      <c r="B17" s="9" t="inlineStr">
        <is>
          <t>SS-SCR-002-SC6</t>
        </is>
      </c>
      <c r="C17" s="9" t="inlineStr">
        <is>
          <t>SS-SCR-002</t>
        </is>
      </c>
      <c r="D17" s="9" t="inlineStr">
        <is>
          <t>B. Autocomplete</t>
        </is>
      </c>
      <c r="E17" s="9" t="inlineStr">
        <is>
          <t>FR-SP-01, FR-GD-02</t>
        </is>
      </c>
      <c r="F17" s="9" t="inlineStr">
        <is>
          <t>Exception</t>
        </is>
      </c>
      <c r="G17" s="9" t="inlineStr">
        <is>
          <t>API gợi ý bị timeout/lỗi mạng khi đang gõ.</t>
        </is>
      </c>
      <c r="H17" s="9" t="inlineStr">
        <is>
          <t>Gõ "sữa" trong lúc backend gợi ý trả lỗi 5xx/timeout</t>
        </is>
      </c>
      <c r="I17" s="9" t="inlineStr">
        <is>
          <t>Giả lập lỗi mạng cho endpoint autocomplete.</t>
        </is>
      </c>
      <c r="J17" s="9" t="inlineStr">
        <is>
          <t>Không crash; danh sách gợi ý không hiển thị (coi như rỗng); Pre-search/trạng thái trước đó không bị phá vỡ; khách vẫn có thể nhấn Enter để tìm kiếm trực tiếp (không phụ thuộc autocomplete).</t>
        </is>
      </c>
      <c r="K17" s="9" t="inlineStr">
        <is>
          <t>Lỗi autocomplete không được chặn luồng tìm kiếm chính (Enter vẫn hoạt động).</t>
        </is>
      </c>
      <c r="L17" s="9" t="n"/>
      <c r="M17" s="10" t="n"/>
      <c r="N17" s="10" t="n"/>
      <c r="O17" s="10" t="n"/>
      <c r="P17" s="9" t="n"/>
    </row>
    <row r="18" hidden="1" ht="76.5" customHeight="1">
      <c r="A18" s="9" t="n">
        <v>16</v>
      </c>
      <c r="B18" s="9" t="inlineStr">
        <is>
          <t>SS-SCR-003-SC1</t>
        </is>
      </c>
      <c r="C18" s="9" t="inlineStr">
        <is>
          <t>SS-SCR-003</t>
        </is>
      </c>
      <c r="D18" s="9" t="inlineStr">
        <is>
          <t>C. Auto-Correct Banner</t>
        </is>
      </c>
      <c r="E18" s="9" t="inlineStr">
        <is>
          <t>FR-AC-01, FR-AC-03</t>
        </is>
      </c>
      <c r="F18" s="9" t="inlineStr">
        <is>
          <t>Typo</t>
        </is>
      </c>
      <c r="G18" s="9" t="inlineStr">
        <is>
          <t>Gõ một chuỗi sai chính tả có fuzzy-match hợp lệ.</t>
        </is>
      </c>
      <c r="H18" s="9" t="inlineStr">
        <is>
          <t>"sua toui"</t>
        </is>
      </c>
      <c r="I18" s="9" t="inlineStr">
        <is>
          <t>Bộ so khớp mờ (fuzzy match) đang hoạt động.</t>
        </is>
      </c>
      <c r="J18" s="9" t="inlineStr">
        <is>
          <t>Ô nhập giữ nguyên "sua toui" (không tự ghi đè); banner "Chúng tôi đã tìm từ khoá chính xác hơn cho bạn" xuất hiện với liên kết "Bạn muốn tìm 'sữa tươi'?"; danh sách autocomplete theo từ đã chuẩn hoá hiển thị bên dưới banner.</t>
        </is>
      </c>
      <c r="K18" s="9" t="inlineStr">
        <is>
          <t>Input field không bị hệ thống tự động ghi đè; banner chỉ đề xuất, việc chuyển hướng chỉ xảy ra khi khách chủ động tap.</t>
        </is>
      </c>
      <c r="L18" s="9" t="n"/>
      <c r="M18" s="10" t="n"/>
      <c r="N18" s="10" t="n"/>
      <c r="O18" s="10" t="n"/>
      <c r="P18" s="9" t="n"/>
    </row>
    <row r="19" hidden="1" ht="38.25" customHeight="1">
      <c r="A19" s="9" t="n">
        <v>17</v>
      </c>
      <c r="B19" s="9" t="inlineStr">
        <is>
          <t>SS-SCR-003-SC2</t>
        </is>
      </c>
      <c r="C19" s="9" t="inlineStr">
        <is>
          <t>SS-SCR-003</t>
        </is>
      </c>
      <c r="D19" s="9" t="inlineStr">
        <is>
          <t>C. Auto-Correct Banner</t>
        </is>
      </c>
      <c r="E19" s="9" t="inlineStr">
        <is>
          <t>FR-AC-01, FR-AC-03</t>
        </is>
      </c>
      <c r="F19" s="9" t="inlineStr">
        <is>
          <t>Exception</t>
        </is>
      </c>
      <c r="G19" s="9" t="inlineStr">
        <is>
          <t>Gõ một từ đã đúng chính tả / tên brand hợp lệ.</t>
        </is>
      </c>
      <c r="H19" s="9" t="inlineStr">
        <is>
          <t>"Milo" (brand hợp lệ)</t>
        </is>
      </c>
      <c r="I19" s="9" t="inlineStr">
        <is>
          <t>"Milo" tồn tại như brand/catalog term hợp lệ.</t>
        </is>
      </c>
      <c r="J19" s="9" t="inlineStr">
        <is>
          <t>Banner gợi ý KHÔNG xuất hiện; hệ thống không áp dụng auto-correct hay thay đổi query.</t>
        </is>
      </c>
      <c r="K19" s="9" t="inlineStr">
        <is>
          <t>0% trường hợp banner xuất hiện cho từ khoá đã hợp lệ trong catalogue/brand list.</t>
        </is>
      </c>
      <c r="L19" s="9" t="n"/>
      <c r="M19" s="10" t="n"/>
      <c r="N19" s="10" t="n"/>
      <c r="O19" s="10" t="n"/>
      <c r="P19" s="9" t="n"/>
    </row>
    <row r="20" hidden="1" ht="51" customHeight="1">
      <c r="A20" s="9" t="n">
        <v>18</v>
      </c>
      <c r="B20" s="9" t="inlineStr">
        <is>
          <t>SS-SCR-003-SC3</t>
        </is>
      </c>
      <c r="C20" s="9" t="inlineStr">
        <is>
          <t>SS-SCR-003</t>
        </is>
      </c>
      <c r="D20" s="9" t="inlineStr">
        <is>
          <t>C. Auto-Correct Banner</t>
        </is>
      </c>
      <c r="E20" s="9" t="inlineStr">
        <is>
          <t>FR-AC-01, FR-AC-03</t>
        </is>
      </c>
      <c r="F20" s="9" t="inlineStr">
        <is>
          <t>Edge</t>
        </is>
      </c>
      <c r="G20" s="9" t="inlineStr">
        <is>
          <t>Gõ tiếp sau khi banner sửa lỗi đã xuất hiện (không tap banner, không đóng).</t>
        </is>
      </c>
      <c r="H20" s="9" t="inlineStr">
        <is>
          <t>"sua toui" → gõ tiếp thành "sua tuoi khong duong"</t>
        </is>
      </c>
      <c r="I20" s="9" t="inlineStr">
        <is>
          <t>Banner gợi ý sửa lỗi đang hiển thị cho "sua toui".</t>
        </is>
      </c>
      <c r="J20" s="9" t="inlineStr">
        <is>
          <t>Banner cập nhật lại (hoặc ẩn đi nếu chuỗi mới không còn fuzzy-match) theo đúng nội dung mới đang gõ, không giữ nguyên gợi ý cũ đã lỗi thời.</t>
        </is>
      </c>
      <c r="K20" s="9" t="inlineStr">
        <is>
          <t>Banner luôn phản ánh đúng trạng thái input hiện tại, không hiển thị gợi ý cho chuỗi đã cũ.</t>
        </is>
      </c>
      <c r="L20" s="9" t="n"/>
      <c r="M20" s="10" t="n"/>
      <c r="N20" s="10" t="n"/>
      <c r="O20" s="10" t="n"/>
      <c r="P20" s="9" t="n"/>
    </row>
    <row r="21" hidden="1" ht="51" customHeight="1">
      <c r="A21" s="9" t="n">
        <v>19</v>
      </c>
      <c r="B21" s="9" t="inlineStr">
        <is>
          <t>SS-SCR-003-SC4</t>
        </is>
      </c>
      <c r="C21" s="9" t="inlineStr">
        <is>
          <t>SS-SCR-003</t>
        </is>
      </c>
      <c r="D21" s="9" t="inlineStr">
        <is>
          <t>C. Auto-Correct Banner</t>
        </is>
      </c>
      <c r="E21" s="9" t="inlineStr">
        <is>
          <t>FR-AC-01, FR-AC-03</t>
        </is>
      </c>
      <c r="F21" s="9" t="inlineStr">
        <is>
          <t>Multilingual</t>
        </is>
      </c>
      <c r="G21" s="9" t="inlineStr">
        <is>
          <t>Sửa lỗi chính tả cho truy vấn tiếng Anh khi UI đang ở tiếng Việt.</t>
        </is>
      </c>
      <c r="H21" s="9" t="inlineStr">
        <is>
          <t>"milkk" (UI=VI)</t>
        </is>
      </c>
      <c r="I21" s="9" t="inlineStr">
        <is>
          <t>UI language = VI; "milkk" là lỗi gõ thừa 1 ký tự của "milk".</t>
        </is>
      </c>
      <c r="J21" s="9" t="inlineStr">
        <is>
          <t>Banner vẫn phát hiện và gợi ý đúng "milk" dù input là tiếng Anh và UI là tiếng Việt — phù hợp nguyên tắc sửa lỗi không phụ thuộc ngôn ngữ nhập.</t>
        </is>
      </c>
      <c r="K21" s="9" t="inlineStr">
        <is>
          <t>Phát hiện lỗi chính tả không phụ thuộc ngôn ngữ của từ khoá.</t>
        </is>
      </c>
      <c r="L21" s="9" t="n"/>
      <c r="M21" s="10" t="n"/>
      <c r="N21" s="10" t="n"/>
      <c r="O21" s="10" t="n"/>
      <c r="P21" s="9" t="n"/>
    </row>
    <row r="22" hidden="1" ht="63.75" customHeight="1">
      <c r="A22" s="11" t="n">
        <v>20</v>
      </c>
      <c r="B22" s="11" t="inlineStr">
        <is>
          <t>SS-SCR-004-SC1</t>
        </is>
      </c>
      <c r="C22" s="11" t="inlineStr">
        <is>
          <t>SS-SCR-004</t>
        </is>
      </c>
      <c r="D22" s="11" t="inlineStr">
        <is>
          <t>D. Search Processing / Loading</t>
        </is>
      </c>
      <c r="E22" s="11" t="inlineStr">
        <is>
          <t>FR-GD-01, FR-GD-03 (loading UI — NFR ID chưa xác nhận, xem QnA-11)</t>
        </is>
      </c>
      <c r="F22" s="11" t="inlineStr">
        <is>
          <t>Performance</t>
        </is>
      </c>
      <c r="G22" s="11" t="inlineStr">
        <is>
          <t>Đo thời gian hiển thị màn hình Loading và ngưỡng chuyển sang lỗi mạng.</t>
        </is>
      </c>
      <c r="H22" s="11" t="inlineStr">
        <is>
          <t>Truy vấn văn bản/hình ảnh/giọng nói bình thường</t>
        </is>
      </c>
      <c r="I22" s="11" t="inlineStr">
        <is>
          <t>Thiết bị test có khả năng giả lập độ trễ mạng.</t>
        </is>
      </c>
      <c r="J22" s="11" t="inlineStr">
        <is>
          <t>Loading chỉ hiển thị khi phản hồi &gt;300ms; nếu &gt;5s → chuyển sang thông báo lỗi mạng kèm nút "Thử lại"; không bao giờ để màn hình trắng; component loading dùng chung cho cả 3 luồng (text/image/voice).</t>
        </is>
      </c>
      <c r="K22" s="11" t="inlineStr">
        <is>
          <t>Ngưỡng hiển thị đúng &gt;300ms và &gt;5s như mô tả; không có trạng thái trắng ở bất kỳ thời điểm nào.</t>
        </is>
      </c>
      <c r="L22" s="11" t="inlineStr">
        <is>
          <t>QnA-11</t>
        </is>
      </c>
      <c r="M22" s="10" t="n"/>
      <c r="N22" s="10" t="n"/>
      <c r="O22" s="10" t="n"/>
      <c r="P22" s="11" t="inlineStr">
        <is>
          <t>OPEN — QnA-11: xem chi tiết trong file QnA log.</t>
        </is>
      </c>
    </row>
    <row r="23" hidden="1" ht="63.75" customHeight="1">
      <c r="A23" s="9" t="n">
        <v>21</v>
      </c>
      <c r="B23" s="9" t="inlineStr">
        <is>
          <t>SS-SCR-004-SC2</t>
        </is>
      </c>
      <c r="C23" s="9" t="inlineStr">
        <is>
          <t>SS-SCR-004</t>
        </is>
      </c>
      <c r="D23" s="9" t="inlineStr">
        <is>
          <t>D. Search Processing / Loading</t>
        </is>
      </c>
      <c r="E23" s="9" t="inlineStr">
        <is>
          <t>FR-GD-01, FR-GD-03 (loading UI — NFR ID chưa xác nhận, xem QnA-11)</t>
        </is>
      </c>
      <c r="F23" s="9" t="inlineStr">
        <is>
          <t>Edge</t>
        </is>
      </c>
      <c r="G23" s="9" t="inlineStr">
        <is>
          <t>Huỷ tìm kiếm giữa chừng bằng cách nhấn nút Back trong lúc đang Loading.</t>
        </is>
      </c>
      <c r="H23" s="9" t="inlineStr">
        <is>
          <t>Nhấn Back khi Loading Screen đang hiển thị</t>
        </is>
      </c>
      <c r="I23" s="9" t="inlineStr">
        <is>
          <t>Đang ở Loading Screen (SS-SCR-004) chờ kết quả.</t>
        </is>
      </c>
      <c r="J23" s="9" t="inlineStr">
        <is>
          <t>Request tìm kiếm đang chờ bị huỷ (hoặc kết quả trả về sau đó bị bỏ qua); khách quay lại đúng màn hình trước đó (Autocomplete/Camera/Listening) mà không bị crash hay kẹt ở Loading.</t>
        </is>
      </c>
      <c r="K23" s="9" t="inlineStr">
        <is>
          <t>Không có race condition khiến kết quả cũ hiện ra sau khi khách đã rời màn hình.</t>
        </is>
      </c>
      <c r="L23" s="9" t="n"/>
      <c r="M23" s="10" t="n"/>
      <c r="N23" s="10" t="n"/>
      <c r="O23" s="10" t="n"/>
      <c r="P23" s="9" t="n"/>
    </row>
    <row r="24" hidden="1" ht="38.25" customHeight="1">
      <c r="A24" s="9" t="n">
        <v>22</v>
      </c>
      <c r="B24" s="9" t="inlineStr">
        <is>
          <t>SS-SCR-004-SC3</t>
        </is>
      </c>
      <c r="C24" s="9" t="inlineStr">
        <is>
          <t>SS-SCR-004</t>
        </is>
      </c>
      <c r="D24" s="9" t="inlineStr">
        <is>
          <t>D. Search Processing / Loading</t>
        </is>
      </c>
      <c r="E24" s="9" t="inlineStr">
        <is>
          <t>FR-GD-01, FR-GD-03 (loading UI — NFR ID chưa xác nhận, xem QnA-11)</t>
        </is>
      </c>
      <c r="F24" s="9" t="inlineStr">
        <is>
          <t>Edge</t>
        </is>
      </c>
      <c r="G24" s="9" t="inlineStr">
        <is>
          <t>Chip từ khoá hiển thị trên Loading Screen với từ khoá rất dài.</t>
        </is>
      </c>
      <c r="H24" s="9" t="inlineStr">
        <is>
          <t>Từ khoá 60 ký tự</t>
        </is>
      </c>
      <c r="I24" s="9" t="inlineStr">
        <is>
          <t>Đang ở Loading Screen.</t>
        </is>
      </c>
      <c r="J24" s="9" t="inlineStr">
        <is>
          <t>Chip từ khoá bị cắt/rút gọn (ellipsis) hợp lý, không làm vỡ layout màn hình Loading.</t>
        </is>
      </c>
      <c r="K24" s="9" t="inlineStr">
        <is>
          <t>Không tràn layout; nội dung vẫn đọc được phần đầu từ khoá.</t>
        </is>
      </c>
      <c r="L24" s="9" t="n"/>
      <c r="M24" s="10" t="n"/>
      <c r="N24" s="10" t="n"/>
      <c r="O24" s="10" t="n"/>
      <c r="P24" s="9" t="n"/>
    </row>
    <row r="25" hidden="1" ht="76.5" customHeight="1">
      <c r="A25" s="9" t="n">
        <v>23</v>
      </c>
      <c r="B25" s="9" t="inlineStr">
        <is>
          <t>SS-SCR-005-SC1</t>
        </is>
      </c>
      <c r="C25" s="9" t="inlineStr">
        <is>
          <t>SS-SCR-005</t>
        </is>
      </c>
      <c r="D25" s="9" t="inlineStr">
        <is>
          <t>E. Search Results — Grid</t>
        </is>
      </c>
      <c r="E25" s="9" t="inlineStr">
        <is>
          <t>FR-PR-01, FR-PR-02, FR-PR-05, FR-PR-07, FR-SF-01</t>
        </is>
      </c>
      <c r="F25" s="9" t="inlineStr">
        <is>
          <t>Functional</t>
        </is>
      </c>
      <c r="G25" s="9" t="inlineStr">
        <is>
          <t>Kiểm tra bố cục trang kết quả dạng lưới 2 cột và thanh Sort/Filter dính (sticky).</t>
        </is>
      </c>
      <c r="H25" s="9" t="inlineStr">
        <is>
          <t>"sữa" (128 sản phẩm)</t>
        </is>
      </c>
      <c r="I25" s="9" t="inlineStr">
        <is>
          <t>Kết quả tìm kiếm đã trả về.</t>
        </is>
      </c>
      <c r="J25" s="9" t="inlineStr">
        <is>
          <t>Search Bar giữ từ khoá; thanh Sắp xếp &amp; Bộ lọc dính khi cuộn; toggle Lưới/Danh sách hiển thị; Smart Filter Chips theo thuộc tính cốt lõi của tập kết quả; tổng số kết quả hiển thị và cập nhật realtime; Product Card dạng lưới 2 cột.</t>
        </is>
      </c>
      <c r="K25" s="9" t="inlineStr">
        <is>
          <t>Thanh Sort/Filter luôn hiện khi cuộn (sticky); số lượng kết quả khớp giữa header và số card thực tải.</t>
        </is>
      </c>
      <c r="L25" s="9" t="n"/>
      <c r="M25" s="10" t="n"/>
      <c r="N25" s="10" t="n"/>
      <c r="O25" s="10" t="n"/>
      <c r="P25" s="9" t="n"/>
    </row>
    <row r="26" hidden="1" ht="51" customHeight="1">
      <c r="A26" s="11" t="n">
        <v>24</v>
      </c>
      <c r="B26" s="11" t="inlineStr">
        <is>
          <t>SS-SCR-005-SC2</t>
        </is>
      </c>
      <c r="C26" s="11" t="inlineStr">
        <is>
          <t>SS-SCR-005</t>
        </is>
      </c>
      <c r="D26" s="11" t="inlineStr">
        <is>
          <t>E. Search Results — Grid</t>
        </is>
      </c>
      <c r="E26" s="11" t="inlineStr">
        <is>
          <t>FR-PR-01, FR-PR-02, FR-PR-05, FR-PR-07, FR-SF-01</t>
        </is>
      </c>
      <c r="F26" s="11" t="inlineStr">
        <is>
          <t>Sponsored</t>
        </is>
      </c>
      <c r="G26" s="11" t="inlineStr">
        <is>
          <t>Kiểm tra nhãn "Sponsored" bắt buộc trên Product Card tài trợ.</t>
        </is>
      </c>
      <c r="H26" s="11" t="inlineStr">
        <is>
          <t>Chiến dịch Sponsored đang chạy cho "sữa chua"</t>
        </is>
      </c>
      <c r="I26" s="11" t="inlineStr">
        <is>
          <t>Có ≥1 sản phẩm tài trợ trong tập kết quả.</t>
        </is>
      </c>
      <c r="J26" s="11" t="inlineStr">
        <is>
          <t>Sản phẩm tài trợ có tag "Sponsored" hiển thị rõ ở góc card, không bị ẩn/làm mờ; vị trí chèn theo slot cố định hoặc theo đấu giá — TBD, xem QnA-07.</t>
        </is>
      </c>
      <c r="K26" s="11" t="inlineStr">
        <is>
          <t>100% sản phẩm tài trợ có nhãn Sponsored hiển thị rõ ràng, không bị che khuất bởi phần tử UI khác.</t>
        </is>
      </c>
      <c r="L26" s="11" t="inlineStr">
        <is>
          <t>QnA-07</t>
        </is>
      </c>
      <c r="M26" s="10" t="n"/>
      <c r="N26" s="10" t="n"/>
      <c r="O26" s="10" t="n"/>
      <c r="P26" s="11" t="inlineStr">
        <is>
          <t>OPEN — QnA-07: xem chi tiết trong file QnA log.</t>
        </is>
      </c>
    </row>
    <row r="27" hidden="1" ht="63.75" customHeight="1">
      <c r="A27" s="9" t="n">
        <v>25</v>
      </c>
      <c r="B27" s="9" t="inlineStr">
        <is>
          <t>SS-SCR-005-SC3</t>
        </is>
      </c>
      <c r="C27" s="9" t="inlineStr">
        <is>
          <t>SS-SCR-005</t>
        </is>
      </c>
      <c r="D27" s="9" t="inlineStr">
        <is>
          <t>E. Search Results — Grid</t>
        </is>
      </c>
      <c r="E27" s="9" t="inlineStr">
        <is>
          <t>FR-PR-01, FR-PR-02, FR-PR-05, FR-PR-07, FR-SF-01</t>
        </is>
      </c>
      <c r="F27" s="9" t="inlineStr">
        <is>
          <t>Functional</t>
        </is>
      </c>
      <c r="G27" s="9" t="inlineStr">
        <is>
          <t>Tap vào Product Card mở PDP; tap Search Bar/nút (✕) trên trang kết quả.</t>
        </is>
      </c>
      <c r="H27" s="9" t="inlineStr">
        <is>
          <t>Tap card sản phẩm / tap (✕) trên Search Bar</t>
        </is>
      </c>
      <c r="I27" s="9" t="inlineStr">
        <is>
          <t>Trang kết quả đã tải.</t>
        </is>
      </c>
      <c r="J27" s="9" t="inlineStr">
        <is>
          <t>Tap card (ngoài vùng nút +) mở đúng PDP sản phẩm; tap (✕) xoá từ khoá và quay lại trạng thái nhập liệu (Autocomplete) chứ không rời hẳn trang kết quả cho tới khi có từ khoá mới.</t>
        </is>
      </c>
      <c r="K27" s="9" t="inlineStr">
        <is>
          <t>Vùng chạm của nút (+) và vùng chạm mở PDP không chồng lấn gây tap nhầm.</t>
        </is>
      </c>
      <c r="L27" s="9" t="n"/>
      <c r="M27" s="10" t="n"/>
      <c r="N27" s="10" t="n"/>
      <c r="O27" s="10" t="n"/>
      <c r="P27" s="9" t="n"/>
    </row>
    <row r="28" hidden="1" ht="63.75" customHeight="1">
      <c r="A28" s="9" t="n">
        <v>26</v>
      </c>
      <c r="B28" s="9" t="inlineStr">
        <is>
          <t>SS-SCR-005-SC4</t>
        </is>
      </c>
      <c r="C28" s="9" t="inlineStr">
        <is>
          <t>SS-SCR-005</t>
        </is>
      </c>
      <c r="D28" s="9" t="inlineStr">
        <is>
          <t>E. Search Results — Grid</t>
        </is>
      </c>
      <c r="E28" s="9" t="inlineStr">
        <is>
          <t>FR-PR-01, FR-PR-02, FR-PR-05, FR-PR-07, FR-SF-01</t>
        </is>
      </c>
      <c r="F28" s="9" t="inlineStr">
        <is>
          <t>Boundary</t>
        </is>
      </c>
      <c r="G28" s="9" t="inlineStr">
        <is>
          <t>Hiển thị tổng số kết quả ở các mức 0 / 1 / rất lớn (&gt;999).</t>
        </is>
      </c>
      <c r="H28" s="9" t="inlineStr">
        <is>
          <t>0 sản phẩm (đã lọc hết) / 1 sản phẩm / 1.245 sản phẩm</t>
        </is>
      </c>
      <c r="I28" s="9" t="inlineStr">
        <is>
          <t>Ba trường hợp truy vấn khác nhau.</t>
        </is>
      </c>
      <c r="J28" s="9" t="inlineStr">
        <is>
          <t>Số lượng hiển thị chính xác ở dạng số có phân tách hàng nghìn hợp lý (VD: "1.245 sản phẩm"); số ít vẫn đúng ngữ pháp/định dạng (không bắt buộc số nhiều "sản phẩm" đổi dạng vì tiếng Việt không chia số ít/nhiều).</t>
        </is>
      </c>
      <c r="K28" s="9" t="inlineStr">
        <is>
          <t>Số liệu khớp đúng số card thực tải; không hiển thị số âm hay NaN.</t>
        </is>
      </c>
      <c r="L28" s="9" t="n"/>
      <c r="M28" s="10" t="n"/>
      <c r="N28" s="10" t="n"/>
      <c r="O28" s="10" t="n"/>
      <c r="P28" s="9" t="n"/>
    </row>
    <row r="29" hidden="1" ht="51" customHeight="1">
      <c r="A29" s="11" t="n">
        <v>27</v>
      </c>
      <c r="B29" s="11" t="inlineStr">
        <is>
          <t>SS-SCR-005-SC5</t>
        </is>
      </c>
      <c r="C29" s="11" t="inlineStr">
        <is>
          <t>SS-SCR-005</t>
        </is>
      </c>
      <c r="D29" s="11" t="inlineStr">
        <is>
          <t>E. Search Results — Grid</t>
        </is>
      </c>
      <c r="E29" s="11" t="inlineStr">
        <is>
          <t>FR-PR-01, FR-PR-02, FR-PR-05, FR-PR-07, FR-SF-01</t>
        </is>
      </c>
      <c r="F29" s="11" t="inlineStr">
        <is>
          <t>Sponsored</t>
        </is>
      </c>
      <c r="G29" s="11" t="inlineStr">
        <is>
          <t>Nhiều sản phẩm Sponsored xuất hiện đồng thời trong cùng trang kết quả.</t>
        </is>
      </c>
      <c r="H29" s="11" t="inlineStr">
        <is>
          <t>≥3 SKU sponsored cùng lúc khớp 1 từ khoá</t>
        </is>
      </c>
      <c r="I29" s="11" t="inlineStr">
        <is>
          <t>Nhiều chiến dịch tài trợ đang chạy cho cùng từ khoá.</t>
        </is>
      </c>
      <c r="J29" s="11" t="inlineStr">
        <is>
          <t>Mỗi SKU sponsored đều có nhãn riêng biệt, không gộp chung/không mất nhãn của SKU nào; thứ tự giữa các SKU sponsored với nhau — TBD, xem QnA-07.</t>
        </is>
      </c>
      <c r="K29" s="11" t="inlineStr">
        <is>
          <t>100% SKU sponsored đều có nhãn hiển thị đúng, không SKU nào bị thiếu nhãn.</t>
        </is>
      </c>
      <c r="L29" s="11" t="inlineStr">
        <is>
          <t>QnA-07</t>
        </is>
      </c>
      <c r="M29" s="10" t="n"/>
      <c r="N29" s="10" t="n"/>
      <c r="O29" s="10" t="n"/>
      <c r="P29" s="11" t="inlineStr">
        <is>
          <t>OPEN — QnA-07: xem chi tiết trong file QnA log.</t>
        </is>
      </c>
    </row>
    <row r="30" hidden="1" ht="89.25" customHeight="1">
      <c r="A30" s="11" t="n">
        <v>28</v>
      </c>
      <c r="B30" s="11" t="inlineStr">
        <is>
          <t>SS-SCR-005-SC6</t>
        </is>
      </c>
      <c r="C30" s="11" t="inlineStr">
        <is>
          <t>SS-SCR-005</t>
        </is>
      </c>
      <c r="D30" s="11" t="inlineStr">
        <is>
          <t>E. Search Results — Grid</t>
        </is>
      </c>
      <c r="E30" s="11" t="inlineStr">
        <is>
          <t>FR-PR-01, FR-PR-02, FR-PR-05, FR-PR-07, FR-SF-01</t>
        </is>
      </c>
      <c r="F30" s="11" t="inlineStr">
        <is>
          <t>Functional</t>
        </is>
      </c>
      <c r="G30" s="11" t="inlineStr">
        <is>
          <t>Đổi phương thức tìm kiếm (Mic/Camera) ngay tại trang kết quả văn bản.</t>
        </is>
      </c>
      <c r="H30" s="11" t="inlineStr">
        <is>
          <t>Tap icon Mic hoặc Camera trong khi đang xem kết quả "sữa"</t>
        </is>
      </c>
      <c r="I30" s="11" t="inlineStr">
        <is>
          <t>Đang ở trang kết quả Text Search.</t>
        </is>
      </c>
      <c r="J30" s="11" t="inlineStr">
        <is>
          <t>Mở đúng luồng Voice/Image tương ứng; hành vi đối với bộ lọc/sắp xếp đang áp dụng của kết quả text trước đó (giữ lại hay xoá khi có kết quả mới) — chưa được tài liệu hoá rõ ràng cho trường hợp CHUYỂN PHƯƠNG THỨC (khác với trường hợp đổi từ khoá cùng phương thức đã có ở QnA-06).</t>
        </is>
      </c>
      <c r="K30" s="11" t="inlineStr">
        <is>
          <t>Điều hướng đúng màn hình đích; không crash khi có filter/sort đang active.</t>
        </is>
      </c>
      <c r="L30" s="11" t="inlineStr">
        <is>
          <t>QnA-19</t>
        </is>
      </c>
      <c r="M30" s="10" t="n"/>
      <c r="N30" s="10" t="n"/>
      <c r="O30" s="10" t="n"/>
      <c r="P30" s="11" t="inlineStr">
        <is>
          <t>OPEN — QnA-19: xem chi tiết trong file QnA log.</t>
        </is>
      </c>
    </row>
    <row r="31" hidden="1" ht="63.75" customHeight="1">
      <c r="A31" s="9" t="n">
        <v>29</v>
      </c>
      <c r="B31" s="9" t="inlineStr">
        <is>
          <t>SS-SCR-006-SC1</t>
        </is>
      </c>
      <c r="C31" s="9" t="inlineStr">
        <is>
          <t>SS-SCR-006</t>
        </is>
      </c>
      <c r="D31" s="9" t="inlineStr">
        <is>
          <t>F. Search Results — List</t>
        </is>
      </c>
      <c r="E31" s="9" t="inlineStr">
        <is>
          <t>FR-PR-01, FR-PR-07</t>
        </is>
      </c>
      <c r="F31" s="9" t="inlineStr">
        <is>
          <t>Functional</t>
        </is>
      </c>
      <c r="G31" s="9" t="inlineStr">
        <is>
          <t>Kiểm tra bố cục Danh sách (List) và tải thêm kết quả (infinite scroll).</t>
        </is>
      </c>
      <c r="H31" s="9" t="inlineStr">
        <is>
          <t>"sữa" (128 sản phẩm)</t>
        </is>
      </c>
      <c r="I31" s="9" t="inlineStr">
        <is>
          <t>Chế độ xem = List.</t>
        </is>
      </c>
      <c r="J31" s="9" t="inlineStr">
        <is>
          <t>Ảnh vuông 88×88 bên trái, tên đầy đủ 1 hàng không cắt, rating/giá/%-giảm hiển thị đầy đủ; nút (+) thêm nhanh không rời trang; nhãn Sponsored vẫn hiển thị; cuộn vô hạn tải thêm theo lô (kích thước lô TBD).</t>
        </is>
      </c>
      <c r="K31" s="9" t="inlineStr">
        <is>
          <t>Đổi chế độ xem không reset bộ lọc/sắp xếp/vị trí cuộn; tải thêm không trùng lặp sản phẩm.</t>
        </is>
      </c>
      <c r="L31" s="9" t="n"/>
      <c r="M31" s="10" t="n"/>
      <c r="N31" s="10" t="n"/>
      <c r="O31" s="10" t="n"/>
      <c r="P31" s="9" t="n"/>
    </row>
    <row r="32" hidden="1" ht="38.25" customHeight="1">
      <c r="A32" s="9" t="n">
        <v>30</v>
      </c>
      <c r="B32" s="9" t="inlineStr">
        <is>
          <t>SS-SCR-006-SC2</t>
        </is>
      </c>
      <c r="C32" s="9" t="inlineStr">
        <is>
          <t>SS-SCR-006</t>
        </is>
      </c>
      <c r="D32" s="9" t="inlineStr">
        <is>
          <t>F. Search Results — List</t>
        </is>
      </c>
      <c r="E32" s="9" t="inlineStr">
        <is>
          <t>FR-PR-01, FR-PR-07</t>
        </is>
      </c>
      <c r="F32" s="9" t="inlineStr">
        <is>
          <t>Edge</t>
        </is>
      </c>
      <c r="G32" s="9" t="inlineStr">
        <is>
          <t>Hiển thị ảnh sản phẩm bị lỗi/thiếu trong chế độ Danh sách.</t>
        </is>
      </c>
      <c r="H32" s="9" t="inlineStr">
        <is>
          <t>1 SKU có URL ảnh lỗi/404</t>
        </is>
      </c>
      <c r="I32" s="9" t="inlineStr">
        <is>
          <t>Trang kết quả List đang tải.</t>
        </is>
      </c>
      <c r="J32" s="9" t="inlineStr">
        <is>
          <t>Ô ảnh 88×88 hiển thị placeholder trung tính thay vì icon vỡ ảnh; layout dòng sản phẩm không bị lệch.</t>
        </is>
      </c>
      <c r="K32" s="9" t="inlineStr">
        <is>
          <t>Không hiển thị icon ảnh vỡ (broken image icon) của trình duyệt/hệ thống.</t>
        </is>
      </c>
      <c r="L32" s="9" t="n"/>
      <c r="M32" s="10" t="n"/>
      <c r="N32" s="10" t="n"/>
      <c r="O32" s="10" t="n"/>
      <c r="P32" s="9" t="n"/>
    </row>
    <row r="33" hidden="1" ht="51" customHeight="1">
      <c r="A33" s="11" t="n">
        <v>31</v>
      </c>
      <c r="B33" s="11" t="inlineStr">
        <is>
          <t>SS-SCR-006-SC3</t>
        </is>
      </c>
      <c r="C33" s="11" t="inlineStr">
        <is>
          <t>SS-SCR-006</t>
        </is>
      </c>
      <c r="D33" s="11" t="inlineStr">
        <is>
          <t>F. Search Results — List</t>
        </is>
      </c>
      <c r="E33" s="11" t="inlineStr">
        <is>
          <t>FR-PR-01, FR-PR-07</t>
        </is>
      </c>
      <c r="F33" s="11" t="inlineStr">
        <is>
          <t>Boundary</t>
        </is>
      </c>
      <c r="G33" s="11" t="inlineStr">
        <is>
          <t>Hiển thị rating khi sản phẩm chưa có đánh giá nào.</t>
        </is>
      </c>
      <c r="H33" s="11" t="inlineStr">
        <is>
          <t>1 SKU 0 review</t>
        </is>
      </c>
      <c r="I33" s="11" t="inlineStr">
        <is>
          <t>Sản phẩm mới, chưa có review.</t>
        </is>
      </c>
      <c r="J33" s="11" t="inlineStr">
        <is>
          <t>Không hiển thị số sao rỗng/0.0 gây hiểu nhầm; thay bằng trạng thái "Chưa có đánh giá" hoặc ẩn phần rating — cách xử lý cụ thể chưa được BRD quy định.</t>
        </is>
      </c>
      <c r="K33" s="11" t="inlineStr">
        <is>
          <t>Không hiển thị "0.0 ★" hoặc "NaN" gây phản cảm.</t>
        </is>
      </c>
      <c r="L33" s="11" t="inlineStr">
        <is>
          <t>QnA-04</t>
        </is>
      </c>
      <c r="M33" s="10" t="n"/>
      <c r="N33" s="10" t="n"/>
      <c r="O33" s="10" t="n"/>
      <c r="P33" s="11" t="inlineStr">
        <is>
          <t>OPEN — QnA-04: xem chi tiết trong file QnA log.</t>
        </is>
      </c>
    </row>
    <row r="34" hidden="1" ht="89.25" customHeight="1">
      <c r="A34" s="11" t="n">
        <v>32</v>
      </c>
      <c r="B34" s="11" t="inlineStr">
        <is>
          <t>SS-SCR-008-SC1</t>
        </is>
      </c>
      <c r="C34" s="11" t="inlineStr">
        <is>
          <t>SS-SCR-008</t>
        </is>
      </c>
      <c r="D34" s="11" t="inlineStr">
        <is>
          <t>G. Sort</t>
        </is>
      </c>
      <c r="E34" s="11" t="inlineStr">
        <is>
          <t>FR-SF-02, FR-PR-06</t>
        </is>
      </c>
      <c r="F34" s="11" t="inlineStr">
        <is>
          <t>Sort</t>
        </is>
      </c>
      <c r="G34" s="11" t="inlineStr">
        <is>
          <t>Mở bottom sheet Sắp xếp và chọn từng tiêu chí.</t>
        </is>
      </c>
      <c r="H34" s="11" t="inlineStr">
        <is>
          <t>8 tuỳ chọn: Liên quan nhất · Bán chạy nhất · Xem nhiều nhất · Giảm giá nhiều nhất · Đánh giá cao nhất · Giá thấp→cao · Giá cao→thấp · Tên (A–Z)</t>
        </is>
      </c>
      <c r="I34" s="11" t="inlineStr">
        <is>
          <t>Đang ở trang kết quả với bộ lọc đang áp dụng.</t>
        </is>
      </c>
      <c r="J34" s="11" t="inlineStr">
        <is>
          <t>Chọn 1 tiêu chí (single-select) → đóng sheet, chạy lại truy vấn, cuộn về đầu danh sách, cập nhật nhãn trên thanh sticky; bộ lọc đang áp dụng được giữ nguyên.</t>
        </is>
      </c>
      <c r="K34" s="11" t="inlineStr">
        <is>
          <t>Không có nút "Áp dụng" riêng — chọn là áp dụng ngay; danh sách sort phải khớp đúng 8 lựa chọn đã chốt (xem QnA-15 về khác biệt với BRD).</t>
        </is>
      </c>
      <c r="L34" s="11" t="inlineStr">
        <is>
          <t>QnA-15</t>
        </is>
      </c>
      <c r="M34" s="10" t="n"/>
      <c r="N34" s="10" t="n"/>
      <c r="O34" s="10" t="n"/>
      <c r="P34" s="11" t="inlineStr">
        <is>
          <t>OPEN — QnA-15: xem chi tiết trong file QnA log.</t>
        </is>
      </c>
    </row>
    <row r="35" hidden="1" ht="38.25" customHeight="1">
      <c r="A35" s="9" t="n">
        <v>33</v>
      </c>
      <c r="B35" s="9" t="inlineStr">
        <is>
          <t>SS-SCR-008-SC2</t>
        </is>
      </c>
      <c r="C35" s="9" t="inlineStr">
        <is>
          <t>SS-SCR-008</t>
        </is>
      </c>
      <c r="D35" s="9" t="inlineStr">
        <is>
          <t>G. Sort</t>
        </is>
      </c>
      <c r="E35" s="9" t="inlineStr">
        <is>
          <t>FR-SF-02, FR-PR-06</t>
        </is>
      </c>
      <c r="F35" s="9" t="inlineStr">
        <is>
          <t>Functional</t>
        </is>
      </c>
      <c r="G35" s="9" t="inlineStr">
        <is>
          <t>Tap ra ngoài lớp phủ (overlay) để đóng Sort sheet mà không đổi lựa chọn.</t>
        </is>
      </c>
      <c r="H35" s="9" t="inlineStr">
        <is>
          <t>Tap vùng tối 48% bên ngoài sheet</t>
        </is>
      </c>
      <c r="I35" s="9" t="inlineStr">
        <is>
          <t>Sort bottom sheet đang mở, tiêu chí hiện tại = "Liên quan nhất".</t>
        </is>
      </c>
      <c r="J35" s="9" t="inlineStr">
        <is>
          <t>Sheet đóng lại, giữ nguyên tiêu chí đang áp dụng trước đó ("Liên quan nhất"), không chạy lại truy vấn.</t>
        </is>
      </c>
      <c r="K35" s="9" t="inlineStr">
        <is>
          <t>Không có thay đổi kết quả/truy vấn khi đóng sheet bằng cách tap ra ngoài.</t>
        </is>
      </c>
      <c r="L35" s="9" t="n"/>
      <c r="M35" s="10" t="n"/>
      <c r="N35" s="10" t="n"/>
      <c r="O35" s="10" t="n"/>
      <c r="P35" s="9" t="n"/>
    </row>
    <row r="36" hidden="1" ht="51" customHeight="1">
      <c r="A36" s="9" t="n">
        <v>34</v>
      </c>
      <c r="B36" s="9" t="inlineStr">
        <is>
          <t>SS-SCR-008-SC3</t>
        </is>
      </c>
      <c r="C36" s="9" t="inlineStr">
        <is>
          <t>SS-SCR-008</t>
        </is>
      </c>
      <c r="D36" s="9" t="inlineStr">
        <is>
          <t>G. Sort</t>
        </is>
      </c>
      <c r="E36" s="9" t="inlineStr">
        <is>
          <t>FR-SF-02, FR-PR-06</t>
        </is>
      </c>
      <c r="F36" s="9" t="inlineStr">
        <is>
          <t>Boundary</t>
        </is>
      </c>
      <c r="G36" s="9" t="inlineStr">
        <is>
          <t>Chọn lại đúng tiêu chí đang active (no-op).</t>
        </is>
      </c>
      <c r="H36" s="9" t="inlineStr">
        <is>
          <t>Tiêu chí hiện tại = "Giá thấp-cao", tap lại đúng "Giá thấp-cao"</t>
        </is>
      </c>
      <c r="I36" s="9" t="inlineStr">
        <is>
          <t>Đang áp dụng sort "Giá thấp-cao".</t>
        </is>
      </c>
      <c r="J36" s="9" t="inlineStr">
        <is>
          <t>Sheet đóng, không cần chạy lại truy vấn không cần thiết (hoặc chạy lại nhưng cho kết quả y hệt) — không có lỗi/nhấp nháy UI khi chọn lại chính tiêu chí đang active.</t>
        </is>
      </c>
      <c r="K36" s="9" t="inlineStr">
        <is>
          <t>Không có hiện tượng UI giật/nhấp nháy khi chọn lại tiêu chí đã active.</t>
        </is>
      </c>
      <c r="L36" s="9" t="n"/>
      <c r="M36" s="10" t="n"/>
      <c r="N36" s="10" t="n"/>
      <c r="O36" s="10" t="n"/>
      <c r="P36" s="9" t="n"/>
    </row>
    <row r="37" hidden="1" ht="89.25" customHeight="1">
      <c r="A37" s="11" t="n">
        <v>35</v>
      </c>
      <c r="B37" s="11" t="inlineStr">
        <is>
          <t>SS-SCR-009-SC1</t>
        </is>
      </c>
      <c r="C37" s="11" t="inlineStr">
        <is>
          <t>SS-SCR-009</t>
        </is>
      </c>
      <c r="D37" s="11" t="inlineStr">
        <is>
          <t>H. Smart Filter / Detailed Filter</t>
        </is>
      </c>
      <c r="E37" s="11" t="inlineStr">
        <is>
          <t>FR-SF-01, FR-SF-04</t>
        </is>
      </c>
      <c r="F37" s="11" t="inlineStr">
        <is>
          <t>Filter</t>
        </is>
      </c>
      <c r="G37" s="11" t="inlineStr">
        <is>
          <t>Mở bảng lọc chi tiết, chọn điều kiện ở nhiều nhóm (Danh mục/Nhãn/Đánh giá/Giá) và áp dụng.</t>
        </is>
      </c>
      <c r="H37" s="11" t="inlineStr">
        <is>
          <t>Danh mục=Thực phẩm &amp; Đồ uống, Nhãn=[Không đường, Hữu cơ], Đánh giá=Từ 4 sao, Giá=30-70 percentile</t>
        </is>
      </c>
      <c r="I37" s="11" t="inlineStr">
        <is>
          <t>Trang kết quả đã tải với ≥1 sản phẩm.</t>
        </is>
      </c>
      <c r="J37" s="11" t="inlineStr">
        <is>
          <t>Danh mục: cây phân cấp, chọn 1 nhánh (độc quyền). Nhãn: chip đa chọn (nhiều-nhiều). Đánh giá: chỉ chọn 1 mức. Giá: 3 khoảng percentile tự động hoặc nhập tay Từ-Đến, chỉ chọn 1 trong 2. Chạm "Áp dụng (n)" đóng sheet, chạy lại truy vấn, cập nhật badge số bộ lọc.</t>
        </is>
      </c>
      <c r="K37" s="11" t="inlineStr">
        <is>
          <t>Không được chọn đồng thời 2 nhánh Danh mục; không được chọn cả preset giá và nhập tay cùng lúc; badge số bộ lọc = tổng số điều kiện đang áp dụng.</t>
        </is>
      </c>
      <c r="L37" s="11" t="inlineStr">
        <is>
          <t>QnA-02</t>
        </is>
      </c>
      <c r="M37" s="10" t="n"/>
      <c r="N37" s="10" t="n"/>
      <c r="O37" s="10" t="n"/>
      <c r="P37" s="11" t="inlineStr">
        <is>
          <t>OPEN — QnA-02: xem chi tiết trong file QnA log.</t>
        </is>
      </c>
    </row>
    <row r="38" hidden="1" ht="63.75" customHeight="1">
      <c r="A38" s="9" t="n">
        <v>36</v>
      </c>
      <c r="B38" s="9" t="inlineStr">
        <is>
          <t>SS-SCR-009-SC2</t>
        </is>
      </c>
      <c r="C38" s="9" t="inlineStr">
        <is>
          <t>SS-SCR-009</t>
        </is>
      </c>
      <c r="D38" s="9" t="inlineStr">
        <is>
          <t>H. Smart Filter / Detailed Filter</t>
        </is>
      </c>
      <c r="E38" s="9" t="inlineStr">
        <is>
          <t>FR-SF-01, FR-SF-04</t>
        </is>
      </c>
      <c r="F38" s="9" t="inlineStr">
        <is>
          <t>Filter</t>
        </is>
      </c>
      <c r="G38" s="9" t="inlineStr">
        <is>
          <t>Chọn khoảng giá (Price filter) — 3 preset percentile hoặc nhập tay, loại trừ lẫn nhau.</t>
        </is>
      </c>
      <c r="H38" s="9" t="inlineStr">
        <is>
          <t>Preset "30%-70% giá trung bình" HOẶC nhập tay Từ 20.000đ Đến 50.000đ</t>
        </is>
      </c>
      <c r="I38" s="9" t="inlineStr">
        <is>
          <t>Trang kết quả đã tải; tab Giá trong bảng Bộ lọc.</t>
        </is>
      </c>
      <c r="J38" s="9" t="inlineStr">
        <is>
          <t>3 option range giá gợi ý tự động theo percentile của tập kết quả (VD: &lt;30% thấp, 30-70% trung bình, &gt;70% cao) + 1 tuỳ chọn nhập tay Từ-Đến; chỉ được chọn 1 preset HOẶC nhập tay, không được cả hai cùng lúc.</t>
        </is>
      </c>
      <c r="K38" s="9" t="inlineStr">
        <is>
          <t>Chọn preset tự động bỏ nhập tay và ngược lại; không có trạng thái cả 2 cùng active.</t>
        </is>
      </c>
      <c r="L38" s="9" t="n"/>
      <c r="M38" s="10" t="n"/>
      <c r="N38" s="10" t="n"/>
      <c r="O38" s="10" t="n"/>
      <c r="P38" s="9" t="n"/>
    </row>
    <row r="39" hidden="1" ht="51" customHeight="1">
      <c r="A39" s="9" t="n">
        <v>37</v>
      </c>
      <c r="B39" s="9" t="inlineStr">
        <is>
          <t>SS-SCR-009-SC3</t>
        </is>
      </c>
      <c r="C39" s="9" t="inlineStr">
        <is>
          <t>SS-SCR-009</t>
        </is>
      </c>
      <c r="D39" s="9" t="inlineStr">
        <is>
          <t>H. Smart Filter / Detailed Filter</t>
        </is>
      </c>
      <c r="E39" s="9" t="inlineStr">
        <is>
          <t>FR-SF-01, FR-SF-04</t>
        </is>
      </c>
      <c r="F39" s="9" t="inlineStr">
        <is>
          <t>Filter</t>
        </is>
      </c>
      <c r="G39" s="9" t="inlineStr">
        <is>
          <t>Chọn/bỏ chọn nhiều chip Nhãn (Tag) cùng lúc — kiểm tra cấu trúc nhiều-nhiều.</t>
        </is>
      </c>
      <c r="H39" s="9" t="inlineStr">
        <is>
          <t>Chọn 4 chip: Không đường, Hữu cơ, Nhập khẩu, Tiệt trùng</t>
        </is>
      </c>
      <c r="I39" s="9" t="inlineStr">
        <is>
          <t>Đang ở tab Nhãn.</t>
        </is>
      </c>
      <c r="J39" s="9" t="inlineStr">
        <is>
          <t>Cho phép chọn đồng thời nhiều chip không giới hạn loại trừ lẫn nhau (khác Danh mục); bỏ chọn 1 chip bất kỳ không ảnh hưởng các chip còn lại.</t>
        </is>
      </c>
      <c r="K39" s="9" t="inlineStr">
        <is>
          <t>Chọn/bỏ chọn độc lập từng chip; badge số bộ lọc = đúng số chip đang chọn.</t>
        </is>
      </c>
      <c r="L39" s="9" t="n"/>
      <c r="M39" s="10" t="n"/>
      <c r="N39" s="10" t="n"/>
      <c r="O39" s="10" t="n"/>
      <c r="P39" s="9" t="n"/>
    </row>
    <row r="40" hidden="1" ht="51" customHeight="1">
      <c r="A40" s="9" t="n">
        <v>38</v>
      </c>
      <c r="B40" s="9" t="inlineStr">
        <is>
          <t>SS-SCR-009-SC4</t>
        </is>
      </c>
      <c r="C40" s="9" t="inlineStr">
        <is>
          <t>SS-SCR-009</t>
        </is>
      </c>
      <c r="D40" s="9" t="inlineStr">
        <is>
          <t>H. Smart Filter / Detailed Filter</t>
        </is>
      </c>
      <c r="E40" s="9" t="inlineStr">
        <is>
          <t>FR-SF-01, FR-SF-04</t>
        </is>
      </c>
      <c r="F40" s="9" t="inlineStr">
        <is>
          <t>Functional</t>
        </is>
      </c>
      <c r="G40" s="9" t="inlineStr">
        <is>
          <t>Mở rộng cây Danh mục xuống cấp con (›) và điều hướng qua lại giữa các cấp.</t>
        </is>
      </c>
      <c r="H40" s="9" t="inlineStr">
        <is>
          <t>Thực phẩm &amp; Đồ uống › Sữa &amp; Trứng › Sữa tươi</t>
        </is>
      </c>
      <c r="I40" s="9" t="inlineStr">
        <is>
          <t>Cây danh mục có ≥3 cấp cho nhánh này.</t>
        </is>
      </c>
      <c r="J40" s="9" t="inlineStr">
        <is>
          <t>Mũi tên (›) mở đúng cấp con tương ứng; có đường breadcrumb/nút quay lại cấp cha; chọn 1 cấp bất kỳ áp dụng đúng phạm vi lọc của cấp đó.</t>
        </is>
      </c>
      <c r="K40" s="9" t="inlineStr">
        <is>
          <t>Điều hướng qua lại giữa các cấp không bị mất trạng thái đã chọn ở cấp cha.</t>
        </is>
      </c>
      <c r="L40" s="9" t="n"/>
      <c r="M40" s="10" t="n"/>
      <c r="N40" s="10" t="n"/>
      <c r="O40" s="10" t="n"/>
      <c r="P40" s="9" t="n"/>
    </row>
    <row r="41" hidden="1" ht="63.75" customHeight="1">
      <c r="A41" s="9" t="n">
        <v>39</v>
      </c>
      <c r="B41" s="9" t="inlineStr">
        <is>
          <t>SS-SCR-009-SC5</t>
        </is>
      </c>
      <c r="C41" s="9" t="inlineStr">
        <is>
          <t>SS-SCR-009</t>
        </is>
      </c>
      <c r="D41" s="9" t="inlineStr">
        <is>
          <t>H. Smart Filter / Detailed Filter</t>
        </is>
      </c>
      <c r="E41" s="9" t="inlineStr">
        <is>
          <t>FR-SF-01, FR-SF-04</t>
        </is>
      </c>
      <c r="F41" s="9" t="inlineStr">
        <is>
          <t>Negative</t>
        </is>
      </c>
      <c r="G41" s="9" t="inlineStr">
        <is>
          <t>Đóng Bộ lọc bằng nút (✕) mà không Áp dụng — khôi phục trạng thái trước đó.</t>
        </is>
      </c>
      <c r="H41" s="9" t="inlineStr">
        <is>
          <t>Chọn vài điều kiện mới rồi tap (✕) thay vì Áp dụng</t>
        </is>
      </c>
      <c r="I41" s="9" t="inlineStr">
        <is>
          <t>Đang có 1 filter cũ active (VD: "Không đường").</t>
        </is>
      </c>
      <c r="J41" s="9" t="inlineStr">
        <is>
          <t>Đóng sheet mà không áp dụng thay đổi mới; kết quả và badge bộ lọc giữ nguyên trạng thái TRƯỚC khi mở sheet lần này (chỉ giữ "Không đường", không có điều kiện mới vừa chọn).</t>
        </is>
      </c>
      <c r="K41" s="9" t="inlineStr">
        <is>
          <t>Không có điều kiện mới nào bị áp dụng ngoài ý muốn khi đóng bằng (✕).</t>
        </is>
      </c>
      <c r="L41" s="9" t="n"/>
      <c r="M41" s="10" t="n"/>
      <c r="N41" s="10" t="n"/>
      <c r="O41" s="10" t="n"/>
      <c r="P41" s="9" t="n"/>
    </row>
    <row r="42" hidden="1" ht="51" customHeight="1">
      <c r="A42" s="9" t="n">
        <v>40</v>
      </c>
      <c r="B42" s="9" t="inlineStr">
        <is>
          <t>SS-SCR-010-SC1</t>
        </is>
      </c>
      <c r="C42" s="9" t="inlineStr">
        <is>
          <t>SS-SCR-010</t>
        </is>
      </c>
      <c r="D42" s="9" t="inlineStr">
        <is>
          <t>I. Filter Applied State</t>
        </is>
      </c>
      <c r="E42" s="9" t="inlineStr">
        <is>
          <t>FR-SF-03</t>
        </is>
      </c>
      <c r="F42" s="9" t="inlineStr">
        <is>
          <t>Boundary</t>
        </is>
      </c>
      <c r="G42" s="9" t="inlineStr">
        <is>
          <t>Áp dụng bộ lọc dẫn đến 0 kết quả.</t>
        </is>
      </c>
      <c r="H42" s="9" t="inlineStr">
        <is>
          <t>Bộ lọc kết hợp không có sản phẩm nào thoả (VD: Giá &lt;10.000đ AND Nhãn=Nhập khẩu)</t>
        </is>
      </c>
      <c r="I42" s="9" t="inlineStr">
        <is>
          <t>Trang kết quả đã lọc trả về 0 sản phẩm.</t>
        </is>
      </c>
      <c r="J42" s="9" t="inlineStr">
        <is>
          <t>Hiển thị thông điệp "Không có sản phẩm nào khớp bộ lọc" kèm nút "Xoá bộ lọc"; KHÔNG chuyển hướng sang trang Zero Result do từ khoá (SS-SCR-012).</t>
        </is>
      </c>
      <c r="K42" s="9" t="inlineStr">
        <is>
          <t>0 kết quả sau lọc phải hiển thị UI riêng biệt với Zero Result do từ khoá; nút Xoá bộ lọc phải khôi phục đúng kết quả gốc trước khi lọc.</t>
        </is>
      </c>
      <c r="L42" s="9" t="n"/>
      <c r="M42" s="10" t="n"/>
      <c r="N42" s="10" t="n"/>
      <c r="O42" s="10" t="n"/>
      <c r="P42" s="9" t="n"/>
    </row>
    <row r="43" hidden="1" ht="38.25" customHeight="1">
      <c r="A43" s="9" t="n">
        <v>41</v>
      </c>
      <c r="B43" s="9" t="inlineStr">
        <is>
          <t>SS-SCR-010-SC2</t>
        </is>
      </c>
      <c r="C43" s="9" t="inlineStr">
        <is>
          <t>SS-SCR-010</t>
        </is>
      </c>
      <c r="D43" s="9" t="inlineStr">
        <is>
          <t>I. Filter Applied State</t>
        </is>
      </c>
      <c r="E43" s="9" t="inlineStr">
        <is>
          <t>FR-SF-03</t>
        </is>
      </c>
      <c r="F43" s="9" t="inlineStr">
        <is>
          <t>Functional</t>
        </is>
      </c>
      <c r="G43" s="9" t="inlineStr">
        <is>
          <t>Bỏ chọn 1 chip lọc đang bật trực tiếp trên trang kết quả.</t>
        </is>
      </c>
      <c r="H43" s="9" t="inlineStr">
        <is>
          <t>Bỏ chọn chip "Không đường" đang active (nền đỏ)</t>
        </is>
      </c>
      <c r="I43" s="9" t="inlineStr">
        <is>
          <t>≥1 chip filter đang active.</t>
        </is>
      </c>
      <c r="J43" s="9" t="inlineStr">
        <is>
          <t>Chip chuyển về trạng thái chưa chọn; badge số bộ lọc giảm tương ứng; truy vấn chạy lại ngay không cần mở lại bảng lọc đầy đủ.</t>
        </is>
      </c>
      <c r="K43" s="9" t="inlineStr">
        <is>
          <t>Badge số bộ lọc cập nhật đúng ngay sau khi bỏ chọn; số kết quả cập nhật realtime.</t>
        </is>
      </c>
      <c r="L43" s="9" t="n"/>
      <c r="M43" s="10" t="n"/>
      <c r="N43" s="10" t="n"/>
      <c r="O43" s="10" t="n"/>
      <c r="P43" s="9" t="n"/>
    </row>
    <row r="44" hidden="1" ht="51" customHeight="1">
      <c r="A44" s="9" t="n">
        <v>42</v>
      </c>
      <c r="B44" s="9" t="inlineStr">
        <is>
          <t>SS-SCR-010-SC3</t>
        </is>
      </c>
      <c r="C44" s="9" t="inlineStr">
        <is>
          <t>SS-SCR-010</t>
        </is>
      </c>
      <c r="D44" s="9" t="inlineStr">
        <is>
          <t>I. Filter Applied State</t>
        </is>
      </c>
      <c r="E44" s="9" t="inlineStr">
        <is>
          <t>FR-SF-03</t>
        </is>
      </c>
      <c r="F44" s="9" t="inlineStr">
        <is>
          <t>Functional</t>
        </is>
      </c>
      <c r="G44" s="9" t="inlineStr">
        <is>
          <t>Bỏ chọn lần lượt từng chip lọc cho tới khi hết (về trạng thái không lọc).</t>
        </is>
      </c>
      <c r="H44" s="9" t="inlineStr">
        <is>
          <t>Bỏ chọn tuần tự 3 chip đang active</t>
        </is>
      </c>
      <c r="I44" s="9" t="inlineStr">
        <is>
          <t>Đang áp dụng 3 điều kiện lọc.</t>
        </is>
      </c>
      <c r="J44" s="9" t="inlineStr">
        <is>
          <t>Badge giảm dần đúng theo từng lần bỏ chọn (3→2→1→0); khi badge = 0, nút "Bộ lọc" trở về trạng thái mặc định (không badge), kết quả trở về tập đầy đủ ban đầu.</t>
        </is>
      </c>
      <c r="K44" s="9" t="inlineStr">
        <is>
          <t>Badge và kết quả luôn đồng bộ chính xác sau mỗi lần bỏ chọn.</t>
        </is>
      </c>
      <c r="L44" s="9" t="n"/>
      <c r="M44" s="10" t="n"/>
      <c r="N44" s="10" t="n"/>
      <c r="O44" s="10" t="n"/>
      <c r="P44" s="9" t="n"/>
    </row>
    <row r="45" hidden="1" ht="63.75" customHeight="1">
      <c r="A45" s="11" t="n">
        <v>43</v>
      </c>
      <c r="B45" s="11" t="inlineStr">
        <is>
          <t>SS-SCR-011-SC1</t>
        </is>
      </c>
      <c r="C45" s="11" t="inlineStr">
        <is>
          <t>SS-SCR-011</t>
        </is>
      </c>
      <c r="D45" s="11" t="inlineStr">
        <is>
          <t>J. Add to Cart</t>
        </is>
      </c>
      <c r="E45" s="11" t="inlineStr">
        <is>
          <t>Không có FR ID rõ ràng trong BRD — xem QnA-10</t>
        </is>
      </c>
      <c r="F45" s="11" t="inlineStr">
        <is>
          <t>Functional</t>
        </is>
      </c>
      <c r="G45" s="11" t="inlineStr">
        <is>
          <t>Chạm (+) trên Product Card để thêm sản phẩm vào giỏ ngay tại trang kết quả.</t>
        </is>
      </c>
      <c r="H45" s="11" t="inlineStr">
        <is>
          <t>Chạm (+) trên 1 Product Card còn hàng</t>
        </is>
      </c>
      <c r="I45" s="11" t="inlineStr">
        <is>
          <t>Đang ở trang kết quả (Grid hoặc List).</t>
        </is>
      </c>
      <c r="J45" s="11" t="inlineStr">
        <is>
          <t>Badge giỏ hàng tăng ngay (optimistic update); Toast xác nhận hiện ở đáy màn hình (ảnh + "Đã thêm vào giỏ hàng" + tên sản phẩm + giá), tự ẩn sau 3 giây, không chặn thao tác cuộn; không rời trang kết quả.</t>
        </is>
      </c>
      <c r="K45" s="11" t="inlineStr">
        <is>
          <t>Optimistic update phải rollback nếu API thất bại; toast tự đóng đúng 3s; không rời khỏi trang hiện tại.</t>
        </is>
      </c>
      <c r="L45" s="11" t="inlineStr">
        <is>
          <t>QnA-10, QnA-13</t>
        </is>
      </c>
      <c r="M45" s="10" t="n"/>
      <c r="N45" s="10" t="n"/>
      <c r="O45" s="10" t="n"/>
      <c r="P45" s="11" t="inlineStr">
        <is>
          <t>OPEN — QnA-10, QnA-13: xem chi tiết trong file QnA log.</t>
        </is>
      </c>
    </row>
    <row r="46" hidden="1" ht="51" customHeight="1">
      <c r="A46" s="9" t="n">
        <v>44</v>
      </c>
      <c r="B46" s="9" t="inlineStr">
        <is>
          <t>SS-SCR-011-SC2</t>
        </is>
      </c>
      <c r="C46" s="9" t="inlineStr">
        <is>
          <t>SS-SCR-011</t>
        </is>
      </c>
      <c r="D46" s="9" t="inlineStr">
        <is>
          <t>J. Add to Cart</t>
        </is>
      </c>
      <c r="E46" s="9" t="inlineStr">
        <is>
          <t>Không có FR ID rõ ràng trong BRD — xem QnA-10</t>
        </is>
      </c>
      <c r="F46" s="9" t="inlineStr">
        <is>
          <t>Boundary</t>
        </is>
      </c>
      <c r="G46" s="9" t="inlineStr">
        <is>
          <t>Bấm liên tục (spam) nút (+) nhiều lần nhanh trên cùng 1 sản phẩm.</t>
        </is>
      </c>
      <c r="H46" s="9" t="inlineStr">
        <is>
          <t>Bấm (+) 10 lần liên tục trong &lt;1 giây</t>
        </is>
      </c>
      <c r="I46" s="9" t="inlineStr">
        <is>
          <t>SKU còn hàng, không giới hạn mua.</t>
        </is>
      </c>
      <c r="J46" s="9" t="inlineStr">
        <is>
          <t>Badge giỏ hàng cộng dồn đúng số lần bấm (hoặc theo giới hạn tồn kho nếu chạm ngưỡng); không có race condition khiến số lượng bị đếm sai hoặc bị mất lượt bấm.</t>
        </is>
      </c>
      <c r="K46" s="9" t="inlineStr">
        <is>
          <t>Số lượng cuối cùng trong giỏ khớp chính xác với số lần bấm hợp lệ (không vượt tồn kho).</t>
        </is>
      </c>
      <c r="L46" s="9" t="n"/>
      <c r="M46" s="10" t="n"/>
      <c r="N46" s="10" t="n"/>
      <c r="O46" s="10" t="n"/>
      <c r="P46" s="9" t="n"/>
    </row>
    <row r="47" hidden="1" ht="51" customHeight="1">
      <c r="A47" s="11" t="n">
        <v>45</v>
      </c>
      <c r="B47" s="11" t="inlineStr">
        <is>
          <t>SS-SCR-011-SC3</t>
        </is>
      </c>
      <c r="C47" s="11" t="inlineStr">
        <is>
          <t>SS-SCR-011</t>
        </is>
      </c>
      <c r="D47" s="11" t="inlineStr">
        <is>
          <t>J. Add to Cart</t>
        </is>
      </c>
      <c r="E47" s="11" t="inlineStr">
        <is>
          <t>Không có FR ID rõ ràng trong BRD — xem QnA-10</t>
        </is>
      </c>
      <c r="F47" s="11" t="inlineStr">
        <is>
          <t>Edge</t>
        </is>
      </c>
      <c r="G47" s="11" t="inlineStr">
        <is>
          <t>Toast xác nhận khi thêm nhiều sản phẩm KHÁC NHAU liên tiếp trong thời gian ngắn.</t>
        </is>
      </c>
      <c r="H47" s="11" t="inlineStr">
        <is>
          <t>Thêm SKU-A rồi ngay lập tức thêm SKU-B (trong lúc Toast của SKU-A còn hiển thị)</t>
        </is>
      </c>
      <c r="I47" s="11" t="inlineStr">
        <is>
          <t>2 SKU khác nhau còn hàng.</t>
        </is>
      </c>
      <c r="J47" s="11" t="inlineStr">
        <is>
          <t>Chưa có tài liệu quy định: Toast mới có thay thế Toast cũ ngay lập tức, hay xếp hàng (queue) hiển thị lần lượt từng Toast.</t>
        </is>
      </c>
      <c r="K47" s="11" t="inlineStr">
        <is>
          <t>Không có 2 Toast chồng lấn nhau gây rối UI; badge giỏ hàng luôn phản ánh đúng tổng số item.</t>
        </is>
      </c>
      <c r="L47" s="11" t="inlineStr">
        <is>
          <t>QnA-21</t>
        </is>
      </c>
      <c r="M47" s="10" t="n"/>
      <c r="N47" s="10" t="n"/>
      <c r="O47" s="10" t="n"/>
      <c r="P47" s="11" t="inlineStr">
        <is>
          <t>OPEN — QnA-21: xem chi tiết trong file QnA log.</t>
        </is>
      </c>
    </row>
    <row r="48" hidden="1" ht="51" customHeight="1">
      <c r="A48" s="9" t="n">
        <v>46</v>
      </c>
      <c r="B48" s="9" t="inlineStr">
        <is>
          <t>SS-SCR-011-SC4</t>
        </is>
      </c>
      <c r="C48" s="9" t="inlineStr">
        <is>
          <t>SS-SCR-011</t>
        </is>
      </c>
      <c r="D48" s="9" t="inlineStr">
        <is>
          <t>J. Add to Cart</t>
        </is>
      </c>
      <c r="E48" s="9" t="inlineStr">
        <is>
          <t>Không có FR ID rõ ràng trong BRD — xem QnA-10</t>
        </is>
      </c>
      <c r="F48" s="9" t="inlineStr">
        <is>
          <t>Exception</t>
        </is>
      </c>
      <c r="G48" s="9" t="inlineStr">
        <is>
          <t>Thêm sản phẩm vào giỏ khi mất kết nối mạng.</t>
        </is>
      </c>
      <c r="H48" s="9" t="inlineStr">
        <is>
          <t>Tap (+) trong lúc thiết bị offline</t>
        </is>
      </c>
      <c r="I48" s="9" t="inlineStr">
        <is>
          <t>Giả lập mất mạng hoàn toàn.</t>
        </is>
      </c>
      <c r="J48" s="9" t="inlineStr">
        <is>
          <t>Optimistic update tăng badge tạm thời rồi rollback (giống kịch bản lỗi API 5xx đã có), kèm thông báo lỗi kết nối rõ ràng thay vì lỗi chung chung.</t>
        </is>
      </c>
      <c r="K48" s="9" t="inlineStr">
        <is>
          <t>Có phân biệt được thông báo lỗi mạng và lỗi nghiệp vụ khác (VD hết hàng).</t>
        </is>
      </c>
      <c r="L48" s="9" t="n"/>
      <c r="M48" s="10" t="n"/>
      <c r="N48" s="10" t="n"/>
      <c r="O48" s="10" t="n"/>
      <c r="P48" s="9" t="n"/>
    </row>
    <row r="49" hidden="1" ht="89.25" customHeight="1">
      <c r="A49" s="11" t="n">
        <v>47</v>
      </c>
      <c r="B49" s="11" t="inlineStr">
        <is>
          <t>SS-SCR-012-SC1</t>
        </is>
      </c>
      <c r="C49" s="11" t="inlineStr">
        <is>
          <t>SS-SCR-012</t>
        </is>
      </c>
      <c r="D49" s="11" t="inlineStr">
        <is>
          <t>K. Zero-Result Recovery</t>
        </is>
      </c>
      <c r="E49" s="11" t="inlineStr">
        <is>
          <t>FR-ZR-01, FR-ZR-02, FR-SM-07</t>
        </is>
      </c>
      <c r="F49" s="11" t="inlineStr">
        <is>
          <t>No-result</t>
        </is>
      </c>
      <c r="G49" s="11" t="inlineStr">
        <is>
          <t>Tìm kiếm một từ khoá không có sản phẩm khớp trực tiếp.</t>
        </is>
      </c>
      <c r="H49" s="11" t="inlineStr">
        <is>
          <t>"xịt muỗi Tesla"</t>
        </is>
      </c>
      <c r="I49" s="11" t="inlineStr">
        <is>
          <t>Catalogue đã index, không có SKU khớp trực tiếp.</t>
        </is>
      </c>
      <c r="J49" s="11" t="inlineStr">
        <is>
          <t>Search Bar giữ nguyên từ khoá đã tìm; icon minh hoạ trung tính (không tiêu cực); tiêu đề "Không tìm thấy kết quả"; thông điệp nhắc lại đúng từ khoá đã tìm; khối "Có thể bạn sẽ thích" hiển thị Substitute → Cross-sell → Best-seller theo đúng thứ tự fallback 3 tầng; tuyệt đối không có trang trắng.</t>
        </is>
      </c>
      <c r="K49" s="11" t="inlineStr">
        <is>
          <t>Trang không bao giờ trắng; khối gợi ý luôn có ≥1 sản phẩm; thông điệp trích dẫn đúng nguyên văn từ khoá đã gõ.</t>
        </is>
      </c>
      <c r="L49" s="11" t="inlineStr">
        <is>
          <t>QnA-03</t>
        </is>
      </c>
      <c r="M49" s="10" t="n"/>
      <c r="N49" s="10" t="n"/>
      <c r="O49" s="10" t="n"/>
      <c r="P49" s="11" t="inlineStr">
        <is>
          <t>OPEN — QnA-03: xem chi tiết trong file QnA log.</t>
        </is>
      </c>
    </row>
    <row r="50" hidden="1" ht="38.25" customHeight="1">
      <c r="A50" s="11" t="n">
        <v>48</v>
      </c>
      <c r="B50" s="11" t="inlineStr">
        <is>
          <t>SS-SCR-012-SC2</t>
        </is>
      </c>
      <c r="C50" s="11" t="inlineStr">
        <is>
          <t>SS-SCR-012</t>
        </is>
      </c>
      <c r="D50" s="11" t="inlineStr">
        <is>
          <t>K. Zero-Result Recovery</t>
        </is>
      </c>
      <c r="E50" s="11" t="inlineStr">
        <is>
          <t>FR-ZR-01, FR-ZR-02, FR-SM-07</t>
        </is>
      </c>
      <c r="F50" s="11" t="inlineStr">
        <is>
          <t>Functional</t>
        </is>
      </c>
      <c r="G50" s="11" t="inlineStr">
        <is>
          <t>Tap vào sản phẩm Substitute/Cross-sell trên Zero Result Page.</t>
        </is>
      </c>
      <c r="H50" s="11" t="inlineStr">
        <is>
          <t>Tap 1 card trong khối "Có thể bạn sẽ thích"</t>
        </is>
      </c>
      <c r="I50" s="11" t="inlineStr">
        <is>
          <t>Đang ở Zero Result Page với khối gợi ý hiển thị.</t>
        </is>
      </c>
      <c r="J50" s="11" t="inlineStr">
        <is>
          <t>Chưa có tài liệu quy định: mở thẳng PDP của sản phẩm được gợi ý, hay chạy một truy vấn tìm kiếm mới theo tên sản phẩm đó.</t>
        </is>
      </c>
      <c r="K50" s="11" t="inlineStr">
        <is>
          <t>Điều hướng phải nhất quán, không dẫn tới trang lỗi/trang trắng.</t>
        </is>
      </c>
      <c r="L50" s="11" t="inlineStr">
        <is>
          <t>QnA-23</t>
        </is>
      </c>
      <c r="M50" s="10" t="n"/>
      <c r="N50" s="10" t="n"/>
      <c r="O50" s="10" t="n"/>
      <c r="P50" s="11" t="inlineStr">
        <is>
          <t>OPEN — QnA-23: xem chi tiết trong file QnA log.</t>
        </is>
      </c>
    </row>
    <row r="51" hidden="1" ht="51" customHeight="1">
      <c r="A51" s="9" t="n">
        <v>49</v>
      </c>
      <c r="B51" s="9" t="inlineStr">
        <is>
          <t>SS-SCR-012-SC3</t>
        </is>
      </c>
      <c r="C51" s="9" t="inlineStr">
        <is>
          <t>SS-SCR-012</t>
        </is>
      </c>
      <c r="D51" s="9" t="inlineStr">
        <is>
          <t>K. Zero-Result Recovery</t>
        </is>
      </c>
      <c r="E51" s="9" t="inlineStr">
        <is>
          <t>FR-ZR-01, FR-ZR-02, FR-SM-07</t>
        </is>
      </c>
      <c r="F51" s="9" t="inlineStr">
        <is>
          <t>Boundary</t>
        </is>
      </c>
      <c r="G51" s="9" t="inlineStr">
        <is>
          <t>Sửa lại từ khoá ngay trên Search Bar của Zero Result Page để tìm lại.</t>
        </is>
      </c>
      <c r="H51" s="9" t="inlineStr">
        <is>
          <t>Sửa "xịt muỗi Tesla" thành "xịt muỗi"</t>
        </is>
      </c>
      <c r="I51" s="9" t="inlineStr">
        <is>
          <t>Đang ở Zero Result Page.</t>
        </is>
      </c>
      <c r="J51" s="9" t="inlineStr">
        <is>
          <t>Search Bar cho phép sửa trực tiếp; submit lại chạy truy vấn mới theo đúng từ khoá đã sửa, rời khỏi Zero Result Page nếu có kết quả.</t>
        </is>
      </c>
      <c r="K51" s="9" t="inlineStr">
        <is>
          <t>Sửa và tìm lại hoạt động mượt mà như một lượt tìm kiếm bình thường.</t>
        </is>
      </c>
      <c r="L51" s="9" t="n"/>
      <c r="M51" s="10" t="n"/>
      <c r="N51" s="10" t="n"/>
      <c r="O51" s="10" t="n"/>
      <c r="P51" s="9" t="n"/>
    </row>
    <row r="52" hidden="1" ht="63.75" customHeight="1">
      <c r="A52" s="11" t="n">
        <v>50</v>
      </c>
      <c r="B52" s="11" t="inlineStr">
        <is>
          <t>SS-SCR-013-SC1</t>
        </is>
      </c>
      <c r="C52" s="11" t="inlineStr">
        <is>
          <t>SS-SCR-013</t>
        </is>
      </c>
      <c r="D52" s="11" t="inlineStr">
        <is>
          <t>L. Image Search — Camera</t>
        </is>
      </c>
      <c r="E52" s="11" t="inlineStr">
        <is>
          <t>FR-IS-01</t>
        </is>
      </c>
      <c r="F52" s="11" t="inlineStr">
        <is>
          <t>Normal</t>
        </is>
      </c>
      <c r="G52" s="11" t="inlineStr">
        <is>
          <t>Chụp ảnh sản phẩm bằng camera trong app.</t>
        </is>
      </c>
      <c r="H52" s="11" t="inlineStr">
        <is>
          <t>Ảnh JPEG rõ nét hộp sữa</t>
        </is>
      </c>
      <c r="I52" s="11" t="inlineStr">
        <is>
          <t>Quyền Camera đã cấp.</t>
        </is>
      </c>
      <c r="J52" s="11" t="inlineStr">
        <is>
          <t>Khung ngắm toàn màn hình; nhãn "Camera sau" + nút bật/tắt flash; nút Chụp chuyển sang Loading (SS-SCR-004) rồi tới kết quả nhận diện (SS-SCR-015); xoay camera trước/sau được ghi nhớ cho lần sau.</t>
        </is>
      </c>
      <c r="K52" s="11" t="inlineStr">
        <is>
          <t>Ảnh chụp được truyền đúng sang bước xử lý; trạng thái camera trước/sau được lưu giữa các phiên.</t>
        </is>
      </c>
      <c r="L52" s="11" t="inlineStr">
        <is>
          <t>QnA-12</t>
        </is>
      </c>
      <c r="M52" s="10" t="n"/>
      <c r="N52" s="10" t="n"/>
      <c r="O52" s="10" t="n"/>
      <c r="P52" s="11" t="inlineStr">
        <is>
          <t>OPEN — QnA-12: xem chi tiết trong file QnA log.</t>
        </is>
      </c>
    </row>
    <row r="53" hidden="1" ht="38.25" customHeight="1">
      <c r="A53" s="9" t="n">
        <v>51</v>
      </c>
      <c r="B53" s="9" t="inlineStr">
        <is>
          <t>SS-SCR-013-SC2</t>
        </is>
      </c>
      <c r="C53" s="9" t="inlineStr">
        <is>
          <t>SS-SCR-013</t>
        </is>
      </c>
      <c r="D53" s="9" t="inlineStr">
        <is>
          <t>L. Image Search — Camera</t>
        </is>
      </c>
      <c r="E53" s="9" t="inlineStr">
        <is>
          <t>FR-IS-01</t>
        </is>
      </c>
      <c r="F53" s="9" t="inlineStr">
        <is>
          <t>Functional</t>
        </is>
      </c>
      <c r="G53" s="9" t="inlineStr">
        <is>
          <t>Bật/tắt đèn Flash khi chụp trong điều kiện thiếu sáng.</t>
        </is>
      </c>
      <c r="H53" s="9" t="inlineStr">
        <is>
          <t>Tap nút bật/tắt Flash</t>
        </is>
      </c>
      <c r="I53" s="9" t="inlineStr">
        <is>
          <t>Đang ở Camera Screen.</t>
        </is>
      </c>
      <c r="J53" s="9" t="inlineStr">
        <is>
          <t>Nút Flash chuyển trạng thái bật/tắt tương ứng; ảnh chụp khi Flash bật sáng rõ hơn trong điều kiện thiếu sáng.</t>
        </is>
      </c>
      <c r="K53" s="9" t="inlineStr">
        <is>
          <t>Trạng thái Flash phản ánh đúng trên UI (icon đổi) và trên ảnh chụp thực tế.</t>
        </is>
      </c>
      <c r="L53" s="9" t="n"/>
      <c r="M53" s="10" t="n"/>
      <c r="N53" s="10" t="n"/>
      <c r="O53" s="10" t="n"/>
      <c r="P53" s="9" t="n"/>
    </row>
    <row r="54" hidden="1" ht="38.25" customHeight="1">
      <c r="A54" s="11" t="n">
        <v>52</v>
      </c>
      <c r="B54" s="11" t="inlineStr">
        <is>
          <t>SS-SCR-013-SC3</t>
        </is>
      </c>
      <c r="C54" s="11" t="inlineStr">
        <is>
          <t>SS-SCR-013</t>
        </is>
      </c>
      <c r="D54" s="11" t="inlineStr">
        <is>
          <t>L. Image Search — Camera</t>
        </is>
      </c>
      <c r="E54" s="11" t="inlineStr">
        <is>
          <t>FR-IS-01</t>
        </is>
      </c>
      <c r="F54" s="11" t="inlineStr">
        <is>
          <t>Exception</t>
        </is>
      </c>
      <c r="G54" s="11" t="inlineStr">
        <is>
          <t>Quyền Camera bị thu hồi giữa phiên (ở Cài đặt hệ thống) trong khi app đang chạy nền.</t>
        </is>
      </c>
      <c r="H54" s="11" t="inlineStr">
        <is>
          <t>Thu hồi quyền Camera ở Settings rồi quay lại app</t>
        </is>
      </c>
      <c r="I54" s="11" t="inlineStr">
        <is>
          <t>App đang ở Camera Screen hoặc vừa quay lại foreground.</t>
        </is>
      </c>
      <c r="J54" s="11" t="inlineStr">
        <is>
          <t>Chưa có tài liệu quy định hành vi UI cụ thể khi quyền bị thu hồi giữa phiên (khác với từ chối lần đầu đã có ở test case khác).</t>
        </is>
      </c>
      <c r="K54" s="11" t="inlineStr">
        <is>
          <t>Không crash; có đường dẫn hướng dẫn cấp lại quyền.</t>
        </is>
      </c>
      <c r="L54" s="11" t="inlineStr">
        <is>
          <t>QnA-24</t>
        </is>
      </c>
      <c r="M54" s="10" t="n"/>
      <c r="N54" s="10" t="n"/>
      <c r="O54" s="10" t="n"/>
      <c r="P54" s="11" t="inlineStr">
        <is>
          <t>OPEN — QnA-24: xem chi tiết trong file QnA log.</t>
        </is>
      </c>
    </row>
    <row r="55" hidden="1" ht="63.75" customHeight="1">
      <c r="A55" s="9" t="n">
        <v>53</v>
      </c>
      <c r="B55" s="9" t="inlineStr">
        <is>
          <t>SS-SCR-014-SC1</t>
        </is>
      </c>
      <c r="C55" s="9" t="inlineStr">
        <is>
          <t>SS-SCR-014</t>
        </is>
      </c>
      <c r="D55" s="9" t="inlineStr">
        <is>
          <t>M. Image Search — Gallery</t>
        </is>
      </c>
      <c r="E55" s="9" t="inlineStr">
        <is>
          <t>FR-IS-02, FR-IS-04</t>
        </is>
      </c>
      <c r="F55" s="9" t="inlineStr">
        <is>
          <t>Boundary</t>
        </is>
      </c>
      <c r="G55" s="9" t="inlineStr">
        <is>
          <t>Chọn ảnh từ khay Gallery Bottom Sheet với các mức dung lượng/định dạng khác nhau.</t>
        </is>
      </c>
      <c r="H55" s="9" t="inlineStr">
        <is>
          <t>PNG 2MB hợp lệ / JPEG 5.0MB / JPEG 5.1MB / GIF không hỗ trợ</t>
        </is>
      </c>
      <c r="I55" s="9" t="inlineStr">
        <is>
          <t>Quyền truy cập thư viện đã cấp; khay ảnh gần đây hiển thị lưới 3 cột.</t>
        </is>
      </c>
      <c r="J55" s="9" t="inlineStr">
        <is>
          <t>PNG 2MB &amp; JPEG 5.0MB được chấp nhận, chuyển sang Loading; JPEG 5.1MB và GIF bị từ chối với Toast: "Định dạng hình ảnh không hợp lệ hoặc dung lượng vượt quá 5MB. Vui lòng thử lại." trước khi upload.</t>
        </is>
      </c>
      <c r="K55" s="9" t="inlineStr">
        <is>
          <t>Ngưỡng chính xác ở đúng mốc 5.0MB (chấp nhận) / 5.1MB (từ chối); chỉ JPG/PNG/WEBP được chấp nhận.</t>
        </is>
      </c>
      <c r="L55" s="9" t="n"/>
      <c r="M55" s="10" t="n"/>
      <c r="N55" s="10" t="n"/>
      <c r="O55" s="10" t="n"/>
      <c r="P55" s="9" t="n"/>
    </row>
    <row r="56" hidden="1" ht="51" customHeight="1">
      <c r="A56" s="9" t="n">
        <v>54</v>
      </c>
      <c r="B56" s="9" t="inlineStr">
        <is>
          <t>SS-SCR-014-SC2</t>
        </is>
      </c>
      <c r="C56" s="9" t="inlineStr">
        <is>
          <t>SS-SCR-014</t>
        </is>
      </c>
      <c r="D56" s="9" t="inlineStr">
        <is>
          <t>M. Image Search — Gallery</t>
        </is>
      </c>
      <c r="E56" s="9" t="inlineStr">
        <is>
          <t>FR-IS-02, FR-IS-04</t>
        </is>
      </c>
      <c r="F56" s="9" t="inlineStr">
        <is>
          <t>Edge</t>
        </is>
      </c>
      <c r="G56" s="9" t="inlineStr">
        <is>
          <t>Mở khay Gallery khi thư viện ảnh trống (chưa có ảnh nào).</t>
        </is>
      </c>
      <c r="H56" s="9" t="inlineStr">
        <is>
          <t>Thư viện ảnh = 0 ảnh</t>
        </is>
      </c>
      <c r="I56" s="9" t="inlineStr">
        <is>
          <t>Thiết bị test chưa có ảnh nào trong bộ nhớ/thư viện.</t>
        </is>
      </c>
      <c r="J56" s="9" t="inlineStr">
        <is>
          <t>Hiển thị trạng thái rỗng thân thiện (VD: "Chưa có ảnh nào, hãy chụp ảnh mới") thay vì lưới trống trơn không giải thích; vẫn có đường quay lại Camera Screen để chụp.</t>
        </is>
      </c>
      <c r="K56" s="9" t="inlineStr">
        <is>
          <t>Không hiển thị lưới ảnh trống không có thông điệp gì.</t>
        </is>
      </c>
      <c r="L56" s="9" t="n"/>
      <c r="M56" s="10" t="n"/>
      <c r="N56" s="10" t="n"/>
      <c r="O56" s="10" t="n"/>
      <c r="P56" s="9" t="n"/>
    </row>
    <row r="57" hidden="1" ht="38.25" customHeight="1">
      <c r="A57" s="9" t="n">
        <v>55</v>
      </c>
      <c r="B57" s="9" t="inlineStr">
        <is>
          <t>SS-SCR-014-SC3</t>
        </is>
      </c>
      <c r="C57" s="9" t="inlineStr">
        <is>
          <t>SS-SCR-014</t>
        </is>
      </c>
      <c r="D57" s="9" t="inlineStr">
        <is>
          <t>M. Image Search — Gallery</t>
        </is>
      </c>
      <c r="E57" s="9" t="inlineStr">
        <is>
          <t>FR-IS-02, FR-IS-04</t>
        </is>
      </c>
      <c r="F57" s="9" t="inlineStr">
        <is>
          <t>Negative</t>
        </is>
      </c>
      <c r="G57" s="9" t="inlineStr">
        <is>
          <t>Từ chối quyền truy cập Thư viện ảnh.</t>
        </is>
      </c>
      <c r="H57" s="9" t="inlineStr">
        <is>
          <t>Quyền thư viện = Denied</t>
        </is>
      </c>
      <c r="I57" s="9" t="inlineStr">
        <is>
          <t>Chạm nút Thư viện lần đầu, hệ thống hỏi quyền.</t>
        </is>
      </c>
      <c r="J57" s="9" t="inlineStr">
        <is>
          <t>Hiển thị hướng dẫn cấp quyền lại (đường dẫn tới Cài đặt); không crash; vẫn có thể quay lại chụp ảnh bằng Camera.</t>
        </is>
      </c>
      <c r="K57" s="9" t="inlineStr">
        <is>
          <t>Có đường thoát rõ ràng khi quyền bị từ chối.</t>
        </is>
      </c>
      <c r="L57" s="9" t="n"/>
      <c r="M57" s="10" t="n"/>
      <c r="N57" s="10" t="n"/>
      <c r="O57" s="10" t="n"/>
      <c r="P57" s="9" t="n"/>
    </row>
    <row r="58" hidden="1" ht="63.75" customHeight="1">
      <c r="A58" s="9" t="n">
        <v>56</v>
      </c>
      <c r="B58" s="9" t="inlineStr">
        <is>
          <t>SS-SCR-015-SC1</t>
        </is>
      </c>
      <c r="C58" s="9" t="inlineStr">
        <is>
          <t>SS-SCR-015</t>
        </is>
      </c>
      <c r="D58" s="9" t="inlineStr">
        <is>
          <t>N. Image Search — Recognition Result</t>
        </is>
      </c>
      <c r="E58" s="9" t="inlineStr">
        <is>
          <t>FR-IS-03, FR-IS-07</t>
        </is>
      </c>
      <c r="F58" s="9" t="inlineStr">
        <is>
          <t>Functional</t>
        </is>
      </c>
      <c r="G58" s="9" t="inlineStr">
        <is>
          <t>Kiểm tra trang kết quả ảnh dùng chung layout với trang kết quả văn bản, và tính năng Crop.</t>
        </is>
      </c>
      <c r="H58" s="9" t="inlineStr">
        <is>
          <t>Ảnh chụp hộp sữa TH True Milk</t>
        </is>
      </c>
      <c r="I58" s="9" t="inlineStr">
        <is>
          <t>Ảnh đã xử lý thành công.</t>
        </is>
      </c>
      <c r="J58" s="9" t="inlineStr">
        <is>
          <t>Thumbnail ảnh thay cho từ khoá trong ô tìm kiếm; Sort/Filter dùng chung component với luồng text; lưới kết quả dùng chung Product Card; chạm vào thumbnail mở công cụ Crop để khoanh vùng lại phạm vi quét AI.</t>
        </is>
      </c>
      <c r="K58" s="9" t="inlineStr">
        <is>
          <t>Kết quả ảnh phải dùng cùng công thức xếp hạng với text search (FR-IS-03); mọi hành vi lọc/sắp xếp/thêm giỏ nhất quán với luồng text.</t>
        </is>
      </c>
      <c r="L58" s="9" t="n"/>
      <c r="M58" s="10" t="n"/>
      <c r="N58" s="10" t="n"/>
      <c r="O58" s="10" t="n"/>
      <c r="P58" s="9" t="n"/>
    </row>
    <row r="59" hidden="1" ht="38.25" customHeight="1">
      <c r="A59" s="9" t="n">
        <v>57</v>
      </c>
      <c r="B59" s="9" t="inlineStr">
        <is>
          <t>SS-SCR-015-SC2</t>
        </is>
      </c>
      <c r="C59" s="9" t="inlineStr">
        <is>
          <t>SS-SCR-015</t>
        </is>
      </c>
      <c r="D59" s="9" t="inlineStr">
        <is>
          <t>N. Image Search — Recognition Result</t>
        </is>
      </c>
      <c r="E59" s="9" t="inlineStr">
        <is>
          <t>FR-IS-03, FR-IS-07</t>
        </is>
      </c>
      <c r="F59" s="9" t="inlineStr">
        <is>
          <t>Performance</t>
        </is>
      </c>
      <c r="G59" s="9" t="inlineStr">
        <is>
          <t>Đo thời gian phản hồi tìm kiếm ảnh đầu-cuối.</t>
        </is>
      </c>
      <c r="H59" s="9" t="inlineStr">
        <is>
          <t>Ảnh sản phẩm chuẩn, tải bình thường</t>
        </is>
      </c>
      <c r="I59" s="9" t="inlineStr">
        <is>
          <t>Điều kiện mạng bình thường.</t>
        </is>
      </c>
      <c r="J59" s="9" t="inlineStr">
        <is>
          <t>Kết quả trả về trong vòng 3.000ms ở mức P95 tính từ lúc gửi ảnh tới khi kết quả đầu tiên hiển thị.</t>
        </is>
      </c>
      <c r="K59" s="9" t="inlineStr">
        <is>
          <t>p95 &lt; 3.000ms theo FR-IS-07/NFR-004.</t>
        </is>
      </c>
      <c r="L59" s="9" t="n"/>
      <c r="M59" s="10" t="n"/>
      <c r="N59" s="10" t="n"/>
      <c r="O59" s="10" t="n"/>
      <c r="P59" s="9" t="n"/>
    </row>
    <row r="60" hidden="1" ht="51" customHeight="1">
      <c r="A60" s="9" t="n">
        <v>58</v>
      </c>
      <c r="B60" s="9" t="inlineStr">
        <is>
          <t>SS-SCR-015-SC3</t>
        </is>
      </c>
      <c r="C60" s="9" t="inlineStr">
        <is>
          <t>SS-SCR-015</t>
        </is>
      </c>
      <c r="D60" s="9" t="inlineStr">
        <is>
          <t>N. Image Search — Recognition Result</t>
        </is>
      </c>
      <c r="E60" s="9" t="inlineStr">
        <is>
          <t>FR-IS-03, FR-IS-07</t>
        </is>
      </c>
      <c r="F60" s="9" t="inlineStr">
        <is>
          <t>Functional</t>
        </is>
      </c>
      <c r="G60" s="9" t="inlineStr">
        <is>
          <t>Bỏ ảnh tìm kiếm (tap ✕ trên thumbnail) để quay lại tìm bằng từ khoá.</t>
        </is>
      </c>
      <c r="H60" s="9" t="inlineStr">
        <is>
          <t>Tap (✕) trên thumbnail ảnh trong ô tìm kiếm</t>
        </is>
      </c>
      <c r="I60" s="9" t="inlineStr">
        <is>
          <t>Đang ở trang kết quả ảnh.</t>
        </is>
      </c>
      <c r="J60" s="9" t="inlineStr">
        <is>
          <t>Ảnh bị gỡ khỏi ô tìm kiếm; hệ thống quay về trạng thái tìm bằng từ khoá (Pre-search hoặc ô nhập trống, bàn phím focus), không giữ lại kết quả ảnh cũ.</t>
        </is>
      </c>
      <c r="K60" s="9" t="inlineStr">
        <is>
          <t>Sau khi bỏ ảnh, không còn dấu vết nào của truy vấn ảnh trước đó trong UI.</t>
        </is>
      </c>
      <c r="L60" s="9" t="n"/>
      <c r="M60" s="10" t="n"/>
      <c r="N60" s="10" t="n"/>
      <c r="O60" s="10" t="n"/>
      <c r="P60" s="9" t="n"/>
    </row>
    <row r="61" hidden="1" ht="63.75" customHeight="1">
      <c r="A61" s="9" t="n">
        <v>59</v>
      </c>
      <c r="B61" s="9" t="inlineStr">
        <is>
          <t>SS-SCR-015-SC4</t>
        </is>
      </c>
      <c r="C61" s="9" t="inlineStr">
        <is>
          <t>SS-SCR-015</t>
        </is>
      </c>
      <c r="D61" s="9" t="inlineStr">
        <is>
          <t>N. Image Search — Recognition Result</t>
        </is>
      </c>
      <c r="E61" s="9" t="inlineStr">
        <is>
          <t>FR-IS-03, FR-IS-07</t>
        </is>
      </c>
      <c r="F61" s="9" t="inlineStr">
        <is>
          <t>Boundary</t>
        </is>
      </c>
      <c r="G61" s="9" t="inlineStr">
        <is>
          <t>Nhiều sản phẩm có độ tương đồng gần bằng nhau (ambiguous match) trong kết quả nhận diện ảnh.</t>
        </is>
      </c>
      <c r="H61" s="9" t="inlineStr">
        <is>
          <t>Ảnh sản phẩm có nhiều biến thể tương tự (VD: sữa tươi các nhãn hiệu khác nhau, hình dáng hộp giống nhau)</t>
        </is>
      </c>
      <c r="I61" s="9" t="inlineStr">
        <is>
          <t>Catalogue có nhiều SKU hình dáng bao bì tương tự.</t>
        </is>
      </c>
      <c r="J61" s="9" t="inlineStr">
        <is>
          <t>Hệ thống vẫn trả về danh sách xếp hạng theo độ tương đồng giảm dần, không crash hay trả về danh sách rỗng vì "không chắc chắn"; không tự ý chỉ chọn 1 kết quả duy nhất khi có nhiều ứng viên hợp lý.</t>
        </is>
      </c>
      <c r="K61" s="9" t="inlineStr">
        <is>
          <t>Danh sách kết quả vẫn đầy đủ, xếp hạng hợp lý dù độ tương đồng giữa các SKU gần bằng nhau.</t>
        </is>
      </c>
      <c r="L61" s="9" t="n"/>
      <c r="M61" s="10" t="n"/>
      <c r="N61" s="10" t="n"/>
      <c r="O61" s="10" t="n"/>
      <c r="P61" s="9" t="n"/>
    </row>
    <row r="62" hidden="1" ht="89.25" customHeight="1">
      <c r="A62" s="9" t="n">
        <v>60</v>
      </c>
      <c r="B62" s="9" t="inlineStr">
        <is>
          <t>SS-SCR-016-SC1</t>
        </is>
      </c>
      <c r="C62" s="9" t="inlineStr">
        <is>
          <t>SS-SCR-016</t>
        </is>
      </c>
      <c r="D62" s="9" t="inlineStr">
        <is>
          <t>O. Image Search — Fail</t>
        </is>
      </c>
      <c r="E62" s="9" t="inlineStr">
        <is>
          <t>FR-IS-05</t>
        </is>
      </c>
      <c r="F62" s="9" t="inlineStr">
        <is>
          <t>Edge</t>
        </is>
      </c>
      <c r="G62" s="9" t="inlineStr">
        <is>
          <t>Upload ảnh mờ hoặc không chứa sản phẩm.</t>
        </is>
      </c>
      <c r="H62" s="9" t="inlineStr">
        <is>
          <t>Ảnh mờ/out-of-focus / ảnh phong cảnh không có sản phẩm</t>
        </is>
      </c>
      <c r="I62" s="9" t="inlineStr">
        <is>
          <t>Ảnh hợp lệ về định dạng &amp; dung lượng nhưng không nhận diện được nội dung.</t>
        </is>
      </c>
      <c r="J62" s="9" t="inlineStr">
        <is>
          <t>Header "Tìm bằng ảnh" + nút Back; icon camera trong khung tròn nhạt; tiêu đề "Không nhận diện được"; hướng dẫn khắc phục cụ thể; CTA chính "Thử lại" quay lại Camera Screen (giữ chế độ camera trước đó); CTA phụ "Tìm bằng từ khoá" chuyển sang Pre-search.</t>
        </is>
      </c>
      <c r="K62" s="9" t="inlineStr">
        <is>
          <t>Không ép trả kết quả sai; luôn có ≥1 đường thoát (Thử lại hoặc Tìm bằng từ khoá).</t>
        </is>
      </c>
      <c r="L62" s="9" t="n"/>
      <c r="M62" s="10" t="n"/>
      <c r="N62" s="10" t="n"/>
      <c r="O62" s="10" t="n"/>
      <c r="P62" s="9" t="n"/>
    </row>
    <row r="63" hidden="1" ht="63.75" customHeight="1">
      <c r="A63" s="9" t="n">
        <v>61</v>
      </c>
      <c r="B63" s="9" t="inlineStr">
        <is>
          <t>SS-SCR-016-SC2</t>
        </is>
      </c>
      <c r="C63" s="9" t="inlineStr">
        <is>
          <t>SS-SCR-016</t>
        </is>
      </c>
      <c r="D63" s="9" t="inlineStr">
        <is>
          <t>O. Image Search — Fail</t>
        </is>
      </c>
      <c r="E63" s="9" t="inlineStr">
        <is>
          <t>FR-IS-05</t>
        </is>
      </c>
      <c r="F63" s="9" t="inlineStr">
        <is>
          <t>Exception</t>
        </is>
      </c>
      <c r="G63" s="9" t="inlineStr">
        <is>
          <t>Thử lại nhiều lần liên tiếp (3 lần) đều thất bại nhận diện.</t>
        </is>
      </c>
      <c r="H63" s="9" t="inlineStr">
        <is>
          <t>Upload 3 ảnh mờ liên tiếp, mỗi lần đều fail</t>
        </is>
      </c>
      <c r="I63" s="9" t="inlineStr">
        <is>
          <t>Đang lặp lại luồng Image Search nhiều lần.</t>
        </is>
      </c>
      <c r="J63" s="9" t="inlineStr">
        <is>
          <t>Mỗi lần thất bại đều hiển thị đúng lại màn hình lỗi thân thiện, không có thông điệp/hành vi khác biệt ở lần thử thứ 2-3 (không có cơ chế khoá/giới hạn số lần thử được BRD quy định).</t>
        </is>
      </c>
      <c r="K63" s="9" t="inlineStr">
        <is>
          <t>Không có giới hạn số lần thử lại gây chặn khách; message nhất quán qua các lần.</t>
        </is>
      </c>
      <c r="L63" s="9" t="n"/>
      <c r="M63" s="10" t="n"/>
      <c r="N63" s="10" t="n"/>
      <c r="O63" s="10" t="n"/>
      <c r="P63" s="9" t="n"/>
    </row>
    <row r="64" hidden="1" ht="63.75" customHeight="1">
      <c r="A64" s="11" t="n">
        <v>62</v>
      </c>
      <c r="B64" s="11" t="inlineStr">
        <is>
          <t>SS-SCR-017-SC1</t>
        </is>
      </c>
      <c r="C64" s="11" t="inlineStr">
        <is>
          <t>SS-SCR-017</t>
        </is>
      </c>
      <c r="D64" s="11" t="inlineStr">
        <is>
          <t>P. Voice Search — Listening</t>
        </is>
      </c>
      <c r="E64" s="11" t="inlineStr">
        <is>
          <t>FR-VS-01, FR-VS-02</t>
        </is>
      </c>
      <c r="F64" s="11" t="inlineStr">
        <is>
          <t>Normal</t>
        </is>
      </c>
      <c r="G64" s="11" t="inlineStr">
        <is>
          <t>Nói một truy vấn tiếng Việt và quan sát transcript hiển thị realtime.</t>
        </is>
      </c>
      <c r="H64" s="11" t="inlineStr">
        <is>
          <t>"Ba quả chuối 60.000" (giọng nói)</t>
        </is>
      </c>
      <c r="I64" s="11" t="inlineStr">
        <is>
          <t>Quyền Micro đã cấp; đang ở lớp thu âm Listening.</t>
        </is>
      </c>
      <c r="J64" s="11" t="inlineStr">
        <is>
          <t>Thẻ "Đang nhận diện" hiện ngay khi bắt tín hiệu đầu tiên; văn bản nhận diện realtime cập nhật liên tục; waveform động; bộ đếm thời gian tăng dần; nút Dừng cho phép chủ động kết thúc thu âm bất kỳ lúc nào.</t>
        </is>
      </c>
      <c r="K64" s="11" t="inlineStr">
        <is>
          <t>Transcript cập nhật gần-thời-gian-thực; nút Dừng hoạt động độc lập với auto-stop.</t>
        </is>
      </c>
      <c r="L64" s="11" t="inlineStr">
        <is>
          <t>QnA-05</t>
        </is>
      </c>
      <c r="M64" s="10" t="n"/>
      <c r="N64" s="10" t="n"/>
      <c r="O64" s="10" t="n"/>
      <c r="P64" s="11" t="inlineStr">
        <is>
          <t>OPEN — QnA-05: xem chi tiết trong file QnA log.</t>
        </is>
      </c>
    </row>
    <row r="65" hidden="1" ht="38.25" customHeight="1">
      <c r="A65" s="9" t="n">
        <v>63</v>
      </c>
      <c r="B65" s="9" t="inlineStr">
        <is>
          <t>SS-SCR-017-SC2</t>
        </is>
      </c>
      <c r="C65" s="9" t="inlineStr">
        <is>
          <t>SS-SCR-017</t>
        </is>
      </c>
      <c r="D65" s="9" t="inlineStr">
        <is>
          <t>P. Voice Search — Listening</t>
        </is>
      </c>
      <c r="E65" s="9" t="inlineStr">
        <is>
          <t>FR-VS-01, FR-VS-02</t>
        </is>
      </c>
      <c r="F65" s="9" t="inlineStr">
        <is>
          <t>Boundary</t>
        </is>
      </c>
      <c r="G65" s="9" t="inlineStr">
        <is>
          <t>Nói câu rất ngắn (&lt;1 giây) hoặc chỉ 1 từ đơn.</t>
        </is>
      </c>
      <c r="H65" s="9" t="inlineStr">
        <is>
          <t>"sữa" (nói trong &lt;1 giây)</t>
        </is>
      </c>
      <c r="I65" s="9" t="inlineStr">
        <is>
          <t>Đã bắt đầu thu âm.</t>
        </is>
      </c>
      <c r="J65" s="9" t="inlineStr">
        <is>
          <t>Hệ thống vẫn xử lý được câu nói cực ngắn, transcript hiển thị đúng "sữa", không coi là "không nghe rõ" chỉ vì độ dài ngắn.</t>
        </is>
      </c>
      <c r="K65" s="9" t="inlineStr">
        <is>
          <t>Câu nói ngắn hợp lệ không bị nhầm với trường hợp im lặng/không nghe rõ.</t>
        </is>
      </c>
      <c r="L65" s="9" t="n"/>
      <c r="M65" s="10" t="n"/>
      <c r="N65" s="10" t="n"/>
      <c r="O65" s="10" t="n"/>
      <c r="P65" s="9" t="n"/>
    </row>
    <row r="66" hidden="1" ht="51" customHeight="1">
      <c r="A66" s="11" t="n">
        <v>64</v>
      </c>
      <c r="B66" s="11" t="inlineStr">
        <is>
          <t>SS-SCR-017-SC3</t>
        </is>
      </c>
      <c r="C66" s="11" t="inlineStr">
        <is>
          <t>SS-SCR-017</t>
        </is>
      </c>
      <c r="D66" s="11" t="inlineStr">
        <is>
          <t>P. Voice Search — Listening</t>
        </is>
      </c>
      <c r="E66" s="11" t="inlineStr">
        <is>
          <t>FR-VS-01, FR-VS-02</t>
        </is>
      </c>
      <c r="F66" s="11" t="inlineStr">
        <is>
          <t>Exception</t>
        </is>
      </c>
      <c r="G66" s="11" t="inlineStr">
        <is>
          <t>Xử lý số đếm và đơn vị trong câu nói (VD: "hai lít", "500 gram").</t>
        </is>
      </c>
      <c r="H66" s="11" t="inlineStr">
        <is>
          <t>"sữa tươi hai lít"</t>
        </is>
      </c>
      <c r="I66" s="11" t="inlineStr">
        <is>
          <t>Đang thu âm.</t>
        </is>
      </c>
      <c r="J66" s="11" t="inlineStr">
        <is>
          <t>Chưa được TD/BA chốt cách xử lý số đếm/đơn vị khi đưa vào truy vấn tìm kiếm (đã được chính storyboard ghi nhận là điểm cần chốt).</t>
        </is>
      </c>
      <c r="K66" s="11" t="inlineStr">
        <is>
          <t>Không crash; kết quả tối thiểu phải liên quan tới "sữa tươi" dù số/đơn vị có được xử lý chính xác hay không.</t>
        </is>
      </c>
      <c r="L66" s="11" t="inlineStr">
        <is>
          <t>QnA-22</t>
        </is>
      </c>
      <c r="M66" s="10" t="n"/>
      <c r="N66" s="10" t="n"/>
      <c r="O66" s="10" t="n"/>
      <c r="P66" s="11" t="inlineStr">
        <is>
          <t>OPEN — QnA-22: xem chi tiết trong file QnA log.</t>
        </is>
      </c>
    </row>
    <row r="67" hidden="1" ht="76.5" customHeight="1">
      <c r="A67" s="9" t="n">
        <v>65</v>
      </c>
      <c r="B67" s="9" t="inlineStr">
        <is>
          <t>SS-SCR-018-SC1</t>
        </is>
      </c>
      <c r="C67" s="9" t="inlineStr">
        <is>
          <t>SS-SCR-018</t>
        </is>
      </c>
      <c r="D67" s="9" t="inlineStr">
        <is>
          <t>Q. Voice Search — Result</t>
        </is>
      </c>
      <c r="E67" s="9" t="inlineStr">
        <is>
          <t>FR-VS-04, FR-VS-05</t>
        </is>
      </c>
      <c r="F67" s="9" t="inlineStr">
        <is>
          <t>Functional</t>
        </is>
      </c>
      <c r="G67" s="9" t="inlineStr">
        <is>
          <t>Sau khi transcribe xong, hệ thống điều hướng thẳng sang trang kết quả (không qua màn xác minh trung gian).</t>
        </is>
      </c>
      <c r="H67" s="9" t="inlineStr">
        <is>
          <t>Giọng nói "sữa tươi không đường"</t>
        </is>
      </c>
      <c r="I67" s="9" t="inlineStr">
        <is>
          <t>Voice-to-text xử lý xong.</t>
        </is>
      </c>
      <c r="J67" s="9" t="inlineStr">
        <is>
          <t>Văn bản nhận diện điền thẳng vào Search Bar; không có màn hình xác minh trung gian; kết quả áp dụng đúng logic mở rộng đồng nghĩa &amp; chuẩn hoá dấu giống hệt Text Search; khách có thể tap vào Search Bar để sửa tay bằng bàn phím.</t>
        </is>
      </c>
      <c r="K67" s="9" t="inlineStr">
        <is>
          <t>Không có bước xác nhận thừa; sửa tay tại Search Bar phải kích hoạt lại tìm kiếm đúng văn bản mới.</t>
        </is>
      </c>
      <c r="L67" s="9" t="n"/>
      <c r="M67" s="10" t="n"/>
      <c r="N67" s="10" t="n"/>
      <c r="O67" s="10" t="n"/>
      <c r="P67" s="9" t="n"/>
    </row>
    <row r="68" hidden="1" ht="51" customHeight="1">
      <c r="A68" s="9" t="n">
        <v>66</v>
      </c>
      <c r="B68" s="9" t="inlineStr">
        <is>
          <t>SS-SCR-018-SC2</t>
        </is>
      </c>
      <c r="C68" s="9" t="inlineStr">
        <is>
          <t>SS-SCR-018</t>
        </is>
      </c>
      <c r="D68" s="9" t="inlineStr">
        <is>
          <t>Q. Voice Search — Result</t>
        </is>
      </c>
      <c r="E68" s="9" t="inlineStr">
        <is>
          <t>FR-VS-04, FR-VS-05</t>
        </is>
      </c>
      <c r="F68" s="9" t="inlineStr">
        <is>
          <t>Boundary</t>
        </is>
      </c>
      <c r="G68" s="9" t="inlineStr">
        <is>
          <t>Voice search trả về transcript rỗng (không nhận được nội dung nào dù không rơi vào luồng lỗi rõ ràng).</t>
        </is>
      </c>
      <c r="H68" s="9" t="inlineStr">
        <is>
          <t>Giọng nói cực nhỏ, hệ thống transcribe ra chuỗi rỗng</t>
        </is>
      </c>
      <c r="I68" s="9" t="inlineStr">
        <is>
          <t>Kết thúc thu âm, hệ thống xử lý xong.</t>
        </is>
      </c>
      <c r="J68" s="9" t="inlineStr">
        <is>
          <t>Trường hợp transcript rỗng nên được xử lý như luồng "Không nhận diện được" (SS-SCR-019) thay vì hiển thị trang kết quả với ô tìm kiếm trống.</t>
        </is>
      </c>
      <c r="K68" s="9" t="inlineStr">
        <is>
          <t>Không hiển thị trang kết quả với Search Bar trống trơn không có ý nghĩa.</t>
        </is>
      </c>
      <c r="L68" s="9" t="n"/>
      <c r="M68" s="10" t="n"/>
      <c r="N68" s="10" t="n"/>
      <c r="O68" s="10" t="n"/>
      <c r="P68" s="9" t="n"/>
    </row>
    <row r="69" hidden="1" ht="76.5" customHeight="1">
      <c r="A69" s="9" t="n">
        <v>67</v>
      </c>
      <c r="B69" s="9" t="inlineStr">
        <is>
          <t>SS-SCR-019-SC1</t>
        </is>
      </c>
      <c r="C69" s="9" t="inlineStr">
        <is>
          <t>SS-SCR-019</t>
        </is>
      </c>
      <c r="D69" s="9" t="inlineStr">
        <is>
          <t>R. Voice Search — Fail</t>
        </is>
      </c>
      <c r="E69" s="9" t="inlineStr">
        <is>
          <t>FR-VS-06</t>
        </is>
      </c>
      <c r="F69" s="9" t="inlineStr">
        <is>
          <t>Exception</t>
        </is>
      </c>
      <c r="G69" s="9" t="inlineStr">
        <is>
          <t>Giọng nói không thể giải thích được (ồn/im lặng).</t>
        </is>
      </c>
      <c r="H69" s="9" t="inlineStr">
        <is>
          <t>Chỉ có tiếng ồn nền, không có giọng nói rõ</t>
        </is>
      </c>
      <c r="I69" s="9" t="inlineStr">
        <is>
          <t>Micro hoạt động, thu âm đã kết thúc (auto-stop hoặc manual stop).</t>
        </is>
      </c>
      <c r="J69" s="9" t="inlineStr">
        <is>
          <t>Header "Tìm bằng giọng nói" + Back; icon micro trong khung tròn nhạt (cùng mẫu lỗi với luồng ảnh); tiêu đề "Không nhận diện được"; hướng dẫn khắc phục cụ thể; CTA "Thử lại" mở lại lớp thu âm; CTA phụ "Tìm bằng từ khoá" chuyển sang Pre-search.</t>
        </is>
      </c>
      <c r="K69" s="9" t="inlineStr">
        <is>
          <t>Không có kết quả tìm kiếm giả mạo được kích hoạt; luôn có đường thoát sang phương thức khác.</t>
        </is>
      </c>
      <c r="L69" s="9" t="n"/>
      <c r="M69" s="10" t="n"/>
      <c r="N69" s="10" t="n"/>
      <c r="O69" s="10" t="n"/>
      <c r="P69" s="9" t="n"/>
    </row>
    <row r="70" hidden="1" ht="51" customHeight="1">
      <c r="A70" s="9" t="n">
        <v>68</v>
      </c>
      <c r="B70" s="9" t="inlineStr">
        <is>
          <t>SS-SCR-019-SC2</t>
        </is>
      </c>
      <c r="C70" s="9" t="inlineStr">
        <is>
          <t>SS-SCR-019</t>
        </is>
      </c>
      <c r="D70" s="9" t="inlineStr">
        <is>
          <t>R. Voice Search — Fail</t>
        </is>
      </c>
      <c r="E70" s="9" t="inlineStr">
        <is>
          <t>FR-VS-06</t>
        </is>
      </c>
      <c r="F70" s="9" t="inlineStr">
        <is>
          <t>Boundary</t>
        </is>
      </c>
      <c r="G70" s="9" t="inlineStr">
        <is>
          <t>Thử lại nhiều lần liên tiếp (3 lần) đều không nhận diện được giọng nói.</t>
        </is>
      </c>
      <c r="H70" s="9" t="inlineStr">
        <is>
          <t>3 lần liên tiếp chỉ có tiếng ồn/im lặng</t>
        </is>
      </c>
      <c r="I70" s="9" t="inlineStr">
        <is>
          <t>Lặp lại luồng Voice Search nhiều lần.</t>
        </is>
      </c>
      <c r="J70" s="9" t="inlineStr">
        <is>
          <t>Mỗi lần đều hiển thị đúng lại màn lỗi "Không nhận diện được" nhất quán, không có cơ chế khoá tính năng sau nhiều lần thất bại (không được BRD quy định).</t>
        </is>
      </c>
      <c r="K70" s="9" t="inlineStr">
        <is>
          <t>Không bị chặn tính năng sau nhiều lần thất bại liên tiếp.</t>
        </is>
      </c>
      <c r="L70" s="9" t="n"/>
      <c r="M70" s="10" t="n"/>
      <c r="N70" s="10" t="n"/>
      <c r="O70" s="10" t="n"/>
      <c r="P70" s="9" t="n"/>
    </row>
  </sheetData>
  <autoFilter ref="A2:P70">
    <filterColumn colId="2" hiddenButton="0" showButton="1">
      <filters>
        <filter val="SS-SCR-001"/>
      </filters>
    </filterColumn>
  </autoFilter>
  <mergeCells count="1">
    <mergeCell ref="A1:P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Q114"/>
  <sheetViews>
    <sheetView showGridLines="0" zoomScaleNormal="100" workbookViewId="0">
      <pane ySplit="2" topLeftCell="A3" activePane="bottomLeft" state="frozen"/>
      <selection pane="bottomLeft" activeCell="D3" sqref="D3"/>
    </sheetView>
  </sheetViews>
  <sheetFormatPr baseColWidth="8" defaultColWidth="8.7109375" defaultRowHeight="15"/>
  <cols>
    <col width="22" customWidth="1" min="1" max="1"/>
    <col width="20" customWidth="1" min="2" max="2"/>
    <col width="12" customWidth="1" min="3" max="3"/>
    <col width="26" customWidth="1" min="4" max="4"/>
    <col width="12" customWidth="1" min="5" max="5"/>
    <col width="34" customWidth="1" min="6" max="6"/>
    <col width="26" customWidth="1" min="7" max="7"/>
    <col width="46" customWidth="1" min="8" max="8"/>
    <col width="26" customWidth="1" min="9" max="9"/>
    <col width="46" customWidth="1" min="10" max="10"/>
    <col width="10" customWidth="1" min="11" max="11"/>
    <col width="14" customWidth="1" min="12" max="13"/>
    <col width="10" customWidth="1" min="14" max="14"/>
    <col width="12" customWidth="1" min="15" max="15"/>
    <col width="10" customWidth="1" min="16" max="16"/>
    <col width="40" customWidth="1" min="17" max="17"/>
  </cols>
  <sheetData>
    <row r="1" ht="21.75" customHeight="1">
      <c r="A1" s="3" t="inlineStr">
        <is>
          <t>Smart Search — UI-Detailed Test Cases (rooted in UI Test Scenarios)</t>
        </is>
      </c>
    </row>
    <row r="2" ht="25.5" customHeight="1">
      <c r="A2" s="8" t="inlineStr">
        <is>
          <t>Test Case ID</t>
        </is>
      </c>
      <c r="B2" s="8" t="inlineStr">
        <is>
          <t>Parent Scenario ID</t>
        </is>
      </c>
      <c r="C2" s="8" t="inlineStr">
        <is>
          <t>Screen ID</t>
        </is>
      </c>
      <c r="D2" s="8" t="inlineStr">
        <is>
          <t>REQ ID (BRD/Storyboard)</t>
        </is>
      </c>
      <c r="E2" s="8" t="inlineStr">
        <is>
          <t>Test Case Type</t>
        </is>
      </c>
      <c r="F2" s="8" t="inlineStr">
        <is>
          <t>Test Case Title</t>
        </is>
      </c>
      <c r="G2" s="8" t="inlineStr">
        <is>
          <t>Preconditions</t>
        </is>
      </c>
      <c r="H2" s="8" t="inlineStr">
        <is>
          <t>Test Steps</t>
        </is>
      </c>
      <c r="I2" s="8" t="inlineStr">
        <is>
          <t>Test Data</t>
        </is>
      </c>
      <c r="J2" s="8" t="inlineStr">
        <is>
          <t>Expected Result</t>
        </is>
      </c>
      <c r="K2" s="8" t="inlineStr">
        <is>
          <t>Priority</t>
        </is>
      </c>
      <c r="L2" s="8" t="inlineStr">
        <is>
          <t>Actual Result</t>
        </is>
      </c>
      <c r="M2" s="8" t="inlineStr">
        <is>
          <t>Pass/Fail Status</t>
        </is>
      </c>
      <c r="N2" s="8" t="inlineStr">
        <is>
          <t>Tester</t>
        </is>
      </c>
      <c r="O2" s="8" t="inlineStr">
        <is>
          <t>Test Date</t>
        </is>
      </c>
      <c r="P2" s="8" t="inlineStr">
        <is>
          <t>QnA Ref</t>
        </is>
      </c>
      <c r="Q2" s="8" t="inlineStr">
        <is>
          <t>Comments</t>
        </is>
      </c>
    </row>
    <row r="3" ht="165.75" customHeight="1">
      <c r="A3" s="9" t="inlineStr">
        <is>
          <t>SS-SCR-001-SC1-TC1</t>
        </is>
      </c>
      <c r="B3" s="9" t="inlineStr">
        <is>
          <t>SS-SCR-001-SC1</t>
        </is>
      </c>
      <c r="C3" s="9" t="inlineStr">
        <is>
          <t>SS-SCR-001</t>
        </is>
      </c>
      <c r="D3" s="9" t="inlineStr">
        <is>
          <t>FR-SP-02, FR-IS-02, FR-VS-02, FR-PS-01, FR-PS-02, FR-PS-03, FR-PS-04</t>
        </is>
      </c>
      <c r="E3" s="9" t="inlineStr">
        <is>
          <t>Normal</t>
        </is>
      </c>
      <c r="F3" s="9" t="inlineStr">
        <is>
          <t>Điều hướng từ 4 điểm chạm trên Search Bar</t>
        </is>
      </c>
      <c r="G3" s="9" t="inlineStr">
        <is>
          <t>App đã mở, ở bất kỳ màn hình nào có Global Header.</t>
        </is>
      </c>
      <c r="H3" s="9" t="inlineStr">
        <is>
          <t>1. Mở app ở Trang chủ.
2. Chạm vào ô nhập Search Bar.
3. Xác nhận điều hướng sang SS-SCR-002 (Autocomplete), bàn phím auto-focus.
4. Quay lại, chạm icon Mic.
5. Xác nhận điều hướng sang SS-SCR-017 (Đang lắng nghe) và hệ thống hỏi quyền micro (lần đầu).
6. Quay lại, chạm icon Camera.
7. Xác nhận điều hướng sang SS-SCR-013 (Camera Capture) và hệ thống hỏi quyền camera (lần đầu).
8. Quay lại, chạm icon Giỏ hàng.
9. Xác nhận mở đúng trang Giỏ hàng và badge số lượng khớp với giỏ hiện tại.</t>
        </is>
      </c>
      <c r="I3" s="9" t="inlineStr">
        <is>
          <t>N/A (điều hướng UI thuần)</t>
        </is>
      </c>
      <c r="J3" s="9" t="inlineStr">
        <is>
          <t>Mỗi điểm chạm mở đúng 1 màn hình đích tương ứng; bàn phím auto-focus khi vào Autocomplete; popup quyền camera/mic chỉ xuất hiện ở lần dùng đầu tiên theo FR-IS-02/FR-VS-02.</t>
        </is>
      </c>
      <c r="K3" s="9" t="inlineStr">
        <is>
          <t>High</t>
        </is>
      </c>
      <c r="L3" s="10" t="n"/>
      <c r="M3" s="10" t="inlineStr">
        <is>
          <t>Not Run</t>
        </is>
      </c>
      <c r="N3" s="10" t="n"/>
      <c r="O3" s="10" t="n"/>
      <c r="P3" s="9" t="n"/>
      <c r="Q3" s="9" t="n"/>
    </row>
    <row r="4" ht="76.5" customHeight="1">
      <c r="A4" s="9" t="inlineStr">
        <is>
          <t>SS-SCR-001-SC1-TC2</t>
        </is>
      </c>
      <c r="B4" s="9" t="inlineStr">
        <is>
          <t>SS-SCR-001-SC1</t>
        </is>
      </c>
      <c r="C4" s="9" t="inlineStr">
        <is>
          <t>SS-SCR-001</t>
        </is>
      </c>
      <c r="D4" s="9" t="inlineStr">
        <is>
          <t>FR-SP-02, FR-IS-02, FR-VS-02, FR-PS-01, FR-PS-02, FR-PS-03, FR-PS-04</t>
        </is>
      </c>
      <c r="E4" s="9" t="inlineStr">
        <is>
          <t>Negative</t>
        </is>
      </c>
      <c r="F4" s="9" t="inlineStr">
        <is>
          <t>Từ chối quyền Camera/Mic ở lần dùng đầu</t>
        </is>
      </c>
      <c r="G4" s="9" t="inlineStr">
        <is>
          <t>App đã mở, ở bất kỳ màn hình nào có Global Header.</t>
        </is>
      </c>
      <c r="H4" s="9" t="inlineStr">
        <is>
          <t>1. Cài app ở trạng thái chưa từng cấp quyền Camera/Mic.
2. Chạm icon Camera trên Search Bar, chọn "Từ chối" ở popup hệ thống.
3. Quan sát hành vi UI.
4. Lặp lại bước 2-3 cho icon Mic.</t>
        </is>
      </c>
      <c r="I4" s="9" t="inlineStr">
        <is>
          <t>Quyền hệ thống = Denied</t>
        </is>
      </c>
      <c r="J4" s="9" t="inlineStr">
        <is>
          <t>Theo storyboard SS-SCR-001: hệ thống hiển thị popup yêu cầu cấp quyền lại và có đường dẫn hướng dẫn mở Cài đặt; không crash, không mở màn hình chụp/nghe khi quyền bị từ chối.</t>
        </is>
      </c>
      <c r="K4" s="9" t="inlineStr">
        <is>
          <t>Medium</t>
        </is>
      </c>
      <c r="L4" s="10" t="n"/>
      <c r="M4" s="10" t="inlineStr">
        <is>
          <t>Not Run</t>
        </is>
      </c>
      <c r="N4" s="10" t="n"/>
      <c r="O4" s="10" t="n"/>
      <c r="P4" s="9" t="n"/>
      <c r="Q4" s="9" t="n"/>
    </row>
    <row r="5" ht="89.25" customHeight="1">
      <c r="A5" s="9" t="inlineStr">
        <is>
          <t>SS-SCR-001-SC2-TC1</t>
        </is>
      </c>
      <c r="B5" s="9" t="inlineStr">
        <is>
          <t>SS-SCR-001-SC2</t>
        </is>
      </c>
      <c r="C5" s="9" t="inlineStr">
        <is>
          <t>SS-SCR-001</t>
        </is>
      </c>
      <c r="D5" s="9" t="inlineStr">
        <is>
          <t>FR-SP-02, FR-IS-02, FR-VS-02, FR-PS-01, FR-PS-02, FR-PS-03, FR-PS-04</t>
        </is>
      </c>
      <c r="E5" s="9" t="inlineStr">
        <is>
          <t>Boundary</t>
        </is>
      </c>
      <c r="F5" s="9" t="inlineStr">
        <is>
          <t>Giới hạn 10 chip + cơ chế FIFO</t>
        </is>
      </c>
      <c r="G5" s="9" t="inlineStr">
        <is>
          <t>Local Storage của thiết bị chứa lịch sử tìm kiếm.</t>
        </is>
      </c>
      <c r="H5" s="9" t="inlineStr">
        <is>
          <t>1. Xoá lịch sử tìm kiếm, xác nhận khối "Tìm kiếm gần đây" bị ẩn hoàn toàn (kể cả header).
2. Thực hiện 10 lượt tìm kiếm với 10 từ khoá khác nhau (VD: sữa, trứng, mì gói, ... x10).
3. Vào lại Pre-search, đếm số chip hiển thị.
4. Thực hiện thêm 1 tìm kiếm mới (từ khoá thứ 11).
5. Vào lại Pre-search, kiểm tra danh sách chip.</t>
        </is>
      </c>
      <c r="I5" s="9" t="inlineStr">
        <is>
          <t>10 từ khoá khởi tạo + 1 từ khoá thứ 11 (VD: "nước mắm")</t>
        </is>
      </c>
      <c r="J5" s="9" t="inlineStr">
        <is>
          <t>Bước 1: khối ẩn hoàn toàn khi rỗng. Bước 3: đúng 10 chip, từ khoá mới nhất ở vị trí đầu. Bước 5: vẫn đúng 10 chip, từ khoá tìm đầu tiên (cũ nhất) đã bị loại bỏ theo FIFO, từ khoá thứ 11 lên đầu danh sách.</t>
        </is>
      </c>
      <c r="K5" s="9" t="inlineStr">
        <is>
          <t>High</t>
        </is>
      </c>
      <c r="L5" s="10" t="n"/>
      <c r="M5" s="10" t="inlineStr">
        <is>
          <t>Not Run</t>
        </is>
      </c>
      <c r="N5" s="10" t="n"/>
      <c r="O5" s="10" t="n"/>
      <c r="P5" s="9" t="n"/>
      <c r="Q5" s="9" t="n"/>
    </row>
    <row r="6" ht="38.25" customHeight="1">
      <c r="A6" s="9" t="inlineStr">
        <is>
          <t>SS-SCR-001-SC2-TC2</t>
        </is>
      </c>
      <c r="B6" s="9" t="inlineStr">
        <is>
          <t>SS-SCR-001-SC2</t>
        </is>
      </c>
      <c r="C6" s="9" t="inlineStr">
        <is>
          <t>SS-SCR-001</t>
        </is>
      </c>
      <c r="D6" s="9" t="inlineStr">
        <is>
          <t>FR-SP-02, FR-IS-02, FR-VS-02, FR-PS-01, FR-PS-02, FR-PS-03, FR-PS-04</t>
        </is>
      </c>
      <c r="E6" s="9" t="inlineStr">
        <is>
          <t>Functional</t>
        </is>
      </c>
      <c r="F6" s="9" t="inlineStr">
        <is>
          <t>Nút "Xoá tất cả" xoá toàn bộ lịch sử</t>
        </is>
      </c>
      <c r="G6" s="9" t="inlineStr">
        <is>
          <t>Local Storage của thiết bị chứa lịch sử tìm kiếm.</t>
        </is>
      </c>
      <c r="H6" s="9" t="inlineStr">
        <is>
          <t>1. Đảm bảo có ≥1 chip trong "Tìm kiếm gần đây".
2. Chạm nút "Xoá tất cả" ở header khối.
3. Quan sát UI ngay sau khi xoá.</t>
        </is>
      </c>
      <c r="I6" s="9" t="inlineStr">
        <is>
          <t>N/A</t>
        </is>
      </c>
      <c r="J6" s="9" t="inlineStr">
        <is>
          <t>Toàn bộ chip biến mất; khối (bao gồm cả header) tự ẩn theo đúng quy tắc "ẩn cả khối nếu lịch sử rỗng".</t>
        </is>
      </c>
      <c r="K6" s="9" t="inlineStr">
        <is>
          <t>Medium</t>
        </is>
      </c>
      <c r="L6" s="10" t="n"/>
      <c r="M6" s="10" t="inlineStr">
        <is>
          <t>Not Run</t>
        </is>
      </c>
      <c r="N6" s="10" t="n"/>
      <c r="O6" s="10" t="n"/>
      <c r="P6" s="9" t="n"/>
      <c r="Q6" s="9" t="n"/>
    </row>
    <row r="7" ht="38.25" customHeight="1">
      <c r="A7" s="9" t="inlineStr">
        <is>
          <t>SS-SCR-001-SC2-TC3</t>
        </is>
      </c>
      <c r="B7" s="9" t="inlineStr">
        <is>
          <t>SS-SCR-001-SC2</t>
        </is>
      </c>
      <c r="C7" s="9" t="inlineStr">
        <is>
          <t>SS-SCR-001</t>
        </is>
      </c>
      <c r="D7" s="9" t="inlineStr">
        <is>
          <t>FR-SP-02, FR-IS-02, FR-VS-02, FR-PS-01, FR-PS-02, FR-PS-03, FR-PS-04</t>
        </is>
      </c>
      <c r="E7" s="9" t="inlineStr">
        <is>
          <t>Edge</t>
        </is>
      </c>
      <c r="F7" s="9" t="inlineStr">
        <is>
          <t>"Xoá tất cả" chỉ xoá lịch sử cục bộ trên thiết bị đó, không đồng bộ giữa các thiết bị</t>
        </is>
      </c>
      <c r="G7" s="9" t="inlineStr">
        <is>
          <t>Khách hàng đã đăng nhập cùng 1 tài khoản trên 2 thiết bị khác nhau (Thiết bị A và Thiết bị B), mỗi thiết bị có lịch sử "Tìm kiếm gần đây" lưu cục bộ riêng.</t>
        </is>
      </c>
      <c r="H7" s="9" t="inlineStr">
        <is>
          <t>1. Trên Thiết bị A, tạo lịch sử Tìm kiếm gần đây (3-5 từ khoá).
2. Trên Thiết bị B, đăng nhập cùng tài khoản và tạo lịch sử Tìm kiếm gần đây riêng của thiết bị đó.
3. Trên Thiết bị A, chạm "Xoá tất cả" trong khối Tìm kiếm gần đây.
4. Trên Thiết bị B, không thao tác gì thêm, kiểm tra lại khối Tìm kiếm gần đây.
5. Đăng xuất rồi đăng nhập lại trên Thiết bị B (hoặc mở lại app) và kiểm tra lần nữa.</t>
        </is>
      </c>
      <c r="I7" s="9" t="inlineStr">
        <is>
          <t>2 thiết bị cùng 1 tài khoản Thành viên, mỗi thiết bị có cache Tìm kiếm gần đây khác nhau.</t>
        </is>
      </c>
      <c r="J7" s="9" t="inlineStr">
        <is>
          <t>TBD — "Xoá tất cả" chỉ xoá local storage trên Thiết bị A. Thiết bị B vẫn giữ nguyên cache riêng của nó ngay sau bước 3/4 (Tìm kiếm gần đây lưu cục bộ trên thiết bị), trừ khi hệ thống có cơ chế đồng bộ server-side, hiện chưa xác nhận. Chưa chốt Pass/Fail cho tới khi BA xác nhận — xem QnA-27.</t>
        </is>
      </c>
      <c r="K7" s="9" t="inlineStr">
        <is>
          <t>Medium</t>
        </is>
      </c>
      <c r="L7" s="10" t="n"/>
      <c r="M7" s="10" t="inlineStr">
        <is>
          <t>N/A</t>
        </is>
      </c>
      <c r="N7" s="10" t="n"/>
      <c r="O7" s="10" t="n"/>
      <c r="P7" s="9" t="inlineStr">
        <is>
          <t>QnA-27</t>
        </is>
      </c>
      <c r="Q7" s="9" t="inlineStr">
        <is>
          <t>OPEN: hành vi đồng bộ Tìm kiếm gần đây giữa nhiều thiết bị chưa có tài liệu quy định. Đã ghi QnA-27.</t>
        </is>
      </c>
    </row>
    <row r="8" ht="38.25" customHeight="1">
      <c r="A8" s="9" t="inlineStr">
        <is>
          <t>SS-SCR-001-SC2-TC4</t>
        </is>
      </c>
      <c r="B8" s="9" t="inlineStr">
        <is>
          <t>SS-SCR-001-SC2</t>
        </is>
      </c>
      <c r="C8" s="9" t="inlineStr">
        <is>
          <t>SS-SCR-001</t>
        </is>
      </c>
      <c r="D8" s="9" t="inlineStr">
        <is>
          <t>FR-SP-02, FR-IS-02, FR-VS-02, FR-PS-01, FR-PS-02, FR-PS-03, FR-PS-04</t>
        </is>
      </c>
      <c r="E8" s="9" t="inlineStr">
        <is>
          <t>Functional</t>
        </is>
      </c>
      <c r="F8" s="9" t="inlineStr">
        <is>
          <t>Chạm vào 1 chip Tìm kiếm gần đây sẽ đổ từ khoá vào Search Bar và tìm lại</t>
        </is>
      </c>
      <c r="G8" s="9" t="inlineStr">
        <is>
          <t>Khối "Tìm kiếm gần đây" hiển thị ≥1 chip.</t>
        </is>
      </c>
      <c r="H8" s="9" t="inlineStr">
        <is>
          <t>1. Ghi nhận thứ tự hiện tại của các chip trong "Tìm kiếm gần đây" (VD: chip #1 = mới nhất, đứng đầu).
2. Chạm vào 1 chip KHÔNG phải chip đứng đầu (VD: chip cũ hơn).
3. Kiểm tra nội dung ô nhập Search Bar và kết quả tìm kiếm hiển thị.
4. Quay lại Pre-search, kiểm tra lại danh sách "Tìm kiếm gần đây".</t>
        </is>
      </c>
      <c r="I8" s="9" t="inlineStr">
        <is>
          <t>Danh sách Tìm kiếm gần đây có ≥3 chip, chạm vào 1 chip không phải chip mới nhất.</t>
        </is>
      </c>
      <c r="J8" s="9" t="inlineStr">
        <is>
          <t>Chạm vào chip sẽ ghi đè toàn bộ nội dung đang có trong Search Bar bằng đúng từ khoá của chip đó (nội dung khách đang gõ dở, nếu có, bị thay thế) và chạy tìm kiếm ngay theo từ khoá này — hành vi tương đương gõ tay rồi submit. Quay lại Pre-search, từ khoá vừa chạm được đưa lên đầu danh sách "Tìm kiếm gần đây" (theo đúng cơ chế FIFO như SS-SCR-001-SC2-TC1), không tạo bản ghi trùng lặp.</t>
        </is>
      </c>
      <c r="K8" s="9" t="inlineStr">
        <is>
          <t>Medium</t>
        </is>
      </c>
      <c r="L8" s="10" t="n"/>
      <c r="M8" s="10" t="inlineStr">
        <is>
          <t>Not Run</t>
        </is>
      </c>
      <c r="N8" s="10" t="n"/>
      <c r="O8" s="10" t="n"/>
      <c r="P8" s="9" t="n"/>
      <c r="Q8" s="9" t="n"/>
    </row>
    <row r="9" ht="76.5" customHeight="1">
      <c r="A9" s="9" t="inlineStr">
        <is>
          <t>SS-SCR-001-SC3-TC1</t>
        </is>
      </c>
      <c r="B9" s="9" t="inlineStr">
        <is>
          <t>SS-SCR-001-SC3</t>
        </is>
      </c>
      <c r="C9" s="9" t="inlineStr">
        <is>
          <t>SS-SCR-001</t>
        </is>
      </c>
      <c r="D9" s="9" t="inlineStr">
        <is>
          <t>FR-SP-02, FR-IS-02, FR-VS-02, FR-PS-01, FR-PS-02, FR-PS-03, FR-PS-04</t>
        </is>
      </c>
      <c r="E9" s="9" t="inlineStr">
        <is>
          <t>Functional</t>
        </is>
      </c>
      <c r="F9" s="9" t="inlineStr">
        <is>
          <t>Hiển thị đúng icon theo thứ hạng Trending</t>
        </is>
      </c>
      <c r="G9" s="9" t="inlineStr">
        <is>
          <t>Dữ liệu truy vấn 7 ngày gần nhất có sẵn; có từ khoá vi phạm profanity filter trong tập thô.</t>
        </is>
      </c>
      <c r="H9" s="9" t="inlineStr">
        <is>
          <t>1. Vào Pre-search Screen.
2. Quan sát khối "Xu hướng tìm kiếm".
3. Kiểm tra icon và màu sắc của #1, #2, #3 so với #4 trở đi.</t>
        </is>
      </c>
      <c r="I9" s="9" t="inlineStr">
        <is>
          <t>Từ khoá trending mẫu (Trứng gà sạch #1, Rau muống hữu cơ #2, Mì Hảo Hảo tôm chua #3, Nước mắm Phú Quốc #4, Sữa tươi TH True Milk #5)</t>
        </is>
      </c>
      <c r="J9" s="9" t="inlineStr">
        <is>
          <t>#1–#3: icon 🔥 + số thứ hạng màu đỏ. #4 trở đi: icon xu hướng (mũi tên) + màu xám.</t>
        </is>
      </c>
      <c r="K9" s="9" t="inlineStr">
        <is>
          <t>Medium</t>
        </is>
      </c>
      <c r="L9" s="10" t="n"/>
      <c r="M9" s="10" t="inlineStr">
        <is>
          <t>Not Run</t>
        </is>
      </c>
      <c r="N9" s="10" t="n"/>
      <c r="O9" s="10" t="n"/>
      <c r="P9" s="9" t="n"/>
      <c r="Q9" s="9" t="n"/>
    </row>
    <row r="10" ht="76.5" customHeight="1">
      <c r="A10" s="11" t="inlineStr">
        <is>
          <t>SS-SCR-001-SC3-TC2</t>
        </is>
      </c>
      <c r="B10" s="11" t="inlineStr">
        <is>
          <t>SS-SCR-001-SC3</t>
        </is>
      </c>
      <c r="C10" s="11" t="inlineStr">
        <is>
          <t>SS-SCR-001</t>
        </is>
      </c>
      <c r="D10" s="11" t="inlineStr">
        <is>
          <t>FR-SP-02, FR-IS-02, FR-VS-02, FR-PS-01, FR-PS-02, FR-PS-03, FR-PS-04</t>
        </is>
      </c>
      <c r="E10" s="11" t="inlineStr">
        <is>
          <t>Boundary</t>
        </is>
      </c>
      <c r="F10" s="11" t="inlineStr">
        <is>
          <t>Khối "Xu hướng tìm kiếm" hiển thị đúng Top 5; hệ thống vẫn truy vấn Top 10 (đã xác nhận qua QnA-17)</t>
        </is>
      </c>
      <c r="G10" s="11" t="inlineStr">
        <is>
          <t>Dữ liệu truy vấn 7 ngày gần nhất có sẵn; có từ khoá vi phạm profanity filter trong tập thô.</t>
        </is>
      </c>
      <c r="H10" s="11" t="inlineStr">
        <is>
          <t>1. Vào Pre-search Screen với ≥10 từ khoá trending hợp lệ có sẵn trong hệ thống.
2. Đếm số dòng thực tế hiển thị trong khối "Xu hướng tìm kiếm".
3. Xác nhận khối luôn hiển thị đúng 5 dòng bất kể có bao nhiêu từ khoá trending hợp lệ.
4. Xác nhận riêng (qua dữ liệu backend/admin) rằng hệ thống vẫn truy vấn Top 10 từ khoá trending nội bộ.</t>
        </is>
      </c>
      <c r="I10" s="11" t="inlineStr">
        <is>
          <t>≥10 từ khoá trending hợp lệ</t>
        </is>
      </c>
      <c r="J10" s="11" t="inlineStr">
        <is>
          <t>ĐÃ XÁC NHẬN (QnA-17): khối "Xu hướng tìm kiếm" luôn hiển thị đúng Top 5, theo BRD §6.2 và thiết kế Figma thực tế. Hệ thống vẫn truy vấn Top 10 từ khoá trending nội bộ — hạng #6-10 không hiển thị trong khối này, nhưng được dùng làm nguồn dữ liệu cho placeholder xoay vòng của Search Bar (FR-PS-04, xem SS-SCR-001-SC5-TC2).</t>
        </is>
      </c>
      <c r="K10" s="11" t="inlineStr">
        <is>
          <t>Medium</t>
        </is>
      </c>
      <c r="L10" s="10" t="n"/>
      <c r="M10" s="10" t="inlineStr">
        <is>
          <t>Not Run</t>
        </is>
      </c>
      <c r="N10" s="10" t="n"/>
      <c r="O10" s="10" t="n"/>
      <c r="P10" s="11" t="n"/>
      <c r="Q10" s="11" t="inlineStr">
        <is>
          <t>ĐÃ XỬ LÝ qua QnA-17 (BA xác nhận 18/08/2026): hiển thị Top 5 ở Xu hướng tìm kiếm; hệ thống vẫn truy vấn Top 10, phần còn lại (#6-10) dùng cho placeholder Search Bar theo FR-PS-04 — xem SS-SCR-001-SC5-TC2.</t>
        </is>
      </c>
    </row>
    <row r="11" ht="51" customHeight="1">
      <c r="A11" s="9" t="inlineStr">
        <is>
          <t>SS-SCR-001-SC3-TC3</t>
        </is>
      </c>
      <c r="B11" s="9" t="inlineStr">
        <is>
          <t>SS-SCR-001-SC3</t>
        </is>
      </c>
      <c r="C11" s="9" t="inlineStr">
        <is>
          <t>SS-SCR-001</t>
        </is>
      </c>
      <c r="D11" s="9" t="inlineStr">
        <is>
          <t>FR-SP-02, FR-IS-02, FR-VS-02, FR-PS-01, FR-PS-02, FR-PS-03, FR-PS-04</t>
        </is>
      </c>
      <c r="E11" s="9" t="inlineStr">
        <is>
          <t>Negative</t>
        </is>
      </c>
      <c r="F11" s="9" t="inlineStr">
        <is>
          <t>Từ khoá 0-kết-quả hoặc vi phạm profanity filter không được hiển thị</t>
        </is>
      </c>
      <c r="G11" s="9" t="inlineStr">
        <is>
          <t>Dữ liệu truy vấn 7 ngày gần nhất có sẵn; có từ khoá vi phạm profanity filter trong tập thô.</t>
        </is>
      </c>
      <c r="H11" s="9" t="inlineStr">
        <is>
          <t>1. Giả lập tập từ khoá thô 7 ngày gần nhất có chứa: (a) 1 từ khoá có volume cao nhưng trả về 0 sản phẩm, (b) 1 từ khoá vi phạm Từ điển Cấm.
2. Chạy lại thuật toán tính Trending Score.
3. Quan sát danh sách Top 10 hiển thị trên Pre-search.</t>
        </is>
      </c>
      <c r="I11" s="9" t="inlineStr">
        <is>
          <t>Từ khoá giả lập 0-kết-quả + từ khoá vi phạm profanity filter</t>
        </is>
      </c>
      <c r="J11" s="9" t="inlineStr">
        <is>
          <t>Cả 2 từ khoá bị loại khỏi danh sách hiển thị dù volume/velocity cao, đúng logic FR-PS-02 ("chỉ hiển thị từ khoá có kết quả &gt; 0" và "tự động filter qua Từ điển Cấm").</t>
        </is>
      </c>
      <c r="K11" s="9" t="inlineStr">
        <is>
          <t>High</t>
        </is>
      </c>
      <c r="L11" s="10" t="n"/>
      <c r="M11" s="10" t="inlineStr">
        <is>
          <t>Not Run</t>
        </is>
      </c>
      <c r="N11" s="10" t="n"/>
      <c r="O11" s="10" t="n"/>
      <c r="P11" s="9" t="n"/>
      <c r="Q11" s="9" t="n"/>
    </row>
    <row r="12" ht="89.25" customHeight="1">
      <c r="A12" s="9" t="inlineStr">
        <is>
          <t>SS-SCR-001-SC3-TC4</t>
        </is>
      </c>
      <c r="B12" s="9" t="inlineStr">
        <is>
          <t>SS-SCR-001-SC3</t>
        </is>
      </c>
      <c r="C12" s="9" t="inlineStr">
        <is>
          <t>SS-SCR-001</t>
        </is>
      </c>
      <c r="D12" s="9" t="inlineStr">
        <is>
          <t>FR-SP-02, FR-IS-02, FR-VS-02, FR-PS-01, FR-PS-02, FR-PS-03, FR-PS-04</t>
        </is>
      </c>
      <c r="E12" s="9" t="inlineStr">
        <is>
          <t>Functional</t>
        </is>
      </c>
      <c r="F12" s="9" t="inlineStr">
        <is>
          <t>Chạm vào 1 từ khoá Xu hướng tìm kiếm sẽ đổ từ khoá vào Search Bar, tìm lại và được thêm vào Tìm kiếm gần đây</t>
        </is>
      </c>
      <c r="G12" s="9" t="inlineStr">
        <is>
          <t>Khối "Xu hướng tìm kiếm" hiển thị ≥1 từ khoá.</t>
        </is>
      </c>
      <c r="H12" s="9" t="inlineStr">
        <is>
          <t>1. Ghi nhận danh sách "Tìm kiếm gần đây" hiện tại (nếu có).
2. Chạm vào 1 từ khoá trong khối "Xu hướng tìm kiếm" (VD: hạng #2).
3. Kiểm tra nội dung ô nhập Search Bar và kết quả tìm kiếm hiển thị.
4. Quay lại Pre-search, kiểm tra khối "Tìm kiếm gần đây".</t>
        </is>
      </c>
      <c r="I12" s="9" t="inlineStr">
        <is>
          <t>Khối Xu hướng tìm kiếm hiển thị Top 5, chạm vào từ khoá hạng #2.</t>
        </is>
      </c>
      <c r="J12" s="9" t="inlineStr">
        <is>
          <t>Chạm vào từ khoá Xu hướng sẽ ghi đè nội dung Search Bar bằng đúng từ khoá đó (giống hành vi chạm chip Tìm kiếm gần đây, xem SS-SCR-001-SC2-TC4) và chạy tìm kiếm ngay. Quay lại Pre-search, từ khoá Xu hướng vừa chạm được thêm vào đầu "Tìm kiếm gần đây" (theo đúng cơ chế FIFO ở SS-SCR-001-SC2-TC1), xác nhận rằng chạm vào Xu hướng cũng được tính là 1 lượt tìm kiếm thật cho mục đích lưu lịch sử.</t>
        </is>
      </c>
      <c r="K12" s="9" t="inlineStr">
        <is>
          <t>Medium</t>
        </is>
      </c>
      <c r="L12" s="10" t="n"/>
      <c r="M12" s="10" t="inlineStr">
        <is>
          <t>Not Run</t>
        </is>
      </c>
      <c r="N12" s="10" t="n"/>
      <c r="O12" s="10" t="n"/>
      <c r="P12" s="9" t="n"/>
      <c r="Q12" s="9" t="n"/>
    </row>
    <row r="13" ht="89.25" customHeight="1">
      <c r="A13" s="9" t="inlineStr">
        <is>
          <t>SS-SCR-001-SC4-TC1</t>
        </is>
      </c>
      <c r="B13" s="9" t="inlineStr">
        <is>
          <t>SS-SCR-001-SC4</t>
        </is>
      </c>
      <c r="C13" s="9" t="inlineStr">
        <is>
          <t>SS-SCR-001</t>
        </is>
      </c>
      <c r="D13" s="9" t="inlineStr">
        <is>
          <t>FR-SP-02, FR-IS-02, FR-VS-02, FR-PS-01, FR-PS-02, FR-PS-03, FR-PS-04</t>
        </is>
      </c>
      <c r="E13" s="9" t="inlineStr">
        <is>
          <t>Ranking</t>
        </is>
      </c>
      <c r="F13" s="9" t="inlineStr">
        <is>
          <t>Xếp hạng "Thường mua" theo số Đơn hàng (Order Count), không theo số lượng SKU</t>
        </is>
      </c>
      <c r="G13" s="9" t="inlineStr">
        <is>
          <t>OMS có dữ liệu Order History; tồn kho một số SKU = 0.</t>
        </is>
      </c>
      <c r="H13" s="9" t="inlineStr">
        <is>
          <t>1. Đăng nhập tài khoản có lịch sử mua: SKU-A mua trong 3 đơn hàng khác nhau (mỗi đơn 1 sản phẩm), SKU-B mua trong 1 đơn hàng (số lượng 5 sản phẩm/đơn).
2. Vào Pre-search Screen, quan sát khối "Thường mua".
3. So sánh vị trí SKU-A và SKU-B.</t>
        </is>
      </c>
      <c r="I13" s="9" t="inlineStr">
        <is>
          <t>SKU-A: 3 đơn hàng x 1 sp; SKU-B: 1 đơn hàng x 5 sp</t>
        </is>
      </c>
      <c r="J13" s="9" t="inlineStr">
        <is>
          <t>SKU-A xếp trước SKU-B vì đếm theo SỐ ĐƠN HÀNG (3 &gt; 1), không phải theo tổng số lượng sản phẩm (1x3=3 so với 5) — đúng logic FR-PS-03: "tuyệt đối KHÔNG đếm theo số lượng/quantity bên trong đơn hàng".</t>
        </is>
      </c>
      <c r="K13" s="9" t="inlineStr">
        <is>
          <t>High</t>
        </is>
      </c>
      <c r="L13" s="10" t="n"/>
      <c r="M13" s="10" t="inlineStr">
        <is>
          <t>Not Run</t>
        </is>
      </c>
      <c r="N13" s="10" t="n"/>
      <c r="O13" s="10" t="n"/>
      <c r="P13" s="9" t="inlineStr">
        <is>
          <t>QnA-29</t>
        </is>
      </c>
      <c r="Q13" s="9" t="inlineStr">
        <is>
          <t>Tham chiếu QnA-29 (mâu thuẫn Storyboard vs BRD về cửa sổ thời gian lấy lịch sử đơn hàng) — kết luận SKU-A xếp trước SKU-B (đếm theo số đơn, không theo số lượng) không phụ thuộc vào độ dài cửa sổ cụ thể, ghi nhận để theo dõi/liên kết.</t>
        </is>
      </c>
    </row>
    <row r="14" ht="38.25" customHeight="1">
      <c r="A14" s="11" t="inlineStr">
        <is>
          <t>SS-SCR-001-SC4-TC2</t>
        </is>
      </c>
      <c r="B14" s="11" t="inlineStr">
        <is>
          <t>SS-SCR-001-SC4</t>
        </is>
      </c>
      <c r="C14" s="11" t="inlineStr">
        <is>
          <t>SS-SCR-001</t>
        </is>
      </c>
      <c r="D14" s="11" t="inlineStr">
        <is>
          <t>FR-SP-02, FR-IS-02, FR-VS-02, FR-PS-01, FR-PS-02, FR-PS-03, FR-PS-04</t>
        </is>
      </c>
      <c r="E14" s="11" t="inlineStr">
        <is>
          <t>Negative</t>
        </is>
      </c>
      <c r="F14" s="11" t="inlineStr">
        <is>
          <t>Khối "Thường mua" với Khách vãng lai (chưa đăng nhập)</t>
        </is>
      </c>
      <c r="G14" s="11" t="inlineStr">
        <is>
          <t>OMS có dữ liệu Order History; tồn kho một số SKU = 0.</t>
        </is>
      </c>
      <c r="H14" s="11" t="inlineStr">
        <is>
          <t>1. Mở app ở chế độ Khách vãng lai (không đăng nhập).
2. Vào Pre-search Screen.
3. Quan sát có/không có khối "Thường mua".</t>
        </is>
      </c>
      <c r="I14" s="11" t="inlineStr">
        <is>
          <t>Phiên khách vãng lai, không có Order History</t>
        </is>
      </c>
      <c r="J14" s="11" t="inlineStr">
        <is>
          <t>TBD — chờ xác nhận BA/UX: ẩn hoàn toàn khối hay thay bằng "Bán chạy tại LOTTE Mart". KHÔNG thực thi pass/fail cho đến khi xác nhận (xem QnA-01).</t>
        </is>
      </c>
      <c r="K14" s="11" t="inlineStr">
        <is>
          <t>Medium</t>
        </is>
      </c>
      <c r="L14" s="10" t="n"/>
      <c r="M14" s="10" t="inlineStr">
        <is>
          <t>N/A</t>
        </is>
      </c>
      <c r="N14" s="10" t="n"/>
      <c r="O14" s="10" t="n"/>
      <c r="P14" s="11" t="inlineStr">
        <is>
          <t>QnA-01</t>
        </is>
      </c>
      <c r="Q14" s="11" t="inlineStr">
        <is>
          <t>OPEN: Storyboard 'Mục cần chốt' mục 2 — cần BA/UX chốt hành vi cho Khách vãng lai trước khi test case này có thể thực thi Pass/Fail. Đã ghi QnA-01.</t>
        </is>
      </c>
    </row>
    <row r="15" ht="38.25" customHeight="1">
      <c r="A15" s="11" t="inlineStr">
        <is>
          <t>SS-SCR-001-SC4-TC3</t>
        </is>
      </c>
      <c r="B15" s="11" t="inlineStr">
        <is>
          <t>SS-SCR-001-SC4</t>
        </is>
      </c>
      <c r="C15" s="11" t="inlineStr">
        <is>
          <t>SS-SCR-001</t>
        </is>
      </c>
      <c r="D15" s="11" t="inlineStr">
        <is>
          <t>FR-SP-02, FR-IS-02, FR-VS-02, FR-PS-01, FR-PS-02, FR-PS-03, FR-PS-04</t>
        </is>
      </c>
      <c r="E15" s="11" t="inlineStr">
        <is>
          <t>Boundary</t>
        </is>
      </c>
      <c r="F15" s="11" t="inlineStr">
        <is>
          <t>Ranh giới cửa sổ 90 ngày (~3 tháng) của lịch sử đơn hàng ảnh hưởng xếp hạng "Thường mua"</t>
        </is>
      </c>
      <c r="G15" s="11" t="inlineStr">
        <is>
          <t>Tài khoản Thành viên có các đơn hàng COMPLETED đặt ở nhiều mốc thời gian khác nhau so với hiện tại; dữ liệu cá nhân hoá theo từng tài khoản riêng biệt.</t>
        </is>
      </c>
      <c r="H15" s="11" t="inlineStr">
        <is>
          <t>1. Chuẩn bị 1 tài khoản Thành viên với 5 SKU khác nhau, mỗi SKU gắn 1 đơn hàng COMPLETED đặt cách ngày kiểm thử: SKU-A = 85 ngày, SKU-B = 95 ngày, SKU-C = 130 ngày (~tháng thứ 5), SKU-D = 165 ngày (~tháng thứ 6), SKU-E = 210 ngày trở lên (~tháng thứ 7 trở đi).
2. Đăng nhập tài khoản này, vào Pre-search Screen, quan sát khối "Thường mua".
3. Kiểm tra SKU nào xuất hiện, SKU nào không.
4. Đăng nhập 1 tài khoản KHÁC (không có các đơn hàng trên) và xác nhận khối "Thường mua" của tài khoản này không bị ảnh hưởng bởi dữ liệu của tài khoản đầu.</t>
        </is>
      </c>
      <c r="I15" s="11" t="inlineStr">
        <is>
          <t>5 SKU với đơn COMPLETED cách hiện tại 85/95/130/165/≥210 ngày (~3/4/5/6/7+ tháng); 1 tài khoản đối chứng không có các đơn này.</t>
        </is>
      </c>
      <c r="J15" s="11" t="inlineStr">
        <is>
          <t>TBD — kết quả mong đợi phụ thuộc vào cơ chế cửa sổ thời gian nào là chính thức (xem QnA-29): nếu theo Storyboard (cố định 90 ngày), chỉ SKU-A (85 ngày) nằm trong cửa sổ. Nếu theo BRD (thích ứng 3-6 tháng, mở rộng dần khi thiếu lịch sử), SKU-B (95 ngày, ~tháng thứ 4) và có thể cả SKU-C (130 ngày, ~tháng thứ 5) cũng có thể được tính, tuỳ vào việc tài khoản có đơn hàng ở các tháng liền trước hay không. Không chấm Pass/Fail theo 1 danh sách SKU cụ thể cho tới khi BA/TD xác nhận cơ chế chính thức. Kết quả vẫn chỉ áp dụng riêng cho tài khoản đang đăng nhập (đúng nguyên tắc cá nhân hoá theo account) dù cơ chế nào được chọn.</t>
        </is>
      </c>
      <c r="K15" s="11" t="inlineStr">
        <is>
          <t>Medium</t>
        </is>
      </c>
      <c r="L15" s="10" t="n"/>
      <c r="M15" s="10" t="inlineStr">
        <is>
          <t>N/A</t>
        </is>
      </c>
      <c r="N15" s="10" t="n"/>
      <c r="O15" s="10" t="n"/>
      <c r="P15" s="11" t="inlineStr">
        <is>
          <t>QnA-29</t>
        </is>
      </c>
      <c r="Q15" s="11" t="inlineStr">
        <is>
          <t>OPEN: bị chặn bởi QnA-29 — Storyboard nói cố định 90 ngày, BRD mô tả cửa sổ thích ứng 3-6 tháng mở rộng dần; 2 cơ chế khác nhau sẽ cho kết quả khác nhau với SKU-B/SKU-C của test này (95/130 ngày). Không chấm Pass/Fail cho tới khi xác nhận.</t>
        </is>
      </c>
    </row>
    <row r="16" ht="38.25" customHeight="1">
      <c r="A16" s="11" t="inlineStr">
        <is>
          <t>SS-SCR-001-SC4-TC4</t>
        </is>
      </c>
      <c r="B16" s="11" t="inlineStr">
        <is>
          <t>SS-SCR-001-SC4</t>
        </is>
      </c>
      <c r="C16" s="11" t="inlineStr">
        <is>
          <t>SS-SCR-001</t>
        </is>
      </c>
      <c r="D16" s="11" t="inlineStr">
        <is>
          <t>FR-SP-02, FR-IS-02, FR-VS-02, FR-PS-01, FR-PS-02, FR-PS-03, FR-PS-04</t>
        </is>
      </c>
      <c r="E16" s="11" t="inlineStr">
        <is>
          <t>Edge</t>
        </is>
      </c>
      <c r="F16" s="11" t="inlineStr">
        <is>
          <t>Khối "Thường mua" cho Thành viên đã đăng nhập nhưng chưa từng có đơn hàng thành công</t>
        </is>
      </c>
      <c r="G16" s="11" t="inlineStr">
        <is>
          <t>Tài khoản Thành viên hợp lệ, đã đăng nhập, nhưng KHÔNG có bất kỳ đơn hàng COMPLETED nào trong lịch sử (tài khoản mới/chưa từng mua hàng).</t>
        </is>
      </c>
      <c r="H16" s="11" t="inlineStr">
        <is>
          <t>1. Đăng nhập bằng 1 tài khoản Thành viên mới, chưa từng phát sinh đơn hàng thành công (Order History rỗng).
2. Vào Pre-search Screen.
3. Quan sát có/không có khối "Thường mua", và nếu có thì hiển thị nội dung gì.</t>
        </is>
      </c>
      <c r="I16" s="11" t="inlineStr">
        <is>
          <t>Tài khoản Thành viên với Order History rỗng (0 đơn COMPLETED)</t>
        </is>
      </c>
      <c r="J16" s="11" t="inlineStr">
        <is>
          <t>TBD — BRD/Storyboard chưa quy định hành vi cho Thành viên ĐÃ đăng nhập nhưng chưa có lịch sử mua hàng (khác với Khách vãng lai ở SC4-TC2, vốn đã có QnA-01 riêng). Chưa rõ hệ thống sẽ ẩn khối, thay bằng "Bán chạy tại LOTTE Mart" giống đề xuất cho Khách vãng lai, hay xử lý khác. Không chấm Pass/Fail cho tới khi BA/UX xác nhận. Xem QnA-28.</t>
        </is>
      </c>
      <c r="K16" s="11" t="inlineStr">
        <is>
          <t>Medium</t>
        </is>
      </c>
      <c r="L16" s="10" t="n"/>
      <c r="M16" s="10" t="inlineStr">
        <is>
          <t>N/A</t>
        </is>
      </c>
      <c r="N16" s="10" t="n"/>
      <c r="O16" s="10" t="n"/>
      <c r="P16" s="11" t="inlineStr">
        <is>
          <t>QnA-28</t>
        </is>
      </c>
      <c r="Q16" s="11" t="inlineStr">
        <is>
          <t>OPEN: hành vi khối "Thường mua" cho Thành viên có Order History rỗng chưa được quy định. Đã ghi QnA-28.</t>
        </is>
      </c>
    </row>
    <row r="17" ht="63.75" customHeight="1">
      <c r="A17" s="9" t="inlineStr">
        <is>
          <t>SS-SCR-001-SC5-TC1</t>
        </is>
      </c>
      <c r="B17" s="9" t="inlineStr">
        <is>
          <t>SS-SCR-001-SC5</t>
        </is>
      </c>
      <c r="C17" s="9" t="inlineStr">
        <is>
          <t>SS-SCR-001</t>
        </is>
      </c>
      <c r="D17" s="9" t="inlineStr">
        <is>
          <t>FR-SP-02, FR-IS-02, FR-VS-02, FR-PS-01, FR-PS-02, FR-PS-03, FR-PS-04</t>
        </is>
      </c>
      <c r="E17" s="9" t="inlineStr">
        <is>
          <t>Normal</t>
        </is>
      </c>
      <c r="F17" s="9" t="inlineStr">
        <is>
          <t>Placeholder xoay vòng đúng chu kỳ 3 giây, đồng bộ nguồn Trending</t>
        </is>
      </c>
      <c r="G17" s="9" t="inlineStr">
        <is>
          <t>Search Bar rỗng, chưa focus; danh sách Trending đã có dữ liệu.</t>
        </is>
      </c>
      <c r="H17" s="9" t="inlineStr">
        <is>
          <t>1. Vào Pre-search Screen, không chạm vào Search Bar.
2. Quan sát nội dung placeholder trong ô nhập tại thời điểm 0s, 3s, 6s, 9s.
3. Đối chiếu từng giá trị placeholder với danh sách "Xu hướng tìm kiếm" hiển thị bên dưới.
4. Chạm vào ô nhập (focus) và quan sát placeholder.</t>
        </is>
      </c>
      <c r="I17" s="9" t="inlineStr">
        <is>
          <t>Danh sách Trending mẫu (Trứng gà sạch, Rau muống hữu cơ, Mì Hảo Hảo tôm chua, ...)</t>
        </is>
      </c>
      <c r="J17" s="9" t="inlineStr">
        <is>
          <t>Bước 2-3: placeholder đổi giá trị mỗi 3 giây, mỗi giá trị là 1 trong các từ khoá thuộc Top 10 Xu hướng tìm kiếm (hạng #1 tới #10) — đúng FR-PS-04 ("Nguồn dữ liệu được đồng bộ trực tiếp từ danh sách Xu hướng tìm kiếm, lấy trong phạm vi Top 10... xoay vòng mỗi 3 giây"). Bước 4: khi focus/gõ, placeholder ngừng xoay vòng (bị thay thế bởi con trỏ nhập/nội dung gõ).</t>
        </is>
      </c>
      <c r="K17" s="9" t="inlineStr">
        <is>
          <t>Low</t>
        </is>
      </c>
      <c r="L17" s="10" t="n"/>
      <c r="M17" s="10" t="inlineStr">
        <is>
          <t>Not Run</t>
        </is>
      </c>
      <c r="N17" s="10" t="n"/>
      <c r="O17" s="10" t="n"/>
      <c r="P17" s="9" t="n"/>
      <c r="Q17" s="9" t="n"/>
    </row>
    <row r="18" ht="89.25" customHeight="1">
      <c r="A18" s="9" t="inlineStr">
        <is>
          <t>SS-SCR-001-SC5-TC2</t>
        </is>
      </c>
      <c r="B18" s="9" t="inlineStr">
        <is>
          <t>SS-SCR-001-SC5</t>
        </is>
      </c>
      <c r="C18" s="9" t="inlineStr">
        <is>
          <t>SS-SCR-001</t>
        </is>
      </c>
      <c r="D18" s="9" t="inlineStr">
        <is>
          <t>FR-SP-02, FR-IS-02, FR-VS-02, FR-PS-01, FR-PS-02, FR-PS-03, FR-PS-04</t>
        </is>
      </c>
      <c r="E18" s="9" t="inlineStr">
        <is>
          <t>Boundary</t>
        </is>
      </c>
      <c r="F18" s="9" t="inlineStr">
        <is>
          <t>Placeholder xoay vòng lấy nguồn từ toàn bộ Top 10 Xu hướng tìm kiếm (hạng #1 tới #10)</t>
        </is>
      </c>
      <c r="G18" s="9" t="inlineStr">
        <is>
          <t>Có ≥10 từ khoá trending hợp lệ.</t>
        </is>
      </c>
      <c r="H18" s="9" t="inlineStr">
        <is>
          <t>1. Ghi nhận danh sách đầy đủ Top 10 từ khoá trending (hạng #1-10) từ dữ liệu backend/admin.
2. Quan sát placeholder xoay vòng trên Search Bar trong ít nhất 30 giây (nhiều chu kỳ xoay), không gõ gì.
3. Ghi lại toàn bộ các từ khoá khác nhau xuất hiện trong placeholder.
4. Đối chiếu tập từ khoá của placeholder với danh sách Top 10 đầy đủ.</t>
        </is>
      </c>
      <c r="I18" s="9" t="inlineStr">
        <is>
          <t>Danh sách Top 10 trending đầy đủ (hạng #1-10).</t>
        </is>
      </c>
      <c r="J18" s="9" t="inlineStr">
        <is>
          <t>ĐÃ XÁC NHẬN: placeholder xoay vòng lấy nguồn từ toàn bộ Top 10 Xu hướng tìm kiếm (hạng #1 tới #10), không giới hạn riêng ở phần hạng #6-10. Mọi từ khoá xuất hiện trong placeholder đều phải thuộc tập Top 10 này; không có từ khoá ngoài Top 10 xuất hiện.</t>
        </is>
      </c>
      <c r="K18" s="9" t="inlineStr">
        <is>
          <t>Medium</t>
        </is>
      </c>
      <c r="L18" s="10" t="n"/>
      <c r="M18" s="10" t="inlineStr">
        <is>
          <t>Not Run</t>
        </is>
      </c>
      <c r="N18" s="10" t="n"/>
      <c r="O18" s="10" t="n"/>
      <c r="P18" s="9" t="n"/>
      <c r="Q18" s="9" t="n"/>
    </row>
    <row r="19" ht="89.25" customHeight="1">
      <c r="A19" s="9" t="inlineStr">
        <is>
          <t>SS-SCR-001-SC6-TC1</t>
        </is>
      </c>
      <c r="B19" s="9" t="inlineStr">
        <is>
          <t>SS-SCR-001-SC6</t>
        </is>
      </c>
      <c r="C19" s="9" t="inlineStr">
        <is>
          <t>SS-SCR-001</t>
        </is>
      </c>
      <c r="D19" s="9" t="inlineStr">
        <is>
          <t>FR-SP-02, FR-IS-02, FR-VS-02, FR-PS-01, FR-PS-02, FR-PS-03, FR-PS-04</t>
        </is>
      </c>
      <c r="E19" s="9" t="inlineStr">
        <is>
          <t>Boundary</t>
        </is>
      </c>
      <c r="F19" s="9" t="inlineStr">
        <is>
          <t>Badge ẩn khi giỏ trống, hiện đúng số ở mức bình thường</t>
        </is>
      </c>
      <c r="G19" s="9" t="inlineStr">
        <is>
          <t>Global Header hiển thị trên mọi màn hình.</t>
        </is>
      </c>
      <c r="H19" s="9" t="inlineStr">
        <is>
          <t>1. Đảm bảo giỏ hàng trống (0 sản phẩm), quan sát icon Giỏ hàng.
2. Thêm 45 sản phẩm vào giỏ, quan sát badge.</t>
        </is>
      </c>
      <c r="I19" s="9" t="inlineStr">
        <is>
          <t>0 sp / 45 sp</t>
        </is>
      </c>
      <c r="J19" s="9" t="inlineStr">
        <is>
          <t>0 sp: không có badge hiển thị trên icon. 45 sp: badge hiện đúng số "45".</t>
        </is>
      </c>
      <c r="K19" s="9" t="inlineStr">
        <is>
          <t>Low</t>
        </is>
      </c>
      <c r="L19" s="10" t="n"/>
      <c r="M19" s="10" t="inlineStr">
        <is>
          <t>Not Run</t>
        </is>
      </c>
      <c r="N19" s="10" t="n"/>
      <c r="O19" s="10" t="n"/>
      <c r="P19" s="9" t="n"/>
      <c r="Q19" s="9" t="n"/>
    </row>
    <row r="20" ht="76.5" customHeight="1">
      <c r="A20" s="11" t="inlineStr">
        <is>
          <t>SS-SCR-001-SC6-TC2</t>
        </is>
      </c>
      <c r="B20" s="11" t="inlineStr">
        <is>
          <t>SS-SCR-001-SC6</t>
        </is>
      </c>
      <c r="C20" s="11" t="inlineStr">
        <is>
          <t>SS-SCR-001</t>
        </is>
      </c>
      <c r="D20" s="11" t="inlineStr">
        <is>
          <t>FR-SP-02, FR-IS-02, FR-VS-02, FR-PS-01, FR-PS-02, FR-PS-03, FR-PS-04</t>
        </is>
      </c>
      <c r="E20" s="11" t="inlineStr">
        <is>
          <t>Boundary</t>
        </is>
      </c>
      <c r="F20" s="11" t="inlineStr">
        <is>
          <t>Định dạng badge khi vượt ngưỡng 2 chữ số (99+)</t>
        </is>
      </c>
      <c r="G20" s="11" t="inlineStr">
        <is>
          <t>Global Header hiển thị trên mọi màn hình.</t>
        </is>
      </c>
      <c r="H20" s="11" t="inlineStr">
        <is>
          <t>1. Thiết lập giỏ hàng có 130 sản phẩm.
2. Quan sát định dạng hiển thị trên badge.</t>
        </is>
      </c>
      <c r="I20" s="11" t="inlineStr">
        <is>
          <t>130 sp</t>
        </is>
      </c>
      <c r="J20" s="11" t="inlineStr">
        <is>
          <t>TBD — chưa có quy định chính thức về ngưỡng rút gọn (99+) hay hiển thị số đầy đủ; không chấm Pass/Fail cho tới khi UX xác nhận. Xem QnA-25.</t>
        </is>
      </c>
      <c r="K20" s="11" t="inlineStr">
        <is>
          <t>Low</t>
        </is>
      </c>
      <c r="L20" s="10" t="n"/>
      <c r="M20" s="10" t="inlineStr">
        <is>
          <t>N/A</t>
        </is>
      </c>
      <c r="N20" s="10" t="n"/>
      <c r="O20" s="10" t="n"/>
      <c r="P20" s="11" t="inlineStr">
        <is>
          <t>QnA-25</t>
        </is>
      </c>
      <c r="Q20" s="11" t="n"/>
    </row>
    <row r="21" ht="76.5" customHeight="1">
      <c r="A21" s="9" t="inlineStr">
        <is>
          <t>SS-SCR-001-SC7-TC1</t>
        </is>
      </c>
      <c r="B21" s="9" t="inlineStr">
        <is>
          <t>SS-SCR-001-SC7</t>
        </is>
      </c>
      <c r="C21" s="9" t="inlineStr">
        <is>
          <t>SS-SCR-001</t>
        </is>
      </c>
      <c r="D21" s="9" t="inlineStr">
        <is>
          <t>FR-SP-02, FR-IS-02, FR-VS-02, FR-PS-01, FR-PS-02, FR-PS-03, FR-PS-04</t>
        </is>
      </c>
      <c r="E21" s="9" t="inlineStr">
        <is>
          <t>Functional</t>
        </is>
      </c>
      <c r="F21" s="9" t="inlineStr">
        <is>
          <t>Tap Product Card mở đúng PDP</t>
        </is>
      </c>
      <c r="G21" s="9" t="inlineStr">
        <is>
          <t>Đã đăng nhập, khối "Thường mua" hiển thị ≥1 sản phẩm.</t>
        </is>
      </c>
      <c r="H21" s="9" t="inlineStr">
        <is>
          <t>1. Ở Pre-search, xác định 1 SKU trong khối "Thường mua".
2. Tap vào card (không phải nút +).
3. Quan sát trang mở ra.</t>
        </is>
      </c>
      <c r="I21" s="9" t="inlineStr">
        <is>
          <t>1 SKU trong Thường mua</t>
        </is>
      </c>
      <c r="J21" s="9" t="inlineStr">
        <is>
          <t>Mở đúng trang PDP của SKU đã tap, hiển thị đầy đủ thông tin sản phẩm.</t>
        </is>
      </c>
      <c r="K21" s="9" t="inlineStr">
        <is>
          <t>Medium</t>
        </is>
      </c>
      <c r="L21" s="10" t="n"/>
      <c r="M21" s="10" t="inlineStr">
        <is>
          <t>Not Run</t>
        </is>
      </c>
      <c r="N21" s="10" t="n"/>
      <c r="O21" s="10" t="n"/>
      <c r="P21" s="9" t="n"/>
      <c r="Q21" s="9" t="n"/>
    </row>
    <row r="22" ht="38.25" customHeight="1">
      <c r="A22" s="9" t="inlineStr">
        <is>
          <t>SS-SCR-001-SC7-TC2</t>
        </is>
      </c>
      <c r="B22" s="9" t="inlineStr">
        <is>
          <t>SS-SCR-001-SC7</t>
        </is>
      </c>
      <c r="C22" s="9" t="inlineStr">
        <is>
          <t>SS-SCR-001</t>
        </is>
      </c>
      <c r="D22" s="9" t="inlineStr">
        <is>
          <t>FR-SP-02, FR-IS-02, FR-VS-02, FR-PS-01, FR-PS-02, FR-PS-03, FR-PS-04</t>
        </is>
      </c>
      <c r="E22" s="9" t="inlineStr">
        <is>
          <t>Functional</t>
        </is>
      </c>
      <c r="F22" s="9" t="inlineStr">
        <is>
          <t>Tap (+) trên card Thường mua thêm nhanh không rời Pre-search</t>
        </is>
      </c>
      <c r="G22" s="9" t="inlineStr">
        <is>
          <t>Đã đăng nhập, khối "Thường mua" hiển thị ≥1 sản phẩm.</t>
        </is>
      </c>
      <c r="H22" s="9" t="inlineStr">
        <is>
          <t>1. Tap nút (+) trên 1 card còn hàng trong khối "Thường mua".
2. Quan sát badge giỏ hàng và Toast xác nhận.
3. Xác nhận vẫn đang ở Pre-search Screen.</t>
        </is>
      </c>
      <c r="I22" s="9" t="inlineStr">
        <is>
          <t>1 SKU còn hàng</t>
        </is>
      </c>
      <c r="J22" s="9" t="inlineStr">
        <is>
          <t>Badge tăng, Toast "Đã thêm vào giỏ hàng" hiện đúng theo SS-SCR-011; màn hình vẫn là Pre-search, không điều hướng đi nơi khác.</t>
        </is>
      </c>
      <c r="K22" s="9" t="inlineStr">
        <is>
          <t>Medium</t>
        </is>
      </c>
      <c r="L22" s="10" t="n"/>
      <c r="M22" s="10" t="inlineStr">
        <is>
          <t>Not Run</t>
        </is>
      </c>
      <c r="N22" s="10" t="n"/>
      <c r="O22" s="10" t="n"/>
      <c r="P22" s="9" t="n"/>
      <c r="Q22" s="9" t="n"/>
    </row>
    <row r="23" ht="51" customHeight="1">
      <c r="A23" s="9" t="inlineStr">
        <is>
          <t>SS-SCR-001-SC8-TC1</t>
        </is>
      </c>
      <c r="B23" s="9" t="inlineStr">
        <is>
          <t>SS-SCR-001-SC8</t>
        </is>
      </c>
      <c r="C23" s="9" t="inlineStr">
        <is>
          <t>SS-SCR-001</t>
        </is>
      </c>
      <c r="D23" s="9" t="inlineStr">
        <is>
          <t>FR-SP-02, FR-IS-02, FR-VS-02, FR-PS-01, FR-PS-02, FR-PS-03, FR-PS-04</t>
        </is>
      </c>
      <c r="E23" s="9" t="inlineStr">
        <is>
          <t>Boundary</t>
        </is>
      </c>
      <c r="F23" s="9" t="inlineStr">
        <is>
          <t>Tải thêm lô 10 SKU kế tiếp khi cuộn hết lô đầu</t>
        </is>
      </c>
      <c r="G23" s="9" t="inlineStr">
        <is>
          <t>Khách hàng có &gt;10 SKU đủ điều kiện xếp vào "Thường mua".</t>
        </is>
      </c>
      <c r="H23" s="9" t="inlineStr">
        <is>
          <t>1. Khách hàng có 25 SKU đủ điều kiện "Thường mua".
2. Cuộn ngang hết 10 card đầu tiên.
3. Tiếp tục cuộn, quan sát có tải thêm SKU không.
4. Cuộn tới khi hết toàn bộ 25 SKU.</t>
        </is>
      </c>
      <c r="I23" s="9" t="inlineStr">
        <is>
          <t>25 SKU đủ điều kiện</t>
        </is>
      </c>
      <c r="J23" s="9" t="inlineStr">
        <is>
          <t>Sau lô 10 đầu, hệ thống tự tải tiếp lô kế tiếp (SKU thứ 11-20, rồi 21-25) theo đúng thứ tự tần suất mua giảm dần; không SKU nào bị lặp lại; dừng tải mượt khi hết danh sách (không loading vô hạn).</t>
        </is>
      </c>
      <c r="K23" s="9" t="inlineStr">
        <is>
          <t>Medium</t>
        </is>
      </c>
      <c r="L23" s="10" t="n"/>
      <c r="M23" s="10" t="inlineStr">
        <is>
          <t>Not Run</t>
        </is>
      </c>
      <c r="N23" s="10" t="n"/>
      <c r="O23" s="10" t="n"/>
      <c r="P23" s="9" t="n"/>
      <c r="Q23" s="9" t="n"/>
    </row>
    <row r="24" ht="63.75" customHeight="1">
      <c r="A24" s="11" t="inlineStr">
        <is>
          <t>SS-SCR-001-SC9-TC1</t>
        </is>
      </c>
      <c r="B24" s="11" t="inlineStr">
        <is>
          <t>SS-SCR-001-SC9</t>
        </is>
      </c>
      <c r="C24" s="11" t="inlineStr">
        <is>
          <t>SS-SCR-001</t>
        </is>
      </c>
      <c r="D24" s="11" t="inlineStr">
        <is>
          <t>FR-SP-02, FR-IS-02, FR-VS-02, FR-PS-01, FR-PS-02, FR-PS-03, FR-PS-04</t>
        </is>
      </c>
      <c r="E24" s="11" t="inlineStr">
        <is>
          <t>Exception</t>
        </is>
      </c>
      <c r="F24" s="11" t="inlineStr">
        <is>
          <t>Hành vi UI khi mất mạng lúc tải Pre-search — chưa có đặc tả</t>
        </is>
      </c>
      <c r="G24" s="11" t="inlineStr">
        <is>
          <t>Thiết bị test có thể giả lập mất mạng.</t>
        </is>
      </c>
      <c r="H24" s="11" t="inlineStr">
        <is>
          <t>1. Giả lập mất kết nối mạng hoàn toàn.
2. Mở app, vào Pre-search Screen.
3. Quan sát UI của khối Trending và Thường mua.</t>
        </is>
      </c>
      <c r="I24" s="11" t="inlineStr">
        <is>
          <t>Mất mạng hoàn toàn</t>
        </is>
      </c>
      <c r="J24" s="11" t="inlineStr">
        <is>
          <t>TBD — BRD/Storyboard chưa quy định UI cụ thể (skeleton loading? thông báo lỗi cục bộ theo từng khối? ẩn khối?) cho trường hợp mất mạng ngay tại Pre-search. Không chấm Pass/Fail cho tới khi UX xác nhận. Xem QnA-26. Yêu cầu tối thiểu: không crash, không để toàn màn hình trắng, Search Bar vẫn hiển thị và có thể gõ được.</t>
        </is>
      </c>
      <c r="K24" s="11" t="inlineStr">
        <is>
          <t>Medium</t>
        </is>
      </c>
      <c r="L24" s="10" t="n"/>
      <c r="M24" s="10" t="inlineStr">
        <is>
          <t>N/A</t>
        </is>
      </c>
      <c r="N24" s="10" t="n"/>
      <c r="O24" s="10" t="n"/>
      <c r="P24" s="11" t="inlineStr">
        <is>
          <t>QnA-26</t>
        </is>
      </c>
      <c r="Q24" s="11" t="n"/>
    </row>
    <row r="25" ht="63.75" customHeight="1">
      <c r="A25" s="9" t="inlineStr">
        <is>
          <t>SS-SCR-002-SC1-TC1</t>
        </is>
      </c>
      <c r="B25" s="9" t="inlineStr">
        <is>
          <t>SS-SCR-002-SC1</t>
        </is>
      </c>
      <c r="C25" s="9" t="inlineStr">
        <is>
          <t>SS-SCR-002</t>
        </is>
      </c>
      <c r="D25" s="9" t="inlineStr">
        <is>
          <t>FR-SP-01, FR-GD-02</t>
        </is>
      </c>
      <c r="E25" s="9" t="inlineStr">
        <is>
          <t>Normal</t>
        </is>
      </c>
      <c r="F25" s="9" t="inlineStr">
        <is>
          <t>Hiển thị gợi ý đúng debounce 300ms + highlight ký tự khớp</t>
        </is>
      </c>
      <c r="G25" s="9" t="inlineStr">
        <is>
          <t>Search bar auto-focus, bàn phím hệ thống hiện sẵn.</t>
        </is>
      </c>
      <c r="H25" s="9" t="inlineStr">
        <is>
          <t>1. Chạm Search Bar, mở Autocomplete Screen.
2. Gõ "sữa" và dừng gõ.
3. Đo thời gian từ lúc dừng gõ tới lúc danh sách gợi ý xuất hiện.
4. Kiểm tra phần chữ "sữa" trong mỗi dòng gợi ý có được in đậm/đổi màu không.
5. Đếm số dòng gợi ý hiển thị.</t>
        </is>
      </c>
      <c r="I25" s="9" t="inlineStr">
        <is>
          <t>"sữa"</t>
        </is>
      </c>
      <c r="J25" s="9" t="inlineStr">
        <is>
          <t>Gợi ý xuất hiện trong vòng 300ms sau khi dừng gõ (P95 theo NFR-002/FR-GD-02); tối đa 10 dòng; chuỗi "sữa" được in đậm trong từng dòng gợi ý (VD: **sữa** tươi không đường, **sữa** chua Vinamilk).</t>
        </is>
      </c>
      <c r="K25" s="9" t="inlineStr">
        <is>
          <t>High</t>
        </is>
      </c>
      <c r="L25" s="10" t="n"/>
      <c r="M25" s="10" t="inlineStr">
        <is>
          <t>Not Run</t>
        </is>
      </c>
      <c r="N25" s="10" t="n"/>
      <c r="O25" s="10" t="n"/>
      <c r="P25" s="9" t="n"/>
      <c r="Q25" s="9" t="n"/>
    </row>
    <row r="26" ht="63.75" customHeight="1">
      <c r="A26" s="9" t="inlineStr">
        <is>
          <t>SS-SCR-002-SC1-TC2</t>
        </is>
      </c>
      <c r="B26" s="9" t="inlineStr">
        <is>
          <t>SS-SCR-002-SC1</t>
        </is>
      </c>
      <c r="C26" s="9" t="inlineStr">
        <is>
          <t>SS-SCR-002</t>
        </is>
      </c>
      <c r="D26" s="9" t="inlineStr">
        <is>
          <t>FR-SP-01, FR-GD-02</t>
        </is>
      </c>
      <c r="E26" s="9" t="inlineStr">
        <is>
          <t>Boundary</t>
        </is>
      </c>
      <c r="F26" s="9" t="inlineStr">
        <is>
          <t>Debounce chặn request khi gõ liên tục &lt;300ms</t>
        </is>
      </c>
      <c r="G26" s="9" t="inlineStr">
        <is>
          <t>Search bar auto-focus, bàn phím hệ thống hiện sẵn.</t>
        </is>
      </c>
      <c r="H26" s="9" t="inlineStr">
        <is>
          <t>1. Mở Autocomplete Screen.
2. Gõ liên tục "s" "sữ" "sữa" "sữa " "sữa t" trong tổng thời gian &lt;300ms giữa mỗi ký tự (không dừng).
3. Theo dõi số lượng API call/gợi ý được gọi qua công cụ giám sát mạng.
4. Dừng gõ hẳn ở "sữa tươi" và chờ.</t>
        </is>
      </c>
      <c r="I26" s="9" t="inlineStr">
        <is>
          <t>Chuỗi gõ nhanh liên tục, không có khoảng dừng &gt;300ms cho tới ký tự cuối</t>
        </is>
      </c>
      <c r="J26" s="9" t="inlineStr">
        <is>
          <t>Không có request gợi ý nào được gửi trong lúc gõ liên tục; chỉ 1 request duy nhất được gửi sau khi khách dừng gõ đủ 300ms tại "sữa tươi" — đúng logic debounce FR-SP-01.</t>
        </is>
      </c>
      <c r="K26" s="9" t="inlineStr">
        <is>
          <t>High</t>
        </is>
      </c>
      <c r="L26" s="10" t="n"/>
      <c r="M26" s="10" t="inlineStr">
        <is>
          <t>Not Run</t>
        </is>
      </c>
      <c r="N26" s="10" t="n"/>
      <c r="O26" s="10" t="n"/>
      <c r="P26" s="9" t="n"/>
      <c r="Q26" s="9" t="n"/>
    </row>
    <row r="27" ht="63.75" customHeight="1">
      <c r="A27" s="9" t="inlineStr">
        <is>
          <t>SS-SCR-002-SC1-TC3</t>
        </is>
      </c>
      <c r="B27" s="9" t="inlineStr">
        <is>
          <t>SS-SCR-002-SC1</t>
        </is>
      </c>
      <c r="C27" s="9" t="inlineStr">
        <is>
          <t>SS-SCR-002</t>
        </is>
      </c>
      <c r="D27" s="9" t="inlineStr">
        <is>
          <t>FR-SP-01, FR-GD-02</t>
        </is>
      </c>
      <c r="E27" s="9" t="inlineStr">
        <is>
          <t>Functional</t>
        </is>
      </c>
      <c r="F27" s="9" t="inlineStr">
        <is>
          <t>Gợi ý Autocomplete là từ khoá tìm kiếm phổ biến khớp tiền tố, KHÔNG phải tên sản phẩm khớp chuỗi</t>
        </is>
      </c>
      <c r="G27" s="9" t="inlineStr">
        <is>
          <t>Có dữ liệu tần suất tìm kiếm (search query volume) cho các từ khoá phổ biến; catalogue đã index tên sản phẩm.</t>
        </is>
      </c>
      <c r="H27" s="9" t="inlineStr">
        <is>
          <t>1. Gõ 1 tiền tố phổ biến có nhiều TỪ KHOÁ TÌM KIẾM phổ biến bắt đầu bằng tiền tố đó nhưng không trùng chính xác bất kỳ tên sản phẩm nào (VD: "sua tu").
2. Quan sát danh sách gợi ý.
3. Đối chiếu từng dòng gợi ý: là 1 từ khoá tìm kiếm phổ biến (search term), hay là tên sản phẩm (product title) khớp chuỗi input.</t>
        </is>
      </c>
      <c r="I27" s="9" t="inlineStr">
        <is>
          <t>"sua tu" (tiền tố có dữ liệu volume tìm kiếm phong phú)</t>
        </is>
      </c>
      <c r="J27" s="9" t="inlineStr">
        <is>
          <t>Toàn bộ gợi ý là các TỪ KHOÁ TÌM KIẾM phổ biến, xếp theo search volume giảm dần, khớp tiền tố đang gõ — đúng FR-SP-01. Gợi ý KHÔNG được lấy trực tiếp từ tên sản phẩm (product title) trong catalogue dù tên đó có khớp chuỗi input.</t>
        </is>
      </c>
      <c r="K27" s="9" t="inlineStr">
        <is>
          <t>High</t>
        </is>
      </c>
      <c r="L27" s="10" t="n"/>
      <c r="M27" s="10" t="inlineStr">
        <is>
          <t>Not Run</t>
        </is>
      </c>
      <c r="N27" s="10" t="n"/>
      <c r="O27" s="10" t="n"/>
      <c r="P27" s="9" t="n"/>
      <c r="Q27" s="9" t="n"/>
    </row>
    <row r="28" ht="51" customHeight="1">
      <c r="A28" s="9" t="inlineStr">
        <is>
          <t>SS-SCR-002-SC1-TC4</t>
        </is>
      </c>
      <c r="B28" s="9" t="inlineStr">
        <is>
          <t>SS-SCR-002-SC1</t>
        </is>
      </c>
      <c r="C28" s="9" t="inlineStr">
        <is>
          <t>SS-SCR-002</t>
        </is>
      </c>
      <c r="D28" s="9" t="inlineStr">
        <is>
          <t>FR-SP-01, FR-GD-02</t>
        </is>
      </c>
      <c r="E28" s="9" t="inlineStr">
        <is>
          <t>Typo</t>
        </is>
      </c>
      <c r="F28" s="9" t="inlineStr">
        <is>
          <t>Autocomplete tự động tìm mờ (fuzzy, sai số tối đa 1 ký tự) khi gõ sai hoặc thiếu ký tự</t>
        </is>
      </c>
      <c r="G28" s="9" t="inlineStr">
        <is>
          <t>Search Bar đang focus, Autocomplete Screen đang mở.</t>
        </is>
      </c>
      <c r="H28" s="9" t="inlineStr">
        <is>
          <t>1. Gõ "vinamild" (sai 1 ký tự cuối so với "vinamilk").
2. Quan sát danh sách gợi ý có xuất hiện các từ khoá/thương hiệu liên quan tới "vinamilk" không.
3. Xoá, gõ "chocopi" (thiếu 1 ký tự so với "chocopie").
4. Quan sát danh sách gợi ý có xuất hiện các từ khoá liên quan tới "chocopie" không.</t>
        </is>
      </c>
      <c r="I28" s="9" t="inlineStr">
        <is>
          <t>"vinamild" (sai 1 ký tự) / "chocopi" (thiếu 1 ký tự)</t>
        </is>
      </c>
      <c r="J28" s="9" t="inlineStr">
        <is>
          <t>Cả 2 trường hợp đều trả về gợi ý liên quan đúng ("vinamilk", "chocopie", ...) dù chuỗi gõ có 1 lỗi sai/thiếu ký tự — hệ thống áp dụng fuzzy-match ngay trong Autocomplete (sai số tối đa Levenshtein = 1 ký tự) theo FR-SP-01, không cần đợi tới bước Auto-Correct Banner (SS-SCR-003) sau khi submit tìm kiếm.</t>
        </is>
      </c>
      <c r="K28" s="9" t="inlineStr">
        <is>
          <t>High</t>
        </is>
      </c>
      <c r="L28" s="10" t="n"/>
      <c r="M28" s="10" t="inlineStr">
        <is>
          <t>Not Run</t>
        </is>
      </c>
      <c r="N28" s="10" t="n"/>
      <c r="O28" s="10" t="n"/>
      <c r="P28" s="9" t="n"/>
      <c r="Q28" s="9" t="n"/>
    </row>
    <row r="29" ht="51" customHeight="1">
      <c r="A29" s="9" t="inlineStr">
        <is>
          <t>SS-SCR-002-SC1-TC5</t>
        </is>
      </c>
      <c r="B29" s="9" t="inlineStr">
        <is>
          <t>SS-SCR-002-SC1</t>
        </is>
      </c>
      <c r="C29" s="9" t="inlineStr">
        <is>
          <t>SS-SCR-002</t>
        </is>
      </c>
      <c r="D29" s="9" t="inlineStr">
        <is>
          <t>FR-SP-01, FR-GD-02</t>
        </is>
      </c>
      <c r="E29" s="9" t="inlineStr">
        <is>
          <t>Functional</t>
        </is>
      </c>
      <c r="F29" s="9" t="inlineStr">
        <is>
          <t>Chạm nút Back trên header Autocomplete thoát về màn hình trước đó, không giữ nội dung đang gõ dở</t>
        </is>
      </c>
      <c r="G29" s="9" t="inlineStr">
        <is>
          <t>Đang ở Autocomplete Screen (đã mở từ Pre-search qua Search Bar), có nội dung đang gõ dở nhưng CHƯA submit tìm kiếm.</t>
        </is>
      </c>
      <c r="H29" s="9" t="inlineStr">
        <is>
          <t>1. Từ Pre-search, chạm Search Bar để mở Autocomplete.
2. Gõ dở 1 chuỗi bất kỳ, KHÔNG nhấn Enter và KHÔNG tap gợi ý nào (chưa search).
3. Chạm nút Back (mũi tên quay lại) trên header Autocomplete Screen.
4. Quan sát màn hình đích và trạng thái Search Bar sau khi back.</t>
        </is>
      </c>
      <c r="I29" s="9" t="inlineStr">
        <is>
          <t>Gõ dở "sữa tư" (chưa submit), chạm nút Back</t>
        </is>
      </c>
      <c r="J29" s="9" t="inlineStr">
        <is>
          <t>Chạm Back điều hướng đúng về màn hình trước đó (Pre-search), KHÔNG chạy tìm kiếm với nội dung đang gõ dở. Nội dung "sữa tư" bị huỷ bỏ (không được lưu vào Tìm kiếm gần đây vì chưa phải 1 lượt tìm kiếm thật sự); Search Bar trở về trạng thái rỗng/placeholder như trước khi mở Autocomplete.</t>
        </is>
      </c>
      <c r="K29" s="9" t="inlineStr">
        <is>
          <t>Medium</t>
        </is>
      </c>
      <c r="L29" s="10" t="n"/>
      <c r="M29" s="10" t="inlineStr">
        <is>
          <t>Not Run</t>
        </is>
      </c>
      <c r="N29" s="10" t="n"/>
      <c r="O29" s="10" t="n"/>
      <c r="P29" s="9" t="n"/>
      <c r="Q29" s="9" t="n"/>
    </row>
    <row r="30" ht="51" customHeight="1">
      <c r="A30" s="9" t="inlineStr">
        <is>
          <t>SS-SCR-002-SC2-TC1</t>
        </is>
      </c>
      <c r="B30" s="9" t="inlineStr">
        <is>
          <t>SS-SCR-002-SC2</t>
        </is>
      </c>
      <c r="C30" s="9" t="inlineStr">
        <is>
          <t>SS-SCR-002</t>
        </is>
      </c>
      <c r="D30" s="9" t="inlineStr">
        <is>
          <t>FR-SP-01, FR-GD-02</t>
        </is>
      </c>
      <c r="E30" s="9" t="inlineStr">
        <is>
          <t>Edge</t>
        </is>
      </c>
      <c r="F30" s="9" t="inlineStr">
        <is>
          <t>API rỗng → ẩn danh sách, không hiện trạng thái trống</t>
        </is>
      </c>
      <c r="G30" s="9" t="inlineStr">
        <is>
          <t>Catalogue đã index; API trả rỗng cho input này.</t>
        </is>
      </c>
      <c r="H30" s="9" t="inlineStr">
        <is>
          <t>1. Mở Autocomplete Screen.
2. Gõ một chuỗi mà API gợi ý chắc chắn trả về rỗng (VD: "x").
3. Chờ hết thời gian debounce.
4. Quan sát UI.</t>
        </is>
      </c>
      <c r="I30" s="9" t="inlineStr">
        <is>
          <t>"x"</t>
        </is>
      </c>
      <c r="J30" s="9" t="inlineStr">
        <is>
          <t>Không xuất hiện danh sách dropdown, không xuất hiện bất kỳ empty-state message nào; nội dung Pre-search (Tìm kiếm gần đây/Xu hướng/Thường mua) vẫn hiển thị nguyên vẹn phía dưới ô nhập — đúng FR-SP-01: "Nếu API không trả gợi ý nào → ẩn danh sách, giữ nguyên màn hình Pre-search bên dưới".</t>
        </is>
      </c>
      <c r="K30" s="9" t="inlineStr">
        <is>
          <t>High</t>
        </is>
      </c>
      <c r="L30" s="10" t="n"/>
      <c r="M30" s="10" t="inlineStr">
        <is>
          <t>Not Run</t>
        </is>
      </c>
      <c r="N30" s="10" t="n"/>
      <c r="O30" s="10" t="n"/>
      <c r="P30" s="9" t="n"/>
      <c r="Q30" s="9" t="n"/>
    </row>
    <row r="31" ht="51" customHeight="1">
      <c r="A31" s="9" t="inlineStr">
        <is>
          <t>SS-SCR-002-SC3-TC1</t>
        </is>
      </c>
      <c r="B31" s="9" t="inlineStr">
        <is>
          <t>SS-SCR-002-SC3</t>
        </is>
      </c>
      <c r="C31" s="9" t="inlineStr">
        <is>
          <t>SS-SCR-002</t>
        </is>
      </c>
      <c r="D31" s="9" t="inlineStr">
        <is>
          <t>FR-SP-01, FR-GD-02</t>
        </is>
      </c>
      <c r="E31" s="9" t="inlineStr">
        <is>
          <t>Functional</t>
        </is>
      </c>
      <c r="F31" s="9" t="inlineStr">
        <is>
          <t>Tap gợi ý dùng đúng từ khoá của dòng được chọn (không nhất thiết là dòng đầu)</t>
        </is>
      </c>
      <c r="G31" s="9" t="inlineStr">
        <is>
          <t>Danh sách gợi ý đang hiển thị.</t>
        </is>
      </c>
      <c r="H31" s="9" t="inlineStr">
        <is>
          <t>1. Gõ "sữa", đợi danh sách gợi ý hiện ra (≥3 dòng).
2. Tap vào dòng gợi ý thứ 3 (không phải dòng đầu).
3. Quan sát từ khoá được tìm.</t>
        </is>
      </c>
      <c r="I31" s="9" t="inlineStr">
        <is>
          <t>"sữa", tap dòng gợi ý #3</t>
        </is>
      </c>
      <c r="J31" s="9" t="inlineStr">
        <is>
          <t>Ô nhập được đổ đúng nội dung của dòng gợi ý #3 (không phải dòng #1); hệ thống chạy tìm kiếm theo đúng từ khoá đó.</t>
        </is>
      </c>
      <c r="K31" s="9" t="inlineStr">
        <is>
          <t>High</t>
        </is>
      </c>
      <c r="L31" s="10" t="n"/>
      <c r="M31" s="10" t="inlineStr">
        <is>
          <t>Not Run</t>
        </is>
      </c>
      <c r="N31" s="10" t="n"/>
      <c r="O31" s="10" t="n"/>
      <c r="P31" s="9" t="n"/>
      <c r="Q31" s="9" t="n"/>
    </row>
    <row r="32" ht="38.25" customHeight="1">
      <c r="A32" s="9" t="inlineStr">
        <is>
          <t>SS-SCR-002-SC3-TC2</t>
        </is>
      </c>
      <c r="B32" s="9" t="inlineStr">
        <is>
          <t>SS-SCR-002-SC3</t>
        </is>
      </c>
      <c r="C32" s="9" t="inlineStr">
        <is>
          <t>SS-SCR-002</t>
        </is>
      </c>
      <c r="D32" s="9" t="inlineStr">
        <is>
          <t>FR-SP-01, FR-GD-02</t>
        </is>
      </c>
      <c r="E32" s="9" t="inlineStr">
        <is>
          <t>Functional</t>
        </is>
      </c>
      <c r="F32" s="9" t="inlineStr">
        <is>
          <t>Nhấn Enter tìm đúng chuỗi đang gõ, bỏ qua gợi ý</t>
        </is>
      </c>
      <c r="G32" s="9" t="inlineStr">
        <is>
          <t>Danh sách gợi ý đang hiển thị.</t>
        </is>
      </c>
      <c r="H32" s="9" t="inlineStr">
        <is>
          <t>1. Gõ "sữa tươi ít béo" (một chuỗi không trùng khớp hoàn toàn với gợi ý #1 đang hiển thị).
2. Nhấn Enter trên bàn phím thay vì tap gợi ý.
3. Quan sát từ khoá được tìm.</t>
        </is>
      </c>
      <c r="I32" s="9" t="inlineStr">
        <is>
          <t>"sữa tươi ít béo"</t>
        </is>
      </c>
      <c r="J32" s="9" t="inlineStr">
        <is>
          <t>Hệ thống tìm đúng theo nguyên văn "sữa tươi ít béo" khách đã gõ, KHÔNG tự thay bằng gợi ý #1 đang hiển thị trên danh sách.</t>
        </is>
      </c>
      <c r="K32" s="9" t="inlineStr">
        <is>
          <t>High</t>
        </is>
      </c>
      <c r="L32" s="10" t="n"/>
      <c r="M32" s="10" t="inlineStr">
        <is>
          <t>Not Run</t>
        </is>
      </c>
      <c r="N32" s="10" t="n"/>
      <c r="O32" s="10" t="n"/>
      <c r="P32" s="9" t="n"/>
      <c r="Q32" s="9" t="n"/>
    </row>
    <row r="33" ht="102" customHeight="1">
      <c r="A33" s="9" t="inlineStr">
        <is>
          <t>SS-SCR-002-SC4-TC1</t>
        </is>
      </c>
      <c r="B33" s="9" t="inlineStr">
        <is>
          <t>SS-SCR-002-SC4</t>
        </is>
      </c>
      <c r="C33" s="9" t="inlineStr">
        <is>
          <t>SS-SCR-002</t>
        </is>
      </c>
      <c r="D33" s="9" t="inlineStr">
        <is>
          <t>FR-SP-01, FR-GD-02</t>
        </is>
      </c>
      <c r="E33" s="9" t="inlineStr">
        <is>
          <t>Boundary</t>
        </is>
      </c>
      <c r="F33" s="9" t="inlineStr">
        <is>
          <t>Xoá về rỗng quay lại đúng nội dung Pre-search, không sót gợi ý cũ</t>
        </is>
      </c>
      <c r="G33" s="9" t="inlineStr">
        <is>
          <t>Đang ở Autocomplete Screen với gợi ý hiển thị.</t>
        </is>
      </c>
      <c r="H33" s="9" t="inlineStr">
        <is>
          <t>1. Gõ "sữa", đợi gợi ý hiện ra.
2. Xoá từng ký tự (backspace) cho tới khi ô nhập rỗng hoàn toàn.
3. Quan sát màn hình ngay sau ký tự cuối cùng bị xoá.</t>
        </is>
      </c>
      <c r="I33" s="9" t="inlineStr">
        <is>
          <t>"sữa" → xoá dần → rỗng</t>
        </is>
      </c>
      <c r="J33" s="9" t="inlineStr">
        <is>
          <t>Khi ô nhập rỗng, màn hình hiển thị lại đúng nội dung Pre-search (Tìm kiếm gần đây/Xu hướng/Thường mua), không còn sót danh sách gợi ý của ký tự trước đó.</t>
        </is>
      </c>
      <c r="K33" s="9" t="inlineStr">
        <is>
          <t>Medium</t>
        </is>
      </c>
      <c r="L33" s="10" t="n"/>
      <c r="M33" s="10" t="inlineStr">
        <is>
          <t>Not Run</t>
        </is>
      </c>
      <c r="N33" s="10" t="n"/>
      <c r="O33" s="10" t="n"/>
      <c r="P33" s="9" t="n"/>
      <c r="Q33" s="9" t="n"/>
    </row>
    <row r="34" ht="114.75" customHeight="1">
      <c r="A34" s="9" t="inlineStr">
        <is>
          <t>SS-SCR-002-SC4-TC2</t>
        </is>
      </c>
      <c r="B34" s="9" t="inlineStr">
        <is>
          <t>SS-SCR-002-SC4</t>
        </is>
      </c>
      <c r="C34" s="9" t="inlineStr">
        <is>
          <t>SS-SCR-002</t>
        </is>
      </c>
      <c r="D34" s="9" t="inlineStr">
        <is>
          <t>FR-SP-01, FR-GD-02</t>
        </is>
      </c>
      <c r="E34" s="9" t="inlineStr">
        <is>
          <t>Boundary</t>
        </is>
      </c>
      <c r="F34" s="9" t="inlineStr">
        <is>
          <t>Chạm nút (X) xoá ngay lập tức toàn bộ nội dung, quay về đúng trạng thái Pre-search</t>
        </is>
      </c>
      <c r="G34" s="9" t="inlineStr">
        <is>
          <t>Đang ở Autocomplete Screen, ô nhập có sẵn nội dung và nút (X) đang hiển thị.</t>
        </is>
      </c>
      <c r="H34" s="9" t="inlineStr">
        <is>
          <t>1. Gõ "sữa tươi", đợi gợi ý hiện ra.
2. Chạm nút (X) ở cuối ô nhập (không xoá từng ký tự bằng bàn phím).
3. Quan sát ô nhập và màn hình ngay sau khi chạm (X).</t>
        </is>
      </c>
      <c r="I34" s="9" t="inlineStr">
        <is>
          <t>"sữa tươi", chạm nút (X)</t>
        </is>
      </c>
      <c r="J34" s="9" t="inlineStr">
        <is>
          <t>Nút (X) xoá NGAY LẬP TỨC toàn bộ nội dung ô nhập trong 1 lần chạm; màn hình quay lại đúng trạng thái Pre-search, giống hệt kết quả ở SS-SCR-002-SC4-TC1 khi xoá thủ công tới rỗng — không còn sót gợi ý cũ. Bàn phím vẫn hiển thị, ô nhập vẫn giữ focus.</t>
        </is>
      </c>
      <c r="K34" s="9" t="inlineStr">
        <is>
          <t>Medium</t>
        </is>
      </c>
      <c r="L34" s="10" t="n"/>
      <c r="M34" s="10" t="inlineStr">
        <is>
          <t>Not Run</t>
        </is>
      </c>
      <c r="N34" s="10" t="n"/>
      <c r="O34" s="10" t="n"/>
      <c r="P34" s="9" t="n"/>
      <c r="Q34" s="9" t="n"/>
    </row>
    <row r="35" ht="89.25" customHeight="1">
      <c r="A35" s="9" t="inlineStr">
        <is>
          <t>SS-SCR-002-SC5-TC1</t>
        </is>
      </c>
      <c r="B35" s="9" t="inlineStr">
        <is>
          <t>SS-SCR-002-SC5</t>
        </is>
      </c>
      <c r="C35" s="9" t="inlineStr">
        <is>
          <t>SS-SCR-002</t>
        </is>
      </c>
      <c r="D35" s="9" t="inlineStr">
        <is>
          <t>FR-SP-01, FR-GD-02</t>
        </is>
      </c>
      <c r="E35" s="9" t="inlineStr">
        <is>
          <t>Edge</t>
        </is>
      </c>
      <c r="F35" s="9" t="inlineStr">
        <is>
          <t>Nhập ký tự đặc biệt/emoji không làm crash hay lỗi UI</t>
        </is>
      </c>
      <c r="G35" s="9" t="inlineStr">
        <is>
          <t>Search Bar đang focus.</t>
        </is>
      </c>
      <c r="H35" s="9" t="inlineStr">
        <is>
          <t>1. Gõ chuỗi ký tự đặc biệt "@@@###!!!" vào ô tìm kiếm.
2. Quan sát UI.
3. Xoá và gõ emoji "😀🥛".
4. Quan sát UI.</t>
        </is>
      </c>
      <c r="I35" s="9" t="inlineStr">
        <is>
          <t>"@@@###!!!" / "😀🥛"</t>
        </is>
      </c>
      <c r="J35" s="9" t="inlineStr">
        <is>
          <t>Không crash app; danh sách gợi ý ẩn (theo đúng logic API-rỗng của FR-SP-01) hoặc hiển thị thông báo phù hợp; không có lỗi giao diện (UI vỡ layout).</t>
        </is>
      </c>
      <c r="K35" s="9" t="inlineStr">
        <is>
          <t>Medium</t>
        </is>
      </c>
      <c r="L35" s="10" t="n"/>
      <c r="M35" s="10" t="inlineStr">
        <is>
          <t>Not Run</t>
        </is>
      </c>
      <c r="N35" s="10" t="n"/>
      <c r="O35" s="10" t="n"/>
      <c r="P35" s="9" t="n"/>
      <c r="Q35" s="9" t="n"/>
    </row>
    <row r="36" ht="38.25" customHeight="1">
      <c r="A36" s="11" t="inlineStr">
        <is>
          <t>SS-SCR-002-SC5-TC2</t>
        </is>
      </c>
      <c r="B36" s="11" t="inlineStr">
        <is>
          <t>SS-SCR-002-SC5</t>
        </is>
      </c>
      <c r="C36" s="11" t="inlineStr">
        <is>
          <t>SS-SCR-002</t>
        </is>
      </c>
      <c r="D36" s="11" t="inlineStr">
        <is>
          <t>FR-SP-01, FR-GD-02</t>
        </is>
      </c>
      <c r="E36" s="11" t="inlineStr">
        <is>
          <t>Boundary</t>
        </is>
      </c>
      <c r="F36" s="11" t="inlineStr">
        <is>
          <t>Giới hạn độ dài chuỗi nhập tối đa — chưa được BRD quy định</t>
        </is>
      </c>
      <c r="G36" s="11" t="inlineStr">
        <is>
          <t>Search Bar đang focus.</t>
        </is>
      </c>
      <c r="H36" s="11" t="inlineStr">
        <is>
          <t>1. Gõ hoặc dán một chuỗi 200 ký tự vào ô tìm kiếm.
2. Quan sát ô nhập có chặn nhập tiếp, cắt bớt, hay chấp nhận toàn bộ.</t>
        </is>
      </c>
      <c r="I36" s="11" t="inlineStr">
        <is>
          <t>Chuỗi 200 ký tự</t>
        </is>
      </c>
      <c r="J36" s="11" t="inlineStr">
        <is>
          <t>TBD — BRD không quy định độ dài tối đa cho input tìm kiếm. Yêu cầu tối thiểu: ô nhập không vỡ layout, không crash khi nhận chuỗi dài. Không chấm Pass/Fail theo một con số cụ thể cho tới khi có quy định chính thức. Xem QnA-04.</t>
        </is>
      </c>
      <c r="K36" s="11" t="inlineStr">
        <is>
          <t>Low</t>
        </is>
      </c>
      <c r="L36" s="10" t="n"/>
      <c r="M36" s="10" t="inlineStr">
        <is>
          <t>N/A</t>
        </is>
      </c>
      <c r="N36" s="10" t="n"/>
      <c r="O36" s="10" t="n"/>
      <c r="P36" s="11" t="inlineStr">
        <is>
          <t>QnA-04</t>
        </is>
      </c>
      <c r="Q36" s="11" t="n"/>
    </row>
    <row r="37" ht="51" customHeight="1">
      <c r="A37" s="9" t="inlineStr">
        <is>
          <t>SS-SCR-002-SC6-TC1</t>
        </is>
      </c>
      <c r="B37" s="9" t="inlineStr">
        <is>
          <t>SS-SCR-002-SC6</t>
        </is>
      </c>
      <c r="C37" s="9" t="inlineStr">
        <is>
          <t>SS-SCR-002</t>
        </is>
      </c>
      <c r="D37" s="9" t="inlineStr">
        <is>
          <t>FR-SP-01, FR-GD-02</t>
        </is>
      </c>
      <c r="E37" s="9" t="inlineStr">
        <is>
          <t>Exception</t>
        </is>
      </c>
      <c r="F37" s="9" t="inlineStr">
        <is>
          <t>Lỗi mạng API gợi ý không chặn được luồng tìm kiếm chính</t>
        </is>
      </c>
      <c r="G37" s="9" t="inlineStr">
        <is>
          <t>Giả lập lỗi mạng cho endpoint autocomplete.</t>
        </is>
      </c>
      <c r="H37" s="9" t="inlineStr">
        <is>
          <t>1. Giả lập API autocomplete trả lỗi timeout.
2. Gõ "sữa" và chờ hết debounce.
3. Quan sát danh sách gợi ý.
4. Nhấn Enter trên bàn phím.</t>
        </is>
      </c>
      <c r="I37" s="9" t="inlineStr">
        <is>
          <t>"sữa" + API gợi ý lỗi timeout</t>
        </is>
      </c>
      <c r="J37" s="9" t="inlineStr">
        <is>
          <t>Bước 3: không có danh sách gợi ý nào hiển thị (không crash, không lỗi UI hiển thị lộ ra ngoài). Bước 4: nhấn Enter vẫn chạy được tìm kiếm chính bình thường theo "sữa", không phụ thuộc vào việc autocomplete có lỗi hay không.</t>
        </is>
      </c>
      <c r="K37" s="9" t="inlineStr">
        <is>
          <t>High</t>
        </is>
      </c>
      <c r="L37" s="10" t="n"/>
      <c r="M37" s="10" t="inlineStr">
        <is>
          <t>Not Run</t>
        </is>
      </c>
      <c r="N37" s="10" t="n"/>
      <c r="O37" s="10" t="n"/>
      <c r="P37" s="9" t="n"/>
      <c r="Q37" s="9" t="n"/>
    </row>
    <row r="38" ht="63.75" customHeight="1">
      <c r="A38" s="9" t="inlineStr">
        <is>
          <t>SS-SCR-003-SC1-TC1</t>
        </is>
      </c>
      <c r="B38" s="9" t="inlineStr">
        <is>
          <t>SS-SCR-003-SC1</t>
        </is>
      </c>
      <c r="C38" s="9" t="inlineStr">
        <is>
          <t>SS-SCR-003</t>
        </is>
      </c>
      <c r="D38" s="9" t="inlineStr">
        <is>
          <t>FR-AC-01, FR-AC-03</t>
        </is>
      </c>
      <c r="E38" s="9" t="inlineStr">
        <is>
          <t>Typo</t>
        </is>
      </c>
      <c r="F38" s="9" t="inlineStr">
        <is>
          <t>Banner gợi ý sửa lỗi xuất hiện, không tự động ghi đè input</t>
        </is>
      </c>
      <c r="G38" s="9" t="inlineStr">
        <is>
          <t>Bộ so khớp mờ (fuzzy match) đang hoạt động.</t>
        </is>
      </c>
      <c r="H38" s="9" t="inlineStr">
        <is>
          <t>1. Mở Autocomplete Screen.
2. Gõ "sua toui".
3. Quan sát nội dung ô nhập và banner gợi ý.
4. Chạm vào liên kết từ khoá đã sửa ("sữa tươi").</t>
        </is>
      </c>
      <c r="I38" s="9" t="inlineStr">
        <is>
          <t>"sua toui"</t>
        </is>
      </c>
      <c r="J38" s="9" t="inlineStr">
        <is>
          <t>Bước 3: ô nhập vẫn hiển thị nguyên văn "sua toui"; banner xuất hiện với đề xuất "sữa tươi". Bước 4: hệ thống chạy tìm kiếm theo "sữa tươi" và chuyển sang trang kết quả (SS-SCR-005).</t>
        </is>
      </c>
      <c r="K38" s="9" t="inlineStr">
        <is>
          <t>High</t>
        </is>
      </c>
      <c r="L38" s="10" t="n"/>
      <c r="M38" s="10" t="inlineStr">
        <is>
          <t>Not Run</t>
        </is>
      </c>
      <c r="N38" s="10" t="n"/>
      <c r="O38" s="10" t="n"/>
      <c r="P38" s="9" t="n"/>
      <c r="Q38" s="9" t="n"/>
    </row>
    <row r="39" ht="76.5" customHeight="1">
      <c r="A39" s="9" t="inlineStr">
        <is>
          <t>SS-SCR-003-SC1-TC2</t>
        </is>
      </c>
      <c r="B39" s="9" t="inlineStr">
        <is>
          <t>SS-SCR-003-SC1</t>
        </is>
      </c>
      <c r="C39" s="9" t="inlineStr">
        <is>
          <t>SS-SCR-003</t>
        </is>
      </c>
      <c r="D39" s="9" t="inlineStr">
        <is>
          <t>FR-AC-01, FR-AC-03</t>
        </is>
      </c>
      <c r="E39" s="9" t="inlineStr">
        <is>
          <t>Negative</t>
        </is>
      </c>
      <c r="F39" s="9" t="inlineStr">
        <is>
          <t>Đóng banner bằng nút "X" — hệ thống không tự sửa</t>
        </is>
      </c>
      <c r="G39" s="9" t="inlineStr">
        <is>
          <t>Bộ so khớp mờ (fuzzy match) đang hoạt động.</t>
        </is>
      </c>
      <c r="H39" s="9" t="inlineStr">
        <is>
          <t>1. Gõ "sua toui", chờ banner xuất hiện.
2. Chạm nút "X" trên banner.
3. Quan sát UI và tiếp tục gõ thêm ký tự.</t>
        </is>
      </c>
      <c r="I39" s="9" t="inlineStr">
        <is>
          <t>"sua toui" + tap X</t>
        </is>
      </c>
      <c r="J39" s="9" t="inlineStr">
        <is>
          <t>Banner đóng lại ngay; input field vẫn giữ nguyên chuỗi gốc "sua toui" do khách tự nhập; không có việc tự động chuyển hướng hay ghi đè.</t>
        </is>
      </c>
      <c r="K39" s="9" t="inlineStr">
        <is>
          <t>Medium</t>
        </is>
      </c>
      <c r="L39" s="10" t="n"/>
      <c r="M39" s="10" t="inlineStr">
        <is>
          <t>Not Run</t>
        </is>
      </c>
      <c r="N39" s="10" t="n"/>
      <c r="O39" s="10" t="n"/>
      <c r="P39" s="9" t="n"/>
      <c r="Q39" s="9" t="n"/>
    </row>
    <row r="40" ht="76.5" customHeight="1">
      <c r="A40" s="9" t="inlineStr">
        <is>
          <t>SS-SCR-003-SC2-TC1</t>
        </is>
      </c>
      <c r="B40" s="9" t="inlineStr">
        <is>
          <t>SS-SCR-003-SC2</t>
        </is>
      </c>
      <c r="C40" s="9" t="inlineStr">
        <is>
          <t>SS-SCR-003</t>
        </is>
      </c>
      <c r="D40" s="9" t="inlineStr">
        <is>
          <t>FR-AC-01, FR-AC-03</t>
        </is>
      </c>
      <c r="E40" s="9" t="inlineStr">
        <is>
          <t>Exception</t>
        </is>
      </c>
      <c r="F40" s="9" t="inlineStr">
        <is>
          <t>Không hiện banner khi từ khoá đã là brand/từ điển hợp lệ</t>
        </is>
      </c>
      <c r="G40" s="9" t="inlineStr">
        <is>
          <t>"Milo" tồn tại như brand/catalog term hợp lệ.</t>
        </is>
      </c>
      <c r="H40" s="9" t="inlineStr">
        <is>
          <t>1. Mở Autocomplete Screen.
2. Gõ "Milo".
3. Quan sát UI có banner gợi ý sửa lỗi hay không.</t>
        </is>
      </c>
      <c r="I40" s="9" t="inlineStr">
        <is>
          <t>"Milo"</t>
        </is>
      </c>
      <c r="J40" s="9" t="inlineStr">
        <is>
          <t>Không có banner gợi ý sửa lỗi nào xuất hiện — đúng FR-AC-03: "Hệ thống sẽ ẩn Banner gợi ý sửa lỗi nếu truy vấn đã là một thuật ngữ sản phẩm, tên thương hiệu hoặc từ điển hợp lệ".</t>
        </is>
      </c>
      <c r="K40" s="9" t="inlineStr">
        <is>
          <t>Medium</t>
        </is>
      </c>
      <c r="L40" s="10" t="n"/>
      <c r="M40" s="10" t="inlineStr">
        <is>
          <t>Not Run</t>
        </is>
      </c>
      <c r="N40" s="10" t="n"/>
      <c r="O40" s="10" t="n"/>
      <c r="P40" s="9" t="n"/>
      <c r="Q40" s="9" t="n"/>
    </row>
    <row r="41" ht="38.25" customHeight="1">
      <c r="A41" s="9" t="inlineStr">
        <is>
          <t>SS-SCR-003-SC3-TC1</t>
        </is>
      </c>
      <c r="B41" s="9" t="inlineStr">
        <is>
          <t>SS-SCR-003-SC3</t>
        </is>
      </c>
      <c r="C41" s="9" t="inlineStr">
        <is>
          <t>SS-SCR-003</t>
        </is>
      </c>
      <c r="D41" s="9" t="inlineStr">
        <is>
          <t>FR-AC-01, FR-AC-03</t>
        </is>
      </c>
      <c r="E41" s="9" t="inlineStr">
        <is>
          <t>Edge</t>
        </is>
      </c>
      <c r="F41" s="9" t="inlineStr">
        <is>
          <t>Banner cập nhật theo input mới khi khách tiếp tục gõ</t>
        </is>
      </c>
      <c r="G41" s="9" t="inlineStr">
        <is>
          <t>Banner gợi ý sửa lỗi đang hiển thị cho "sua toui".</t>
        </is>
      </c>
      <c r="H41" s="9" t="inlineStr">
        <is>
          <t>1. Gõ "sua toui", đợi banner "sữa tươi" xuất hiện.
2. Gõ tiếp thành "sua tuoi khong duong" mà không tap banner.
3. Quan sát nội dung banner sau khi gõ thêm.</t>
        </is>
      </c>
      <c r="I41" s="9" t="inlineStr">
        <is>
          <t>"sua toui" → "sua tuoi khong duong"</t>
        </is>
      </c>
      <c r="J41" s="9" t="inlineStr">
        <is>
          <t>Banner cập nhật gợi ý mới phù hợp với toàn bộ chuỗi hiện tại (VD: "sữa tươi không đường"), không còn hiển thị gợi ý cũ "sữa tươi" đơn thuần đã lỗi thời.</t>
        </is>
      </c>
      <c r="K41" s="9" t="inlineStr">
        <is>
          <t>Medium</t>
        </is>
      </c>
      <c r="L41" s="10" t="n"/>
      <c r="M41" s="10" t="inlineStr">
        <is>
          <t>Not Run</t>
        </is>
      </c>
      <c r="N41" s="10" t="n"/>
      <c r="O41" s="10" t="n"/>
      <c r="P41" s="9" t="n"/>
      <c r="Q41" s="9" t="n"/>
    </row>
    <row r="42" ht="51" customHeight="1">
      <c r="A42" s="9" t="inlineStr">
        <is>
          <t>SS-SCR-003-SC4-TC1</t>
        </is>
      </c>
      <c r="B42" s="9" t="inlineStr">
        <is>
          <t>SS-SCR-003-SC4</t>
        </is>
      </c>
      <c r="C42" s="9" t="inlineStr">
        <is>
          <t>SS-SCR-003</t>
        </is>
      </c>
      <c r="D42" s="9" t="inlineStr">
        <is>
          <t>FR-AC-01, FR-AC-03</t>
        </is>
      </c>
      <c r="E42" s="9" t="inlineStr">
        <is>
          <t>Multilingual</t>
        </is>
      </c>
      <c r="F42" s="9" t="inlineStr">
        <is>
          <t>Phát hiện lỗi chính tả cho từ khoá tiếng Anh khi UI tiếng Việt</t>
        </is>
      </c>
      <c r="G42" s="9" t="inlineStr">
        <is>
          <t>UI language = VI; "milkk" là lỗi gõ thừa 1 ký tự của "milk".</t>
        </is>
      </c>
      <c r="H42" s="9" t="inlineStr">
        <is>
          <t>1. Đặt UI language = VI.
2. Gõ "milkk" (thừa 1 chữ k).
3. Quan sát banner gợi ý.</t>
        </is>
      </c>
      <c r="I42" s="9" t="inlineStr">
        <is>
          <t>"milkk" (UI=VI)</t>
        </is>
      </c>
      <c r="J42" s="9" t="inlineStr">
        <is>
          <t>Banner gợi ý đúng "milk", không bị bỏ qua chỉ vì input là tiếng Anh trong khi UI đang là tiếng Việt.</t>
        </is>
      </c>
      <c r="K42" s="9" t="inlineStr">
        <is>
          <t>Medium</t>
        </is>
      </c>
      <c r="L42" s="10" t="n"/>
      <c r="M42" s="10" t="inlineStr">
        <is>
          <t>Not Run</t>
        </is>
      </c>
      <c r="N42" s="10" t="n"/>
      <c r="O42" s="10" t="n"/>
      <c r="P42" s="9" t="n"/>
      <c r="Q42" s="9" t="n"/>
    </row>
    <row r="43" ht="51" customHeight="1">
      <c r="A43" s="11" t="inlineStr">
        <is>
          <t>SS-SCR-004-SC1-TC1</t>
        </is>
      </c>
      <c r="B43" s="11" t="inlineStr">
        <is>
          <t>SS-SCR-004-SC1</t>
        </is>
      </c>
      <c r="C43" s="11" t="inlineStr">
        <is>
          <t>SS-SCR-004</t>
        </is>
      </c>
      <c r="D43" s="11" t="inlineStr">
        <is>
          <t>FR-GD-01, FR-GD-03 (loading UI — NFR ID chưa xác nhận, xem QnA-11)</t>
        </is>
      </c>
      <c r="E43" s="11" t="inlineStr">
        <is>
          <t>Performance</t>
        </is>
      </c>
      <c r="F43" s="11" t="inlineStr">
        <is>
          <t>Ngưỡng hiển thị Loading UI (&gt;300ms) và fallback lỗi mạng (&gt;5s)</t>
        </is>
      </c>
      <c r="G43" s="11" t="inlineStr">
        <is>
          <t>Thiết bị test có khả năng giả lập độ trễ mạng.</t>
        </is>
      </c>
      <c r="H43" s="11" t="inlineStr">
        <is>
          <t>1. Giả lập độ trễ backend = 200ms, thực hiện tìm kiếm văn bản, quan sát có/không hiện Loading Screen.
2. Giả lập độ trễ = 1.5s, lặp lại, quan sát Loading Screen (ripple 3 lớp + "Đang tìm kiếm cho bạn..." + chip từ khoá).
3. Giả lập độ trễ = 6s, lặp lại, quan sát UI sau ngưỡng 5s.</t>
        </is>
      </c>
      <c r="I43" s="11" t="inlineStr">
        <is>
          <t>Độ trễ mạng giả lập: 200ms / 1.5s / 6s</t>
        </is>
      </c>
      <c r="J43" s="11" t="inlineStr">
        <is>
          <t>200ms: Loading Screen KHÔNG xuất hiện (chuyển thẳng sang kết quả). 1.5s: Loading Screen xuất hiện đúng với ripple + message + chip từ khoá đang xử lý. 6s: sau mốc 5s, UI chuyển sang thông báo lỗi mạng + nút "Thử lại", không đứng yên ở Loading vô thời hạn.</t>
        </is>
      </c>
      <c r="K43" s="11" t="inlineStr">
        <is>
          <t>High</t>
        </is>
      </c>
      <c r="L43" s="10" t="n"/>
      <c r="M43" s="10" t="inlineStr">
        <is>
          <t>N/A</t>
        </is>
      </c>
      <c r="N43" s="10" t="n"/>
      <c r="O43" s="10" t="n"/>
      <c r="P43" s="11" t="inlineStr">
        <is>
          <t>QnA-11</t>
        </is>
      </c>
      <c r="Q43" s="11" t="inlineStr">
        <is>
          <t>Ghi nhận: màn hình này được storyboard gắn REQ ID 'NFR-SS-01' — mã này không tồn tại trong BRD v0.0.3 (NFR-001..014). Cần BA xác nhận NFR chính thức áp dụng (khả năng là NFR-001/004/005). Xem QnA-11.</t>
        </is>
      </c>
    </row>
    <row r="44" ht="63.75" customHeight="1">
      <c r="A44" s="9" t="inlineStr">
        <is>
          <t>SS-SCR-004-SC1-TC2</t>
        </is>
      </c>
      <c r="B44" s="9" t="inlineStr">
        <is>
          <t>SS-SCR-004-SC1</t>
        </is>
      </c>
      <c r="C44" s="9" t="inlineStr">
        <is>
          <t>SS-SCR-004</t>
        </is>
      </c>
      <c r="D44" s="9" t="inlineStr">
        <is>
          <t>FR-GD-01, FR-GD-03 (loading UI — NFR ID chưa xác nhận, xem QnA-11)</t>
        </is>
      </c>
      <c r="E44" s="9" t="inlineStr">
        <is>
          <t>Integration</t>
        </is>
      </c>
      <c r="F44" s="9" t="inlineStr">
        <is>
          <t>Component Loading dùng chung cho cả Text/Image/Voice</t>
        </is>
      </c>
      <c r="G44" s="9" t="inlineStr">
        <is>
          <t>Thiết bị test có khả năng giả lập độ trễ mạng.</t>
        </is>
      </c>
      <c r="H44" s="9" t="inlineStr">
        <is>
          <t>1. Thực hiện tìm kiếm văn bản có độ trễ &gt;300ms, chụp ảnh màn hình Loading.
2. Thực hiện tìm kiếm hình ảnh (SS-SCR-013 → SS-SCR-004) với cùng độ trễ, chụp ảnh màn hình Loading.
3. Thực hiện tìm kiếm giọng nói (SS-SCR-017 → SS-SCR-004) với cùng độ trễ, chụp ảnh màn hình Loading.
4. So sánh 3 ảnh chụp.</t>
        </is>
      </c>
      <c r="I44" s="9" t="inlineStr">
        <is>
          <t>3 truy vấn cùng độ trễ mô phỏng ~1.5s</t>
        </is>
      </c>
      <c r="J44" s="9" t="inlineStr">
        <is>
          <t>Cả 3 luồng dùng chung một component Loading (ripple 3 lớp quanh icon kính lúp + message + waveform); chỉ khác nội dung chip từ khoá/kết quả nhận diện đang hiển thị.</t>
        </is>
      </c>
      <c r="K44" s="9" t="inlineStr">
        <is>
          <t>Low</t>
        </is>
      </c>
      <c r="L44" s="10" t="n"/>
      <c r="M44" s="10" t="inlineStr">
        <is>
          <t>Not Run</t>
        </is>
      </c>
      <c r="N44" s="10" t="n"/>
      <c r="O44" s="10" t="n"/>
      <c r="P44" s="9" t="n"/>
      <c r="Q44" s="9" t="n"/>
    </row>
    <row r="45" ht="89.25" customHeight="1">
      <c r="A45" s="9" t="inlineStr">
        <is>
          <t>SS-SCR-004-SC2-TC1</t>
        </is>
      </c>
      <c r="B45" s="9" t="inlineStr">
        <is>
          <t>SS-SCR-004-SC2</t>
        </is>
      </c>
      <c r="C45" s="9" t="inlineStr">
        <is>
          <t>SS-SCR-004</t>
        </is>
      </c>
      <c r="D45" s="9" t="inlineStr">
        <is>
          <t>FR-GD-01, FR-GD-03 (loading UI — NFR ID chưa xác nhận, xem QnA-11)</t>
        </is>
      </c>
      <c r="E45" s="9" t="inlineStr">
        <is>
          <t>Edge</t>
        </is>
      </c>
      <c r="F45" s="9" t="inlineStr">
        <is>
          <t>Nhấn Back khi đang Loading huỷ đúng request, không bị kẹt màn hình</t>
        </is>
      </c>
      <c r="G45" s="9" t="inlineStr">
        <is>
          <t>Đang ở Loading Screen (SS-SCR-004) chờ kết quả.</t>
        </is>
      </c>
      <c r="H45" s="9" t="inlineStr">
        <is>
          <t>1. Gõ 1 từ khoá và submit, quan sát chuyển sang Loading Screen.
2. Trong lúc đang Loading, nhấn nút Back (hệ thống hoặc trong app).
3. Quan sát màn hình sau khi Back.
4. Chờ thêm vài giây, kiểm tra kết quả tìm kiếm cũ có bất ngờ hiện ra không.</t>
        </is>
      </c>
      <c r="I45" s="9" t="inlineStr">
        <is>
          <t>1 từ khoá bất kỳ + Back giữa chừng</t>
        </is>
      </c>
      <c r="J45" s="9" t="inlineStr">
        <is>
          <t>Quay lại đúng màn hình trước Loading; không bị kẹt ở Loading; kết quả của request đã huỷ KHÔNG bất ngờ hiện ra sau đó (race condition).</t>
        </is>
      </c>
      <c r="K45" s="9" t="inlineStr">
        <is>
          <t>Medium</t>
        </is>
      </c>
      <c r="L45" s="10" t="n"/>
      <c r="M45" s="10" t="inlineStr">
        <is>
          <t>Not Run</t>
        </is>
      </c>
      <c r="N45" s="10" t="n"/>
      <c r="O45" s="10" t="n"/>
      <c r="P45" s="9" t="n"/>
      <c r="Q45" s="9" t="n"/>
    </row>
    <row r="46" ht="63.75" customHeight="1">
      <c r="A46" s="9" t="inlineStr">
        <is>
          <t>SS-SCR-004-SC3-TC1</t>
        </is>
      </c>
      <c r="B46" s="9" t="inlineStr">
        <is>
          <t>SS-SCR-004-SC3</t>
        </is>
      </c>
      <c r="C46" s="9" t="inlineStr">
        <is>
          <t>SS-SCR-004</t>
        </is>
      </c>
      <c r="D46" s="9" t="inlineStr">
        <is>
          <t>FR-GD-01, FR-GD-03 (loading UI — NFR ID chưa xác nhận, xem QnA-11)</t>
        </is>
      </c>
      <c r="E46" s="9" t="inlineStr">
        <is>
          <t>Boundary</t>
        </is>
      </c>
      <c r="F46" s="9" t="inlineStr">
        <is>
          <t>Chip từ khoá dài không làm vỡ layout Loading Screen</t>
        </is>
      </c>
      <c r="G46" s="9" t="inlineStr">
        <is>
          <t>Đang ở Loading Screen.</t>
        </is>
      </c>
      <c r="H46" s="9" t="inlineStr">
        <is>
          <t>1. Tìm kiếm 1 từ khoá rất dài (~60 ký tự).
2. Quan sát chip từ khoá hiển thị trên Loading Screen.</t>
        </is>
      </c>
      <c r="I46" s="9" t="inlineStr">
        <is>
          <t>Chuỗi 60 ký tự</t>
        </is>
      </c>
      <c r="J46" s="9" t="inlineStr">
        <is>
          <t>Chip hiển thị rút gọn (ellipsis "...") hợp lý, không tràn ra ngoài khung màn hình, không đẩy lệch các thành phần khác.</t>
        </is>
      </c>
      <c r="K46" s="9" t="inlineStr">
        <is>
          <t>Low</t>
        </is>
      </c>
      <c r="L46" s="10" t="n"/>
      <c r="M46" s="10" t="inlineStr">
        <is>
          <t>Not Run</t>
        </is>
      </c>
      <c r="N46" s="10" t="n"/>
      <c r="O46" s="10" t="n"/>
      <c r="P46" s="9" t="n"/>
      <c r="Q46" s="9" t="n"/>
    </row>
    <row r="47" ht="63.75" customHeight="1">
      <c r="A47" s="11" t="inlineStr">
        <is>
          <t>SS-SCR-005-SC1-TC1</t>
        </is>
      </c>
      <c r="B47" s="11" t="inlineStr">
        <is>
          <t>SS-SCR-005-SC1</t>
        </is>
      </c>
      <c r="C47" s="11" t="inlineStr">
        <is>
          <t>SS-SCR-005</t>
        </is>
      </c>
      <c r="D47" s="11" t="inlineStr">
        <is>
          <t>FR-PR-01, FR-PR-02, FR-PR-05, FR-PR-07, FR-SF-01</t>
        </is>
      </c>
      <c r="E47" s="11" t="inlineStr">
        <is>
          <t>Functional</t>
        </is>
      </c>
      <c r="F47" s="11" t="inlineStr">
        <is>
          <t>Sticky Sort/Filter bar khi cuộn trang kết quả</t>
        </is>
      </c>
      <c r="G47" s="11" t="inlineStr">
        <is>
          <t>Kết quả tìm kiếm đã trả về.</t>
        </is>
      </c>
      <c r="H47" s="11" t="inlineStr">
        <is>
          <t>1. Tìm kiếm "sữa", vào trang kết quả dạng lưới.
2. Cuộn xuống danh sách sản phẩm.
3. Quan sát thanh Sắp xếp &amp; Bộ lọc.</t>
        </is>
      </c>
      <c r="I47" s="11" t="inlineStr">
        <is>
          <t>"sữa"</t>
        </is>
      </c>
      <c r="J47" s="11" t="inlineStr">
        <is>
          <t>Thanh Sắp xếp &amp; Bộ lọc vẫn dính (sticky) ở đầu vùng nội dung dù đã cuộn xuống sâu; "Bộ lọc" mở SS-SCR-009, "Liên quan nhất" mở màn hình sắp xếp (xem QnA-14 về SS-SCR-007).</t>
        </is>
      </c>
      <c r="K47" s="11" t="inlineStr">
        <is>
          <t>Medium</t>
        </is>
      </c>
      <c r="L47" s="10" t="n"/>
      <c r="M47" s="10" t="inlineStr">
        <is>
          <t>N/A</t>
        </is>
      </c>
      <c r="N47" s="10" t="n"/>
      <c r="O47" s="10" t="n"/>
      <c r="P47" s="11" t="inlineStr">
        <is>
          <t>QnA-14</t>
        </is>
      </c>
      <c r="Q47" s="11" t="n"/>
    </row>
    <row r="48" ht="51" customHeight="1">
      <c r="A48" s="9" t="inlineStr">
        <is>
          <t>SS-SCR-005-SC1-TC2</t>
        </is>
      </c>
      <c r="B48" s="9" t="inlineStr">
        <is>
          <t>SS-SCR-005-SC1</t>
        </is>
      </c>
      <c r="C48" s="9" t="inlineStr">
        <is>
          <t>SS-SCR-005</t>
        </is>
      </c>
      <c r="D48" s="9" t="inlineStr">
        <is>
          <t>FR-PR-01, FR-PR-02, FR-PR-05, FR-PR-07, FR-SF-01</t>
        </is>
      </c>
      <c r="E48" s="9" t="inlineStr">
        <is>
          <t>Boundary</t>
        </is>
      </c>
      <c r="F48" s="9" t="inlineStr">
        <is>
          <t>Toggle chế độ xem Lưới ⇄ Danh sách lưu trạng thái theo phiên</t>
        </is>
      </c>
      <c r="G48" s="9" t="inlineStr">
        <is>
          <t>Kết quả tìm kiếm đã trả về.</t>
        </is>
      </c>
      <c r="H48" s="9" t="inlineStr">
        <is>
          <t>1. Ở trang kết quả (mặc định Grid), chạm toggle chuyển sang List (SS-SCR-006).
2. Thoát khỏi trang kết quả, tìm kiếm một từ khoá khác.
3. Vào lại trang kết quả mới.</t>
        </is>
      </c>
      <c r="I48" s="9" t="inlineStr">
        <is>
          <t>Đổi 1 lần Grid → List</t>
        </is>
      </c>
      <c r="J48" s="9" t="inlineStr">
        <is>
          <t>Trang kết quả của từ khoá mới hiển thị đúng ở chế độ List (chế độ được nhớ theo lựa chọn gần nhất của người dùng, lưu ở Local Storage) — đúng FR-PR-07.</t>
        </is>
      </c>
      <c r="K48" s="9" t="inlineStr">
        <is>
          <t>Medium</t>
        </is>
      </c>
      <c r="L48" s="10" t="n"/>
      <c r="M48" s="10" t="inlineStr">
        <is>
          <t>Not Run</t>
        </is>
      </c>
      <c r="N48" s="10" t="n"/>
      <c r="O48" s="10" t="n"/>
      <c r="P48" s="9" t="n"/>
      <c r="Q48" s="9" t="n"/>
    </row>
    <row r="49" ht="63.75" customHeight="1">
      <c r="A49" s="9" t="inlineStr">
        <is>
          <t>SS-SCR-005-SC2-TC1</t>
        </is>
      </c>
      <c r="B49" s="9" t="inlineStr">
        <is>
          <t>SS-SCR-005-SC2</t>
        </is>
      </c>
      <c r="C49" s="9" t="inlineStr">
        <is>
          <t>SS-SCR-005</t>
        </is>
      </c>
      <c r="D49" s="9" t="inlineStr">
        <is>
          <t>FR-PR-01, FR-PR-02, FR-PR-05, FR-PR-07, FR-SF-01</t>
        </is>
      </c>
      <c r="E49" s="9" t="inlineStr">
        <is>
          <t>Sponsored</t>
        </is>
      </c>
      <c r="F49" s="9" t="inlineStr">
        <is>
          <t>Nhãn Sponsored hiển thị rõ ràng, không bị ẩn</t>
        </is>
      </c>
      <c r="G49" s="9" t="inlineStr">
        <is>
          <t>Có ≥1 sản phẩm tài trợ trong tập kết quả.</t>
        </is>
      </c>
      <c r="H49" s="9" t="inlineStr">
        <is>
          <t>1. Tìm kiếm "sữa chua" khi có chiến dịch tài trợ đang chạy.
2. Xác định (các) card có gắn Sponsored.
3. Kiểm tra nhãn có bị che bởi ảnh sản phẩm, badge giảm giá, hoặc nút (+) hay không ở cả chế độ Lưới và Danh sách.</t>
        </is>
      </c>
      <c r="I49" s="9" t="inlineStr">
        <is>
          <t>"sữa chua", ≥1 SKU tài trợ</t>
        </is>
      </c>
      <c r="J49" s="9" t="inlineStr">
        <is>
          <t>Nhãn "Sponsored" hiển thị đầy đủ, không chồng lấn/không bị che bởi phần tử khác, ở cả 2 chế độ xem — đúng yêu cầu minh bạch quảng cáo bắt buộc (FR-PR-05).</t>
        </is>
      </c>
      <c r="K49" s="9" t="inlineStr">
        <is>
          <t>High</t>
        </is>
      </c>
      <c r="L49" s="10" t="n"/>
      <c r="M49" s="10" t="inlineStr">
        <is>
          <t>Not Run</t>
        </is>
      </c>
      <c r="N49" s="10" t="n"/>
      <c r="O49" s="10" t="n"/>
      <c r="P49" s="9" t="n"/>
      <c r="Q49" s="9" t="n"/>
    </row>
    <row r="50" ht="63.75" customHeight="1">
      <c r="A50" s="11" t="inlineStr">
        <is>
          <t>SS-SCR-005-SC2-TC2</t>
        </is>
      </c>
      <c r="B50" s="11" t="inlineStr">
        <is>
          <t>SS-SCR-005-SC2</t>
        </is>
      </c>
      <c r="C50" s="11" t="inlineStr">
        <is>
          <t>SS-SCR-005</t>
        </is>
      </c>
      <c r="D50" s="11" t="inlineStr">
        <is>
          <t>FR-PR-01, FR-PR-02, FR-PR-05, FR-PR-07, FR-SF-01</t>
        </is>
      </c>
      <c r="E50" s="11" t="inlineStr">
        <is>
          <t>Boundary</t>
        </is>
      </c>
      <c r="F50" s="11" t="inlineStr">
        <is>
          <t>Sản phẩm Sponsored hết hàng vẫn bị đẩy xuống dưới hàng còn hàng</t>
        </is>
      </c>
      <c r="G50" s="11" t="inlineStr">
        <is>
          <t>Có ≥1 sản phẩm tài trợ trong tập kết quả.</t>
        </is>
      </c>
      <c r="H50" s="11" t="inlineStr">
        <is>
          <t>1. Thiết lập 1 SKU Sponsored có tồn kho = 0.
2. Tìm kiếm từ khoá kích hoạt chiến dịch của SKU đó.
3. Quan sát vị trí SKU trong danh sách kết quả so với các SKU còn hàng khác (kể cả SKU không tài trợ).</t>
        </is>
      </c>
      <c r="I50" s="11" t="inlineStr">
        <is>
          <t>SKU Sponsored, stock = 0</t>
        </is>
      </c>
      <c r="J50" s="11" t="inlineStr">
        <is>
          <t>SKU Sponsored hết hàng vẫn bị xếp xuống dưới toàn bộ SKU còn hàng, bất kể là hàng tài trợ — quy tắc Out-of-stock override áp dụng trên cả sản phẩm Sponsored (FR-PR-01→05, Out-of-stock override).</t>
        </is>
      </c>
      <c r="K50" s="11" t="inlineStr">
        <is>
          <t>High</t>
        </is>
      </c>
      <c r="L50" s="10" t="n"/>
      <c r="M50" s="10" t="inlineStr">
        <is>
          <t>N/A</t>
        </is>
      </c>
      <c r="N50" s="10" t="n"/>
      <c r="O50" s="10" t="n"/>
      <c r="P50" s="11" t="inlineStr">
        <is>
          <t>QnA-07</t>
        </is>
      </c>
      <c r="Q50" s="11" t="inlineStr">
        <is>
          <t>Vị trí chèn slot cố định hay theo đấu giá Retail Media — TBD, xem QnA-07.</t>
        </is>
      </c>
    </row>
    <row r="51" ht="63.75" customHeight="1">
      <c r="A51" s="9" t="inlineStr">
        <is>
          <t>SS-SCR-005-SC3-TC1</t>
        </is>
      </c>
      <c r="B51" s="9" t="inlineStr">
        <is>
          <t>SS-SCR-005-SC3</t>
        </is>
      </c>
      <c r="C51" s="9" t="inlineStr">
        <is>
          <t>SS-SCR-005</t>
        </is>
      </c>
      <c r="D51" s="9" t="inlineStr">
        <is>
          <t>FR-PR-01, FR-PR-02, FR-PR-05, FR-PR-07, FR-SF-01</t>
        </is>
      </c>
      <c r="E51" s="9" t="inlineStr">
        <is>
          <t>Functional</t>
        </is>
      </c>
      <c r="F51" s="9" t="inlineStr">
        <is>
          <t>Tap Product Card (ngoài nút +) mở đúng PDP</t>
        </is>
      </c>
      <c r="G51" s="9" t="inlineStr">
        <is>
          <t>Trang kết quả đã tải.</t>
        </is>
      </c>
      <c r="H51" s="9" t="inlineStr">
        <is>
          <t>1. Ở trang kết quả "sữa", tap vào vùng ảnh/tên sản phẩm của 1 card (không tap vào nút +).
2. Quan sát trang mở ra.</t>
        </is>
      </c>
      <c r="I51" s="9" t="inlineStr">
        <is>
          <t>1 card bất kỳ</t>
        </is>
      </c>
      <c r="J51" s="9" t="inlineStr">
        <is>
          <t>Mở đúng PDP của sản phẩm đã tap; không kích hoạt add-to-cart nhầm.</t>
        </is>
      </c>
      <c r="K51" s="9" t="inlineStr">
        <is>
          <t>High</t>
        </is>
      </c>
      <c r="L51" s="10" t="n"/>
      <c r="M51" s="10" t="inlineStr">
        <is>
          <t>Not Run</t>
        </is>
      </c>
      <c r="N51" s="10" t="n"/>
      <c r="O51" s="10" t="n"/>
      <c r="P51" s="9" t="n"/>
      <c r="Q51" s="9" t="n"/>
    </row>
    <row r="52" ht="63.75" customHeight="1">
      <c r="A52" s="9" t="inlineStr">
        <is>
          <t>SS-SCR-005-SC3-TC2</t>
        </is>
      </c>
      <c r="B52" s="9" t="inlineStr">
        <is>
          <t>SS-SCR-005-SC3</t>
        </is>
      </c>
      <c r="C52" s="9" t="inlineStr">
        <is>
          <t>SS-SCR-005</t>
        </is>
      </c>
      <c r="D52" s="9" t="inlineStr">
        <is>
          <t>FR-PR-01, FR-PR-02, FR-PR-05, FR-PR-07, FR-SF-01</t>
        </is>
      </c>
      <c r="E52" s="9" t="inlineStr">
        <is>
          <t>Functional</t>
        </is>
      </c>
      <c r="F52" s="9" t="inlineStr">
        <is>
          <t>Nút (✕) trên Search Bar xoá từ khoá và mở lại Autocomplete</t>
        </is>
      </c>
      <c r="G52" s="9" t="inlineStr">
        <is>
          <t>Trang kết quả đã tải.</t>
        </is>
      </c>
      <c r="H52" s="9" t="inlineStr">
        <is>
          <t>1. Ở trang kết quả "sữa", tap nút (✕) trên Search Bar.
2. Quan sát UI ngay sau khi xoá.</t>
        </is>
      </c>
      <c r="I52" s="9" t="inlineStr">
        <is>
          <t>Từ khoá "sữa"</t>
        </is>
      </c>
      <c r="J52" s="9" t="inlineStr">
        <is>
          <t>Ô nhập được xoá trắng; hệ thống chuyển sang trạng thái nhập liệu (Autocomplete Screen, bàn phím hiện), không đơn thuần hiển thị trang kết quả trống.</t>
        </is>
      </c>
      <c r="K52" s="9" t="inlineStr">
        <is>
          <t>Medium</t>
        </is>
      </c>
      <c r="L52" s="10" t="n"/>
      <c r="M52" s="10" t="inlineStr">
        <is>
          <t>Not Run</t>
        </is>
      </c>
      <c r="N52" s="10" t="n"/>
      <c r="O52" s="10" t="n"/>
      <c r="P52" s="9" t="n"/>
      <c r="Q52" s="9" t="n"/>
    </row>
    <row r="53" ht="51" customHeight="1">
      <c r="A53" s="9" t="inlineStr">
        <is>
          <t>SS-SCR-005-SC4-TC1</t>
        </is>
      </c>
      <c r="B53" s="9" t="inlineStr">
        <is>
          <t>SS-SCR-005-SC4</t>
        </is>
      </c>
      <c r="C53" s="9" t="inlineStr">
        <is>
          <t>SS-SCR-005</t>
        </is>
      </c>
      <c r="D53" s="9" t="inlineStr">
        <is>
          <t>FR-PR-01, FR-PR-02, FR-PR-05, FR-PR-07, FR-SF-01</t>
        </is>
      </c>
      <c r="E53" s="9" t="inlineStr">
        <is>
          <t>Boundary</t>
        </is>
      </c>
      <c r="F53" s="9" t="inlineStr">
        <is>
          <t>Hiển thị đúng tổng số kết quả ở mức 1 và mức lớn (&gt;999)</t>
        </is>
      </c>
      <c r="G53" s="9" t="inlineStr">
        <is>
          <t>Ba trường hợp truy vấn khác nhau.</t>
        </is>
      </c>
      <c r="H53" s="9" t="inlineStr">
        <is>
          <t>1. Tìm một từ khoá chỉ khớp đúng 1 sản phẩm, quan sát dòng tổng số kết quả.
2. Tìm một từ khoá phổ biến khớp &gt;999 sản phẩm, quan sát định dạng số.</t>
        </is>
      </c>
      <c r="I53" s="9" t="inlineStr">
        <is>
          <t>Từ khoá 1-kết-quả / từ khoá &gt;999-kết-quả</t>
        </is>
      </c>
      <c r="J53" s="9" t="inlineStr">
        <is>
          <t>Trường hợp 1: hiển thị "1 sản phẩm". Trường hợp 2: hiển thị đúng số lớn có phân tách hàng nghìn (VD: "1.245 sản phẩm"), không bị cắt hay tràn UI.</t>
        </is>
      </c>
      <c r="K53" s="9" t="inlineStr">
        <is>
          <t>Low</t>
        </is>
      </c>
      <c r="L53" s="10" t="n"/>
      <c r="M53" s="10" t="inlineStr">
        <is>
          <t>Not Run</t>
        </is>
      </c>
      <c r="N53" s="10" t="n"/>
      <c r="O53" s="10" t="n"/>
      <c r="P53" s="9" t="n"/>
      <c r="Q53" s="9" t="n"/>
    </row>
    <row r="54" ht="76.5" customHeight="1">
      <c r="A54" s="11" t="inlineStr">
        <is>
          <t>SS-SCR-005-SC5-TC1</t>
        </is>
      </c>
      <c r="B54" s="11" t="inlineStr">
        <is>
          <t>SS-SCR-005-SC5</t>
        </is>
      </c>
      <c r="C54" s="11" t="inlineStr">
        <is>
          <t>SS-SCR-005</t>
        </is>
      </c>
      <c r="D54" s="11" t="inlineStr">
        <is>
          <t>FR-PR-01, FR-PR-02, FR-PR-05, FR-PR-07, FR-SF-01</t>
        </is>
      </c>
      <c r="E54" s="11" t="inlineStr">
        <is>
          <t>Sponsored</t>
        </is>
      </c>
      <c r="F54" s="11" t="inlineStr">
        <is>
          <t>Nhiều SKU Sponsored đồng thời đều hiển thị đúng nhãn, không SKU nào bị bỏ sót</t>
        </is>
      </c>
      <c r="G54" s="11" t="inlineStr">
        <is>
          <t>Nhiều chiến dịch tài trợ đang chạy cho cùng từ khoá.</t>
        </is>
      </c>
      <c r="H54" s="11" t="inlineStr">
        <is>
          <t>1. Thiết lập 3 SKU sponsored cùng khớp từ khoá "sữa".
2. Tìm kiếm "sữa".
3. Kiểm tra từng SKU sponsored trong danh sách kết quả có đủ nhãn "Sponsored" không.</t>
        </is>
      </c>
      <c r="I54" s="11" t="inlineStr">
        <is>
          <t>3 SKU sponsored</t>
        </is>
      </c>
      <c r="J54" s="11" t="inlineStr">
        <is>
          <t>Cả 3 SKU đều có nhãn "Sponsored" hiển thị rõ ràng, không SKU nào bị thiếu nhãn hay 2 SKU bị gộp chung 1 nhãn.</t>
        </is>
      </c>
      <c r="K54" s="11" t="inlineStr">
        <is>
          <t>Medium</t>
        </is>
      </c>
      <c r="L54" s="10" t="n"/>
      <c r="M54" s="10" t="inlineStr">
        <is>
          <t>N/A</t>
        </is>
      </c>
      <c r="N54" s="10" t="n"/>
      <c r="O54" s="10" t="n"/>
      <c r="P54" s="11" t="inlineStr">
        <is>
          <t>QnA-07</t>
        </is>
      </c>
      <c r="Q54" s="11" t="inlineStr">
        <is>
          <t>Thứ tự tương đối giữa các SKU sponsored (theo đấu giá hay theo thời gian tạo chiến dịch) — TBD, xem QnA-07.</t>
        </is>
      </c>
    </row>
    <row r="55" ht="51" customHeight="1">
      <c r="A55" s="11" t="inlineStr">
        <is>
          <t>SS-SCR-005-SC6-TC1</t>
        </is>
      </c>
      <c r="B55" s="11" t="inlineStr">
        <is>
          <t>SS-SCR-005-SC6</t>
        </is>
      </c>
      <c r="C55" s="11" t="inlineStr">
        <is>
          <t>SS-SCR-005</t>
        </is>
      </c>
      <c r="D55" s="11" t="inlineStr">
        <is>
          <t>FR-PR-01, FR-PR-02, FR-PR-05, FR-PR-07, FR-SF-01</t>
        </is>
      </c>
      <c r="E55" s="11" t="inlineStr">
        <is>
          <t>Functional</t>
        </is>
      </c>
      <c r="F55" s="11" t="inlineStr">
        <is>
          <t>Chuyển từ kết quả Text Search sang Voice/Image Search — trạng thái filter/sort chưa rõ</t>
        </is>
      </c>
      <c r="G55" s="11" t="inlineStr">
        <is>
          <t>Đang ở trang kết quả Text Search.</t>
        </is>
      </c>
      <c r="H55" s="11" t="inlineStr">
        <is>
          <t>1. Ở trang kết quả "sữa", áp dụng filter "Không đường" + sort "Giá thấp-cao".
2. Tap icon Camera trên Search Bar.
3. Thực hiện tìm kiếm bằng ảnh thành công, quan sát trang kết quả ảnh mới có giữ filter/sort cũ không.</t>
        </is>
      </c>
      <c r="I55" s="11" t="inlineStr">
        <is>
          <t>Filter=Không đường, Sort=Giá↑, sau đó chuyển sang Image Search</t>
        </is>
      </c>
      <c r="J55" s="11" t="inlineStr">
        <is>
          <t>TBD — chưa có tài liệu quy định filter/sort của kết quả Text Search trước đó có được giữ lại khi chuyển sang phương thức khác (Image/Voice) hay tự động reset. Không chấm Pass/Fail cho tới khi BA xác nhận. Yêu cầu tối thiểu: không crash, trang kết quả ảnh mới vẫn hoạt động bình thường dù giữ hay không giữ filter cũ. Xem QnA-19.</t>
        </is>
      </c>
      <c r="K55" s="11" t="inlineStr">
        <is>
          <t>Medium</t>
        </is>
      </c>
      <c r="L55" s="10" t="n"/>
      <c r="M55" s="10" t="inlineStr">
        <is>
          <t>N/A</t>
        </is>
      </c>
      <c r="N55" s="10" t="n"/>
      <c r="O55" s="10" t="n"/>
      <c r="P55" s="11" t="inlineStr">
        <is>
          <t>QnA-19</t>
        </is>
      </c>
      <c r="Q55" s="11" t="n"/>
    </row>
    <row r="56" ht="127.5" customHeight="1">
      <c r="A56" s="9" t="inlineStr">
        <is>
          <t>SS-SCR-006-SC1-TC1</t>
        </is>
      </c>
      <c r="B56" s="9" t="inlineStr">
        <is>
          <t>SS-SCR-006-SC1</t>
        </is>
      </c>
      <c r="C56" s="9" t="inlineStr">
        <is>
          <t>SS-SCR-006</t>
        </is>
      </c>
      <c r="D56" s="9" t="inlineStr">
        <is>
          <t>FR-PR-01, FR-PR-07</t>
        </is>
      </c>
      <c r="E56" s="9" t="inlineStr">
        <is>
          <t>Functional</t>
        </is>
      </c>
      <c r="F56" s="9" t="inlineStr">
        <is>
          <t>Đổi chế độ xem không reset bộ lọc/sắp xếp</t>
        </is>
      </c>
      <c r="G56" s="9" t="inlineStr">
        <is>
          <t>Chế độ xem = List.</t>
        </is>
      </c>
      <c r="H56" s="9" t="inlineStr">
        <is>
          <t>1. Ở trang kết quả Grid, áp dụng filter "Không đường" và sort "Giá thấp-cao".
2. Chuyển sang chế độ List.
3. Kiểm tra filter chip "Không đường" và nhãn sort trên thanh sticky.</t>
        </is>
      </c>
      <c r="I56" s="9" t="inlineStr">
        <is>
          <t>Filter=Không đường, Sort=Giá ↑</t>
        </is>
      </c>
      <c r="J56" s="9" t="inlineStr">
        <is>
          <t>Sau khi chuyển sang List, filter "Không đường" và sort "Giá thấp-cao" vẫn được giữ nguyên, không bị reset về mặc định.</t>
        </is>
      </c>
      <c r="K56" s="9" t="inlineStr">
        <is>
          <t>Medium</t>
        </is>
      </c>
      <c r="L56" s="10" t="n"/>
      <c r="M56" s="10" t="inlineStr">
        <is>
          <t>Not Run</t>
        </is>
      </c>
      <c r="N56" s="10" t="n"/>
      <c r="O56" s="10" t="n"/>
      <c r="P56" s="9" t="n"/>
      <c r="Q56" s="9" t="n"/>
    </row>
    <row r="57" ht="76.5" customHeight="1">
      <c r="A57" s="9" t="inlineStr">
        <is>
          <t>SS-SCR-006-SC1-TC2</t>
        </is>
      </c>
      <c r="B57" s="9" t="inlineStr">
        <is>
          <t>SS-SCR-006-SC1</t>
        </is>
      </c>
      <c r="C57" s="9" t="inlineStr">
        <is>
          <t>SS-SCR-006</t>
        </is>
      </c>
      <c r="D57" s="9" t="inlineStr">
        <is>
          <t>FR-PR-01, FR-PR-07</t>
        </is>
      </c>
      <c r="E57" s="9" t="inlineStr">
        <is>
          <t>Boundary</t>
        </is>
      </c>
      <c r="F57" s="9" t="inlineStr">
        <is>
          <t>Cuộn vô hạn không trùng lặp SKU khi tải lô kế tiếp</t>
        </is>
      </c>
      <c r="G57" s="9" t="inlineStr">
        <is>
          <t>Chế độ xem = List.</t>
        </is>
      </c>
      <c r="H57" s="9" t="inlineStr">
        <is>
          <t>1. Ở trang kết quả List với &gt;40 sản phẩm.
2. Cuộn xuống đáy danh sách lô đầu tiên, chờ lô kế tiếp tự tải.
3. Ghi lại danh sách Product ID của 2 lô liên tiếp và so sánh.</t>
        </is>
      </c>
      <c r="I57" s="9" t="inlineStr">
        <is>
          <t>Tập kết quả &gt;40 SKU</t>
        </is>
      </c>
      <c r="J57" s="9" t="inlineStr">
        <is>
          <t>Không có Product ID trùng lặp giữa 2 lô liên tiếp; kích thước lô nhất quán theo cấu hình đã chốt (20 hoặc 40 SKU/lô — xem ghi chú storyboard 'cần chốt kích thước lô').</t>
        </is>
      </c>
      <c r="K57" s="9" t="inlineStr">
        <is>
          <t>Medium</t>
        </is>
      </c>
      <c r="L57" s="10" t="n"/>
      <c r="M57" s="10" t="inlineStr">
        <is>
          <t>Not Run</t>
        </is>
      </c>
      <c r="N57" s="10" t="n"/>
      <c r="O57" s="10" t="n"/>
      <c r="P57" s="9" t="n"/>
      <c r="Q57" s="9" t="inlineStr">
        <is>
          <t>Kích thước lô (20/40) và hành vi khi mất mạng giữa chừng chưa được storyboard chốt cụ thể; test case dùng giá trị cấu hình thực tế khi thực thi.</t>
        </is>
      </c>
    </row>
    <row r="58" ht="63.75" customHeight="1">
      <c r="A58" s="9" t="inlineStr">
        <is>
          <t>SS-SCR-006-SC2-TC1</t>
        </is>
      </c>
      <c r="B58" s="9" t="inlineStr">
        <is>
          <t>SS-SCR-006-SC2</t>
        </is>
      </c>
      <c r="C58" s="9" t="inlineStr">
        <is>
          <t>SS-SCR-006</t>
        </is>
      </c>
      <c r="D58" s="9" t="inlineStr">
        <is>
          <t>FR-PR-01, FR-PR-07</t>
        </is>
      </c>
      <c r="E58" s="9" t="inlineStr">
        <is>
          <t>Edge</t>
        </is>
      </c>
      <c r="F58" s="9" t="inlineStr">
        <is>
          <t>Placeholder khi ảnh sản phẩm lỗi ở chế độ Danh sách</t>
        </is>
      </c>
      <c r="G58" s="9" t="inlineStr">
        <is>
          <t>Trang kết quả List đang tải.</t>
        </is>
      </c>
      <c r="H58" s="9" t="inlineStr">
        <is>
          <t>1. Thiết lập 1 SKU có URL ảnh không hợp lệ.
2. Tìm kiếm từ khoá khớp SKU đó, chuyển sang chế độ Danh sách.
3. Quan sát ô ảnh của SKU lỗi.</t>
        </is>
      </c>
      <c r="I58" s="9" t="inlineStr">
        <is>
          <t>1 SKU ảnh lỗi</t>
        </is>
      </c>
      <c r="J58" s="9" t="inlineStr">
        <is>
          <t>Hiển thị placeholder trung tính (không phải icon vỡ ảnh mặc định của hệ thống); tên, giá, rating của dòng đó vẫn hiển thị đầy đủ, layout không bị lệch.</t>
        </is>
      </c>
      <c r="K58" s="9" t="inlineStr">
        <is>
          <t>Medium</t>
        </is>
      </c>
      <c r="L58" s="10" t="n"/>
      <c r="M58" s="10" t="inlineStr">
        <is>
          <t>Not Run</t>
        </is>
      </c>
      <c r="N58" s="10" t="n"/>
      <c r="O58" s="10" t="n"/>
      <c r="P58" s="9" t="n"/>
      <c r="Q58" s="9" t="n"/>
    </row>
    <row r="59" ht="89.25" customHeight="1">
      <c r="A59" s="11" t="inlineStr">
        <is>
          <t>SS-SCR-006-SC3-TC1</t>
        </is>
      </c>
      <c r="B59" s="11" t="inlineStr">
        <is>
          <t>SS-SCR-006-SC3</t>
        </is>
      </c>
      <c r="C59" s="11" t="inlineStr">
        <is>
          <t>SS-SCR-006</t>
        </is>
      </c>
      <c r="D59" s="11" t="inlineStr">
        <is>
          <t>FR-PR-01, FR-PR-07</t>
        </is>
      </c>
      <c r="E59" s="11" t="inlineStr">
        <is>
          <t>Boundary</t>
        </is>
      </c>
      <c r="F59" s="11" t="inlineStr">
        <is>
          <t>Hiển thị rating cho sản phẩm chưa có đánh giá — cách xử lý chưa rõ</t>
        </is>
      </c>
      <c r="G59" s="11" t="inlineStr">
        <is>
          <t>Sản phẩm mới, chưa có review.</t>
        </is>
      </c>
      <c r="H59" s="11" t="inlineStr">
        <is>
          <t>1. Thiết lập 1 SKU có 0 review.
2. Tìm kiếm khớp SKU đó, chuyển chế độ Danh sách.
3. Quan sát vùng rating của SKU này.</t>
        </is>
      </c>
      <c r="I59" s="11" t="inlineStr">
        <is>
          <t>1 SKU 0 review</t>
        </is>
      </c>
      <c r="J59" s="11" t="inlineStr">
        <is>
          <t>TBD — BRD không quy định rõ cách hiển thị khi 0 review (ẩn hẳn phần sao, hay hiện "Chưa có đánh giá"). Yêu cầu tối thiểu: KHÔNG hiển thị "0.0 ★ (0)" hoặc giá trị NaN/rỗng gây phản cảm. Xem QnA-04 (nhóm ngưỡng/quy tắc UI chưa chốt).</t>
        </is>
      </c>
      <c r="K59" s="11" t="inlineStr">
        <is>
          <t>Low</t>
        </is>
      </c>
      <c r="L59" s="10" t="n"/>
      <c r="M59" s="10" t="inlineStr">
        <is>
          <t>N/A</t>
        </is>
      </c>
      <c r="N59" s="10" t="n"/>
      <c r="O59" s="10" t="n"/>
      <c r="P59" s="11" t="inlineStr">
        <is>
          <t>QnA-04</t>
        </is>
      </c>
      <c r="Q59" s="11" t="n"/>
    </row>
    <row r="60" ht="63.75" customHeight="1">
      <c r="A60" s="9" t="inlineStr">
        <is>
          <t>SS-SCR-008-SC1-TC1</t>
        </is>
      </c>
      <c r="B60" s="9" t="inlineStr">
        <is>
          <t>SS-SCR-008-SC1</t>
        </is>
      </c>
      <c r="C60" s="9" t="inlineStr">
        <is>
          <t>SS-SCR-008</t>
        </is>
      </c>
      <c r="D60" s="9" t="inlineStr">
        <is>
          <t>FR-SF-02, FR-PR-06</t>
        </is>
      </c>
      <c r="E60" s="9" t="inlineStr">
        <is>
          <t>Sort</t>
        </is>
      </c>
      <c r="F60" s="9" t="inlineStr">
        <is>
          <t>Chọn tiêu chí sắp xếp áp dụng ngay lập tức, giữ nguyên bộ lọc</t>
        </is>
      </c>
      <c r="G60" s="9" t="inlineStr">
        <is>
          <t>Đang ở trang kết quả với bộ lọc đang áp dụng.</t>
        </is>
      </c>
      <c r="H60" s="9" t="inlineStr">
        <is>
          <t>1. Ở trang kết quả "sữa", áp dụng filter "Hữu cơ".
2. Mở bottom sheet Sắp xếp (tap "Liên quan nhất" trên thanh sticky).
3. Chọn "Giá từ thấp đến cao".
4. Quan sát UI ngay sau khi chọn.</t>
        </is>
      </c>
      <c r="I60" s="9" t="inlineStr">
        <is>
          <t>Filter=Hữu cơ, chọn Sort=Giá ↑</t>
        </is>
      </c>
      <c r="J60" s="9" t="inlineStr">
        <is>
          <t>Sheet đóng ngay không cần nút Áp dụng riêng; danh sách chạy lại truy vấn, sắp xếp theo giá tăng dần trong PHẠM VI đã lọc "Hữu cơ"; cuộn về đầu danh sách; nhãn trên thanh sticky đổi thành "Giá từ thấp đến cao".</t>
        </is>
      </c>
      <c r="K60" s="9" t="inlineStr">
        <is>
          <t>High</t>
        </is>
      </c>
      <c r="L60" s="10" t="n"/>
      <c r="M60" s="10" t="inlineStr">
        <is>
          <t>Not Run</t>
        </is>
      </c>
      <c r="N60" s="10" t="n"/>
      <c r="O60" s="10" t="n"/>
      <c r="P60" s="9" t="n"/>
      <c r="Q60" s="9" t="n"/>
    </row>
    <row r="61" ht="63.75" customHeight="1">
      <c r="A61" s="11" t="inlineStr">
        <is>
          <t>SS-SCR-008-SC1-TC2</t>
        </is>
      </c>
      <c r="B61" s="11" t="inlineStr">
        <is>
          <t>SS-SCR-008-SC1</t>
        </is>
      </c>
      <c r="C61" s="11" t="inlineStr">
        <is>
          <t>SS-SCR-008</t>
        </is>
      </c>
      <c r="D61" s="11" t="inlineStr">
        <is>
          <t>FR-SF-02, FR-PR-06</t>
        </is>
      </c>
      <c r="E61" s="11" t="inlineStr">
        <is>
          <t>Validation</t>
        </is>
      </c>
      <c r="F61" s="11" t="inlineStr">
        <is>
          <t>Danh sách 8 tiêu chí sắp xếp đúng với đặc tả đã chốt</t>
        </is>
      </c>
      <c r="G61" s="11" t="inlineStr">
        <is>
          <t>Đang ở trang kết quả với bộ lọc đang áp dụng.</t>
        </is>
      </c>
      <c r="H61" s="11" t="inlineStr">
        <is>
          <t>1. Mở bottom sheet Sắp xếp.
2. Đếm và đối chiếu tên từng tiêu chí với danh sách đã chốt chính thức.</t>
        </is>
      </c>
      <c r="I61" s="11" t="inlineStr">
        <is>
          <t>N/A</t>
        </is>
      </c>
      <c r="J61" s="11" t="inlineStr">
        <is>
          <t>TBD — hiện có khác biệt giữa danh sách 8 mục của storyboard (bao gồm "Xem nhiều nhất") và mô tả BRD FR-PR-06 (không nêu rõ "Xem nhiều nhất"); không thực thi Pass/Fail cho tới khi BA xác nhận danh sách chính thức. Xem QnA-15.</t>
        </is>
      </c>
      <c r="K61" s="11" t="inlineStr">
        <is>
          <t>Medium</t>
        </is>
      </c>
      <c r="L61" s="10" t="n"/>
      <c r="M61" s="10" t="inlineStr">
        <is>
          <t>N/A</t>
        </is>
      </c>
      <c r="N61" s="10" t="n"/>
      <c r="O61" s="10" t="n"/>
      <c r="P61" s="11" t="inlineStr">
        <is>
          <t>QnA-15</t>
        </is>
      </c>
      <c r="Q61" s="11" t="inlineStr">
        <is>
          <t>OPEN — chờ xác nhận BA.</t>
        </is>
      </c>
    </row>
    <row r="62" ht="51" customHeight="1">
      <c r="A62" s="9" t="inlineStr">
        <is>
          <t>SS-SCR-008-SC2-TC1</t>
        </is>
      </c>
      <c r="B62" s="9" t="inlineStr">
        <is>
          <t>SS-SCR-008-SC2</t>
        </is>
      </c>
      <c r="C62" s="9" t="inlineStr">
        <is>
          <t>SS-SCR-008</t>
        </is>
      </c>
      <c r="D62" s="9" t="inlineStr">
        <is>
          <t>FR-SF-02, FR-PR-06</t>
        </is>
      </c>
      <c r="E62" s="9" t="inlineStr">
        <is>
          <t>Functional</t>
        </is>
      </c>
      <c r="F62" s="9" t="inlineStr">
        <is>
          <t>Tap ra ngoài overlay đóng sheet, giữ nguyên lựa chọn cũ</t>
        </is>
      </c>
      <c r="G62" s="9" t="inlineStr">
        <is>
          <t>Sort bottom sheet đang mở, tiêu chí hiện tại = "Liên quan nhất".</t>
        </is>
      </c>
      <c r="H62" s="9" t="inlineStr">
        <is>
          <t>1. Mở Sort sheet (đang chọn "Liên quan nhất").
2. Tap vào vùng tối bên ngoài sheet (không chọn tiêu chí nào khác).
3. Quan sát nhãn trên thanh sticky sau khi sheet đóng.</t>
        </is>
      </c>
      <c r="I62" s="9" t="inlineStr">
        <is>
          <t>N/A</t>
        </is>
      </c>
      <c r="J62" s="9" t="inlineStr">
        <is>
          <t>Sheet đóng lại; nhãn trên thanh sticky vẫn là "Liên quan nhất"; không có truy vấn mới nào được gọi.</t>
        </is>
      </c>
      <c r="K62" s="9" t="inlineStr">
        <is>
          <t>Low</t>
        </is>
      </c>
      <c r="L62" s="10" t="n"/>
      <c r="M62" s="10" t="inlineStr">
        <is>
          <t>Not Run</t>
        </is>
      </c>
      <c r="N62" s="10" t="n"/>
      <c r="O62" s="10" t="n"/>
      <c r="P62" s="9" t="n"/>
      <c r="Q62" s="9" t="n"/>
    </row>
    <row r="63" ht="51" customHeight="1">
      <c r="A63" s="9" t="inlineStr">
        <is>
          <t>SS-SCR-008-SC3-TC1</t>
        </is>
      </c>
      <c r="B63" s="9" t="inlineStr">
        <is>
          <t>SS-SCR-008-SC3</t>
        </is>
      </c>
      <c r="C63" s="9" t="inlineStr">
        <is>
          <t>SS-SCR-008</t>
        </is>
      </c>
      <c r="D63" s="9" t="inlineStr">
        <is>
          <t>FR-SF-02, FR-PR-06</t>
        </is>
      </c>
      <c r="E63" s="9" t="inlineStr">
        <is>
          <t>Boundary</t>
        </is>
      </c>
      <c r="F63" s="9" t="inlineStr">
        <is>
          <t>Chọn lại tiêu chí đang active không gây lỗi/giật UI</t>
        </is>
      </c>
      <c r="G63" s="9" t="inlineStr">
        <is>
          <t>Đang áp dụng sort "Giá thấp-cao".</t>
        </is>
      </c>
      <c r="H63" s="9" t="inlineStr">
        <is>
          <t>1. Áp dụng sort "Giá thấp-cao".
2. Mở lại Sort sheet, tap lại đúng "Giá thấp-cao" (tiêu chí đang active).
3. Quan sát UI.</t>
        </is>
      </c>
      <c r="I63" s="9" t="inlineStr">
        <is>
          <t>Chọn lại tiêu chí đang active</t>
        </is>
      </c>
      <c r="J63" s="9" t="inlineStr">
        <is>
          <t>Sheet đóng bình thường, danh sách kết quả không nhấp nháy/giật, thứ tự sản phẩm không đổi (vẫn đúng thứ tự giá tăng dần).</t>
        </is>
      </c>
      <c r="K63" s="9" t="inlineStr">
        <is>
          <t>Low</t>
        </is>
      </c>
      <c r="L63" s="10" t="n"/>
      <c r="M63" s="10" t="inlineStr">
        <is>
          <t>Not Run</t>
        </is>
      </c>
      <c r="N63" s="10" t="n"/>
      <c r="O63" s="10" t="n"/>
      <c r="P63" s="9" t="n"/>
      <c r="Q63" s="9" t="n"/>
    </row>
    <row r="64" ht="89.25" customHeight="1">
      <c r="A64" s="9" t="inlineStr">
        <is>
          <t>SS-SCR-009-SC1-TC1</t>
        </is>
      </c>
      <c r="B64" s="9" t="inlineStr">
        <is>
          <t>SS-SCR-009-SC1</t>
        </is>
      </c>
      <c r="C64" s="9" t="inlineStr">
        <is>
          <t>SS-SCR-009</t>
        </is>
      </c>
      <c r="D64" s="9" t="inlineStr">
        <is>
          <t>FR-SF-01, FR-SF-04</t>
        </is>
      </c>
      <c r="E64" s="9" t="inlineStr">
        <is>
          <t>Filter</t>
        </is>
      </c>
      <c r="F64" s="9" t="inlineStr">
        <is>
          <t>Kết hợp nhiều nhóm điều kiện và áp dụng cùng lúc</t>
        </is>
      </c>
      <c r="G64" s="9" t="inlineStr">
        <is>
          <t>Trang kết quả đã tải với ≥1 sản phẩm.</t>
        </is>
      </c>
      <c r="H64" s="9" t="inlineStr">
        <is>
          <t>1. Mở Bộ lọc từ trang kết quả "sữa".
2. Chọn Danh mục "Thực phẩm &amp; Đồ uống".
3. Chuyển tab Nhãn, chọn chip "Không đường" và "Hữu cơ".
4. Chuyển tab Đánh giá, chọn "Từ 4 sao trở lên".
5. Chạm "Áp dụng (n)".</t>
        </is>
      </c>
      <c r="I64" s="9" t="inlineStr">
        <is>
          <t>Danh mục=Thực phẩm &amp; Đồ uống; Nhãn=[Không đường, Hữu cơ]; Đánh giá=≥4 sao</t>
        </is>
      </c>
      <c r="J64" s="9" t="inlineStr">
        <is>
          <t>Sheet đóng, trang kết quả chạy lại truy vấn với đủ 3 điều kiện kết hợp (AND); badge nút "Bộ lọc" hiển thị số 3 (hoặc n tương ứng số điều kiện — nếu Nhãn tính theo từng chip thì n=4); số kết quả cập nhật realtime.</t>
        </is>
      </c>
      <c r="K64" s="9" t="inlineStr">
        <is>
          <t>High</t>
        </is>
      </c>
      <c r="L64" s="10" t="n"/>
      <c r="M64" s="10" t="inlineStr">
        <is>
          <t>Not Run</t>
        </is>
      </c>
      <c r="N64" s="10" t="n"/>
      <c r="O64" s="10" t="n"/>
      <c r="P64" s="9" t="n"/>
      <c r="Q64" s="9" t="n"/>
    </row>
    <row r="65" ht="51" customHeight="1">
      <c r="A65" s="9" t="inlineStr">
        <is>
          <t>SS-SCR-009-SC1-TC2</t>
        </is>
      </c>
      <c r="B65" s="9" t="inlineStr">
        <is>
          <t>SS-SCR-009-SC1</t>
        </is>
      </c>
      <c r="C65" s="9" t="inlineStr">
        <is>
          <t>SS-SCR-009</t>
        </is>
      </c>
      <c r="D65" s="9" t="inlineStr">
        <is>
          <t>FR-SF-01, FR-SF-04</t>
        </is>
      </c>
      <c r="E65" s="9" t="inlineStr">
        <is>
          <t>Validation</t>
        </is>
      </c>
      <c r="F65" s="9" t="inlineStr">
        <is>
          <t>Danh mục là cây độc quyền — chỉ chọn được 1 nhánh</t>
        </is>
      </c>
      <c r="G65" s="9" t="inlineStr">
        <is>
          <t>Trang kết quả đã tải với ≥1 sản phẩm.</t>
        </is>
      </c>
      <c r="H65" s="9" t="inlineStr">
        <is>
          <t>1. Mở Bộ lọc, tab Danh mục.
2. Chọn nhánh "Tươi sống".
3. Chọn tiếp nhánh "Mẹ &amp; Bé" mà không bỏ chọn nhánh trước.</t>
        </is>
      </c>
      <c r="I65" s="9" t="inlineStr">
        <is>
          <t>Chọn 2 nhánh Danh mục liên tiếp</t>
        </is>
      </c>
      <c r="J65" s="9" t="inlineStr">
        <is>
          <t>Chọn nhánh thứ 2 tự động bỏ chọn nhánh thứ nhất — chỉ 1 nhánh Danh mục được active tại một thời điểm (cấu trúc cây độc quyền, khác với Nhãn dạng phẳng nhiều-nhiều).</t>
        </is>
      </c>
      <c r="K65" s="9" t="inlineStr">
        <is>
          <t>Medium</t>
        </is>
      </c>
      <c r="L65" s="10" t="n"/>
      <c r="M65" s="10" t="inlineStr">
        <is>
          <t>Not Run</t>
        </is>
      </c>
      <c r="N65" s="10" t="n"/>
      <c r="O65" s="10" t="n"/>
      <c r="P65" s="9" t="n"/>
      <c r="Q65" s="9" t="n"/>
    </row>
    <row r="66" ht="63.75" customHeight="1">
      <c r="A66" s="11" t="inlineStr">
        <is>
          <t>SS-SCR-009-SC1-TC3</t>
        </is>
      </c>
      <c r="B66" s="11" t="inlineStr">
        <is>
          <t>SS-SCR-009-SC1</t>
        </is>
      </c>
      <c r="C66" s="11" t="inlineStr">
        <is>
          <t>SS-SCR-009</t>
        </is>
      </c>
      <c r="D66" s="11" t="inlineStr">
        <is>
          <t>FR-SF-01, FR-SF-04</t>
        </is>
      </c>
      <c r="E66" s="11" t="inlineStr">
        <is>
          <t>Validation</t>
        </is>
      </c>
      <c r="F66" s="11" t="inlineStr">
        <is>
          <t>Thanh hành động cố định "Thiết lập lại"/"Áp dụng" ở đáy sheet — đối chiếu lại sau khi xem ảnh Figma thật</t>
        </is>
      </c>
      <c r="G66" s="11" t="inlineStr">
        <is>
          <t>Trang kết quả đã tải với ≥1 sản phẩm.</t>
        </is>
      </c>
      <c r="H66" s="11" t="inlineStr">
        <is>
          <t>1. Mở Bộ lọc.
2. Cuộn xuống đáy sheet trên các kích thước màn hình khác nhau.
3. Kiểm tra nút "Thiết lập lại" và "Áp dụng" có luôn hiển thị cố định (sticky) hay bị cuộn mất.</t>
        </is>
      </c>
      <c r="I66" s="11" t="inlineStr">
        <is>
          <t>N/A</t>
        </is>
      </c>
      <c r="J66" s="11" t="inlineStr">
        <is>
          <t>Ảnh Figma thực tế (Text_Search.png, đã tăng sáng để xem — xem QnA-16) cho thấy sheet Bộ lọc THỰC SỰ CÓ thanh hành động cố định ở đáy: nút "Thiết lập lại" (outline) bên trái + nút "Áp dụng" (đỏ, full-width) bên phải. Điều này MÂU THUẪN với ghi chú riêng của storyboard PPTX (Mục cần chốt #3) khẳng định thanh này đang THIẾU. Test case thực thi theo ảnh Figma thật (có thanh hành động); không chấm Pass/Fail cuối cùng cho tới khi BA xác nhận bản nào là nguồn đúng. Xem QnA-18.</t>
        </is>
      </c>
      <c r="K66" s="11" t="inlineStr">
        <is>
          <t>Medium</t>
        </is>
      </c>
      <c r="L66" s="10" t="n"/>
      <c r="M66" s="10" t="inlineStr">
        <is>
          <t>N/A</t>
        </is>
      </c>
      <c r="N66" s="10" t="n"/>
      <c r="O66" s="10" t="n"/>
      <c r="P66" s="11" t="inlineStr">
        <is>
          <t>QnA-18</t>
        </is>
      </c>
      <c r="Q66" s="11" t="inlineStr">
        <is>
          <t>Phát hiện khi đối chiếu ảnh Figma thật (đã tăng sáng) với PPTX storyboard — 2 nguồn mâu thuẫn nhau về cùng 1 chi tiết UI.</t>
        </is>
      </c>
    </row>
    <row r="67" ht="63.75" customHeight="1">
      <c r="A67" s="9" t="inlineStr">
        <is>
          <t>SS-SCR-009-SC2-TC1</t>
        </is>
      </c>
      <c r="B67" s="9" t="inlineStr">
        <is>
          <t>SS-SCR-009-SC2</t>
        </is>
      </c>
      <c r="C67" s="9" t="inlineStr">
        <is>
          <t>SS-SCR-009</t>
        </is>
      </c>
      <c r="D67" s="9" t="inlineStr">
        <is>
          <t>FR-SF-01, FR-SF-04</t>
        </is>
      </c>
      <c r="E67" s="9" t="inlineStr">
        <is>
          <t>Validation</t>
        </is>
      </c>
      <c r="F67" s="9" t="inlineStr">
        <is>
          <t>Preset giá và nhập tay Từ-Đến loại trừ lẫn nhau</t>
        </is>
      </c>
      <c r="G67" s="9" t="inlineStr">
        <is>
          <t>Trang kết quả đã tải; tab Giá trong bảng Bộ lọc.</t>
        </is>
      </c>
      <c r="H67" s="9" t="inlineStr">
        <is>
          <t>1. Mở Bộ lọc, tab Giá.
2. Chọn preset "30%-70% giá trung bình".
3. Quan sát trạng thái ô nhập tay Từ-Đến.
4. Nhập tay khoảng giá 20.000đ-50.000đ vào ô Từ-Đến.
5. Quan sát trạng thái preset đã chọn trước đó.</t>
        </is>
      </c>
      <c r="I67" s="9" t="inlineStr">
        <is>
          <t>Preset=30-70%, sau đó nhập tay=20.000-50.000đ</t>
        </is>
      </c>
      <c r="J67" s="9" t="inlineStr">
        <is>
          <t>Bước 3: chọn preset thì ô nhập tay bị vô hiệu/về trạng thái trống. Bước 5: khi nhập tay, preset đã chọn trước đó tự động bỏ chọn — chỉ 1 trong 2 cơ chế được active tại một thời điểm, đúng quy tắc "Chỉ được chọn 1 range hoặc nhập tay" (FR-SF-04).</t>
        </is>
      </c>
      <c r="K67" s="9" t="inlineStr">
        <is>
          <t>Medium</t>
        </is>
      </c>
      <c r="L67" s="10" t="n"/>
      <c r="M67" s="10" t="inlineStr">
        <is>
          <t>Not Run</t>
        </is>
      </c>
      <c r="N67" s="10" t="n"/>
      <c r="O67" s="10" t="n"/>
      <c r="P67" s="9" t="n"/>
      <c r="Q67" s="9" t="n"/>
    </row>
    <row r="68" ht="76.5" customHeight="1">
      <c r="A68" s="9" t="inlineStr">
        <is>
          <t>SS-SCR-009-SC3-TC1</t>
        </is>
      </c>
      <c r="B68" s="9" t="inlineStr">
        <is>
          <t>SS-SCR-009-SC3</t>
        </is>
      </c>
      <c r="C68" s="9" t="inlineStr">
        <is>
          <t>SS-SCR-009</t>
        </is>
      </c>
      <c r="D68" s="9" t="inlineStr">
        <is>
          <t>FR-SF-01, FR-SF-04</t>
        </is>
      </c>
      <c r="E68" s="9" t="inlineStr">
        <is>
          <t>Filter</t>
        </is>
      </c>
      <c r="F68" s="9" t="inlineStr">
        <is>
          <t>Chọn nhiều chip Nhãn đồng thời, bỏ chọn độc lập từng chip</t>
        </is>
      </c>
      <c r="G68" s="9" t="inlineStr">
        <is>
          <t>Đang ở tab Nhãn.</t>
        </is>
      </c>
      <c r="H68" s="9" t="inlineStr">
        <is>
          <t>1. Ở tab Nhãn, chọn lần lượt 4 chip: Không đường, Hữu cơ, Nhập khẩu, Tiệt trùng.
2. Quan sát trạng thái cả 4 chip (đều active).
3. Bỏ chọn riêng chip "Hữu cơ".
4. Quan sát 3 chip còn lại.</t>
        </is>
      </c>
      <c r="I68" s="9" t="inlineStr">
        <is>
          <t>4 chip Nhãn</t>
        </is>
      </c>
      <c r="J68" s="9" t="inlineStr">
        <is>
          <t>Bước 2: cả 4 chip đều chuyển sang trạng thái active (nền đỏ) đồng thời — không giới hạn số lượng chọn. Bước 4: chỉ "Hữu cơ" về trạng thái chưa chọn, 3 chip còn lại vẫn giữ nguyên active.</t>
        </is>
      </c>
      <c r="K68" s="9" t="inlineStr">
        <is>
          <t>Medium</t>
        </is>
      </c>
      <c r="L68" s="10" t="n"/>
      <c r="M68" s="10" t="inlineStr">
        <is>
          <t>Not Run</t>
        </is>
      </c>
      <c r="N68" s="10" t="n"/>
      <c r="O68" s="10" t="n"/>
      <c r="P68" s="9" t="n"/>
      <c r="Q68" s="9" t="n"/>
    </row>
    <row r="69" ht="51" customHeight="1">
      <c r="A69" s="9" t="inlineStr">
        <is>
          <t>SS-SCR-009-SC4-TC1</t>
        </is>
      </c>
      <c r="B69" s="9" t="inlineStr">
        <is>
          <t>SS-SCR-009-SC4</t>
        </is>
      </c>
      <c r="C69" s="9" t="inlineStr">
        <is>
          <t>SS-SCR-009</t>
        </is>
      </c>
      <c r="D69" s="9" t="inlineStr">
        <is>
          <t>FR-SF-01, FR-SF-04</t>
        </is>
      </c>
      <c r="E69" s="9" t="inlineStr">
        <is>
          <t>Functional</t>
        </is>
      </c>
      <c r="F69" s="9" t="inlineStr">
        <is>
          <t>Mở rộng Danh mục nhiều cấp và chọn đúng phạm vi lọc</t>
        </is>
      </c>
      <c r="G69" s="9" t="inlineStr">
        <is>
          <t>Cây danh mục có ≥3 cấp cho nhánh này.</t>
        </is>
      </c>
      <c r="H69" s="9" t="inlineStr">
        <is>
          <t>1. Ở tab Danh mục, tap mũi tên (›) trên "Thực phẩm &amp; Đồ uống" để mở cấp con.
2. Tap tiếp mũi tên (›) trên "Sữa &amp; Trứng" để mở cấp con tiếp theo.
3. Chọn "Sữa tươi" ở cấp con cuối cùng, tap Áp dụng.
4. Kiểm tra phạm vi kết quả trả về.</t>
        </is>
      </c>
      <c r="I69" s="9" t="inlineStr">
        <is>
          <t>Thực phẩm &amp; Đồ uống › Sữa &amp; Trứng › Sữa tươi</t>
        </is>
      </c>
      <c r="J69" s="9" t="inlineStr">
        <is>
          <t>Kết quả trả về chỉ gồm sản phẩm thuộc đúng nhánh "Sữa tươi" (cấp con cuối cùng đã chọn), không bao gồm toàn bộ "Sữa &amp; Trứng" hay "Thực phẩm &amp; Đồ uống".</t>
        </is>
      </c>
      <c r="K69" s="9" t="inlineStr">
        <is>
          <t>Medium</t>
        </is>
      </c>
      <c r="L69" s="10" t="n"/>
      <c r="M69" s="10" t="inlineStr">
        <is>
          <t>Not Run</t>
        </is>
      </c>
      <c r="N69" s="10" t="n"/>
      <c r="O69" s="10" t="n"/>
      <c r="P69" s="9" t="n"/>
      <c r="Q69" s="9" t="n"/>
    </row>
    <row r="70" ht="63.75" customHeight="1">
      <c r="A70" s="9" t="inlineStr">
        <is>
          <t>SS-SCR-009-SC5-TC1</t>
        </is>
      </c>
      <c r="B70" s="9" t="inlineStr">
        <is>
          <t>SS-SCR-009-SC5</t>
        </is>
      </c>
      <c r="C70" s="9" t="inlineStr">
        <is>
          <t>SS-SCR-009</t>
        </is>
      </c>
      <c r="D70" s="9" t="inlineStr">
        <is>
          <t>FR-SF-01, FR-SF-04</t>
        </is>
      </c>
      <c r="E70" s="9" t="inlineStr">
        <is>
          <t>Negative</t>
        </is>
      </c>
      <c r="F70" s="9" t="inlineStr">
        <is>
          <t>Đóng bằng (✕) không áp dụng thay đổi, khôi phục đúng trạng thái cũ</t>
        </is>
      </c>
      <c r="G70" s="9" t="inlineStr">
        <is>
          <t>Đang có 1 filter cũ active (VD: "Không đường").</t>
        </is>
      </c>
      <c r="H70" s="9" t="inlineStr">
        <is>
          <t>1. Áp dụng filter "Không đường" trên trang kết quả.
2. Mở lại Bộ lọc, chọn thêm "Hữu cơ" và "Nhập khẩu" (chưa tap Áp dụng).
3. Tap nút (✕) để đóng sheet.
4. Kiểm tra badge số bộ lọc và danh sách kết quả.</t>
        </is>
      </c>
      <c r="I70" s="9" t="inlineStr">
        <is>
          <t>Filter cũ=Không đường; chọn thêm 2 filter mới rồi huỷ</t>
        </is>
      </c>
      <c r="J70" s="9" t="inlineStr">
        <is>
          <t>Badge vẫn hiển thị đúng 1 (chỉ "Không đường"); danh sách kết quả không thay đổi so với trước khi mở sheet; "Hữu cơ"/"Nhập khẩu" không được áp dụng.</t>
        </is>
      </c>
      <c r="K70" s="9" t="inlineStr">
        <is>
          <t>High</t>
        </is>
      </c>
      <c r="L70" s="10" t="n"/>
      <c r="M70" s="10" t="inlineStr">
        <is>
          <t>Not Run</t>
        </is>
      </c>
      <c r="N70" s="10" t="n"/>
      <c r="O70" s="10" t="n"/>
      <c r="P70" s="9" t="n"/>
      <c r="Q70" s="9" t="n"/>
    </row>
    <row r="71" ht="114.75" customHeight="1">
      <c r="A71" s="9" t="inlineStr">
        <is>
          <t>SS-SCR-010-SC1-TC1</t>
        </is>
      </c>
      <c r="B71" s="9" t="inlineStr">
        <is>
          <t>SS-SCR-010-SC1</t>
        </is>
      </c>
      <c r="C71" s="9" t="inlineStr">
        <is>
          <t>SS-SCR-010</t>
        </is>
      </c>
      <c r="D71" s="9" t="inlineStr">
        <is>
          <t>FR-SF-03</t>
        </is>
      </c>
      <c r="E71" s="9" t="inlineStr">
        <is>
          <t>Boundary</t>
        </is>
      </c>
      <c r="F71" s="9" t="inlineStr">
        <is>
          <t>0 kết quả sau lọc hiển thị UI riêng, khác Zero-Result do từ khoá</t>
        </is>
      </c>
      <c r="G71" s="9" t="inlineStr">
        <is>
          <t>Trang kết quả đã lọc trả về 0 sản phẩm.</t>
        </is>
      </c>
      <c r="H71" s="9" t="inlineStr">
        <is>
          <t>1. Tìm kiếm "sữa" (128 sản phẩm).
2. Áp dụng tổ hợp bộ lọc chắc chắn không có sản phẩm nào thoả (Giá &lt;10.000đ + Nhãn=Nhập khẩu).
3. Quan sát UI kết quả.
4. Chạm nút "Xoá bộ lọc".</t>
        </is>
      </c>
      <c r="I71" s="9" t="inlineStr">
        <is>
          <t>Giá &lt;10.000đ AND Nhãn=Nhập khẩu</t>
        </is>
      </c>
      <c r="J71" s="9" t="inlineStr">
        <is>
          <t>Bước 3: hiển thị đúng thông điệp "Không có sản phẩm nào khớp bộ lọc" + nút "Xoá bộ lọc" — khác với thông điệp/illustration của Zero Result Page (SS-SCR-012), không kèm khối gợi ý thay thế. Bước 4: quay lại 128 sản phẩm gốc.</t>
        </is>
      </c>
      <c r="K71" s="9" t="inlineStr">
        <is>
          <t>High</t>
        </is>
      </c>
      <c r="L71" s="10" t="n"/>
      <c r="M71" s="10" t="inlineStr">
        <is>
          <t>Not Run</t>
        </is>
      </c>
      <c r="N71" s="10" t="n"/>
      <c r="O71" s="10" t="n"/>
      <c r="P71" s="9" t="n"/>
      <c r="Q71" s="9" t="n"/>
    </row>
    <row r="72" ht="51" customHeight="1">
      <c r="A72" s="9" t="inlineStr">
        <is>
          <t>SS-SCR-010-SC2-TC1</t>
        </is>
      </c>
      <c r="B72" s="9" t="inlineStr">
        <is>
          <t>SS-SCR-010-SC2</t>
        </is>
      </c>
      <c r="C72" s="9" t="inlineStr">
        <is>
          <t>SS-SCR-010</t>
        </is>
      </c>
      <c r="D72" s="9" t="inlineStr">
        <is>
          <t>FR-SF-03</t>
        </is>
      </c>
      <c r="E72" s="9" t="inlineStr">
        <is>
          <t>Functional</t>
        </is>
      </c>
      <c r="F72" s="9" t="inlineStr">
        <is>
          <t>Bỏ chọn nhanh 1 chip lọc trên trang kết quả</t>
        </is>
      </c>
      <c r="G72" s="9" t="inlineStr">
        <is>
          <t>≥1 chip filter đang active.</t>
        </is>
      </c>
      <c r="H72" s="9" t="inlineStr">
        <is>
          <t>1. Áp dụng 3 điều kiện lọc, quan sát badge = 3.
2. Trên thanh chip lọc đang active, chạm lại chip "Không đường" (đang nền đỏ) để bỏ chọn.
3. Quan sát badge và số kết quả.</t>
        </is>
      </c>
      <c r="I72" s="9" t="inlineStr">
        <is>
          <t>3 điều kiện lọc, bỏ chọn 1</t>
        </is>
      </c>
      <c r="J72" s="9" t="inlineStr">
        <is>
          <t>Chip "Không đường" chuyển về trạng thái chưa chọn (nền mặc định); badge giảm còn 2; số kết quả cập nhật lại ngay không cần mở lại bảng Bộ lọc.</t>
        </is>
      </c>
      <c r="K72" s="9" t="inlineStr">
        <is>
          <t>Medium</t>
        </is>
      </c>
      <c r="L72" s="10" t="n"/>
      <c r="M72" s="10" t="inlineStr">
        <is>
          <t>Not Run</t>
        </is>
      </c>
      <c r="N72" s="10" t="n"/>
      <c r="O72" s="10" t="n"/>
      <c r="P72" s="9" t="n"/>
      <c r="Q72" s="9" t="n"/>
    </row>
    <row r="73" ht="63.75" customHeight="1">
      <c r="A73" s="9" t="inlineStr">
        <is>
          <t>SS-SCR-010-SC3-TC1</t>
        </is>
      </c>
      <c r="B73" s="9" t="inlineStr">
        <is>
          <t>SS-SCR-010-SC3</t>
        </is>
      </c>
      <c r="C73" s="9" t="inlineStr">
        <is>
          <t>SS-SCR-010</t>
        </is>
      </c>
      <c r="D73" s="9" t="inlineStr">
        <is>
          <t>FR-SF-03</t>
        </is>
      </c>
      <c r="E73" s="9" t="inlineStr">
        <is>
          <t>Boundary</t>
        </is>
      </c>
      <c r="F73" s="9" t="inlineStr">
        <is>
          <t>Bỏ chọn tuần tự về 0 điều kiện lọc — badge và kết quả đồng bộ đúng</t>
        </is>
      </c>
      <c r="G73" s="9" t="inlineStr">
        <is>
          <t>Đang áp dụng 3 điều kiện lọc.</t>
        </is>
      </c>
      <c r="H73" s="9" t="inlineStr">
        <is>
          <t>1. Áp dụng 3 điều kiện lọc, xác nhận badge = 3.
2. Bỏ chọn lần lượt từng chip, quan sát badge sau mỗi lần (3→2→1→0).
3. Ở bước badge = 0, kiểm tra danh sách kết quả.</t>
        </is>
      </c>
      <c r="I73" s="9" t="inlineStr">
        <is>
          <t>3 điều kiện → bỏ dần về 0</t>
        </is>
      </c>
      <c r="J73" s="9" t="inlineStr">
        <is>
          <t>Badge giảm chính xác theo từng bước; khi về 0, nút "Bộ lọc" không còn badge, danh sách kết quả trở về đúng tập đầy đủ ban đầu (trước khi lọc lần đầu).</t>
        </is>
      </c>
      <c r="K73" s="9" t="inlineStr">
        <is>
          <t>Medium</t>
        </is>
      </c>
      <c r="L73" s="10" t="n"/>
      <c r="M73" s="10" t="inlineStr">
        <is>
          <t>Not Run</t>
        </is>
      </c>
      <c r="N73" s="10" t="n"/>
      <c r="O73" s="10" t="n"/>
      <c r="P73" s="9" t="n"/>
      <c r="Q73" s="9" t="n"/>
    </row>
    <row r="74" ht="38.25" customHeight="1">
      <c r="A74" s="9" t="inlineStr">
        <is>
          <t>SS-SCR-011-SC1-TC1</t>
        </is>
      </c>
      <c r="B74" s="9" t="inlineStr">
        <is>
          <t>SS-SCR-011-SC1</t>
        </is>
      </c>
      <c r="C74" s="9" t="inlineStr">
        <is>
          <t>SS-SCR-011</t>
        </is>
      </c>
      <c r="D74" s="9" t="inlineStr">
        <is>
          <t>Không có FR ID rõ ràng trong BRD — xem QnA-10</t>
        </is>
      </c>
      <c r="E74" s="9" t="inlineStr">
        <is>
          <t>Functional</t>
        </is>
      </c>
      <c r="F74" s="9" t="inlineStr">
        <is>
          <t>Optimistic update + Toast xác nhận đúng nội dung, tự ẩn sau 3s</t>
        </is>
      </c>
      <c r="G74" s="9" t="inlineStr">
        <is>
          <t>Đang ở trang kết quả (Grid hoặc List).</t>
        </is>
      </c>
      <c r="H74" s="9" t="inlineStr">
        <is>
          <t>1. Ở trang kết quả "sữa", chạm (+) trên 1 Product Card còn hàng.
2. Ngay lập tức quan sát badge giỏ hàng.
3. Quan sát Toast xuất hiện ở đáy màn hình.
4. Đo thời gian toast tự động biến mất.
5. Trong lúc toast hiển thị, thử cuộn danh sách sản phẩm.</t>
        </is>
      </c>
      <c r="I74" s="9" t="inlineStr">
        <is>
          <t>1 SKU còn hàng</t>
        </is>
      </c>
      <c r="J74" s="9" t="inlineStr">
        <is>
          <t>Badge tăng ngay lập tức (trước khi có phản hồi API — optimistic). Toast gồm ảnh sản phẩm + "Đã thêm vào giỏ hàng" + đúng tên sản phẩm + giá đơn vị. Toast tự ẩn sau đúng 3 giây. Người dùng vẫn cuộn được danh sách bình thường trong lúc toast hiển thị.</t>
        </is>
      </c>
      <c r="K74" s="9" t="inlineStr">
        <is>
          <t>High</t>
        </is>
      </c>
      <c r="L74" s="10" t="n"/>
      <c r="M74" s="10" t="inlineStr">
        <is>
          <t>Not Run</t>
        </is>
      </c>
      <c r="N74" s="10" t="n"/>
      <c r="O74" s="10" t="n"/>
      <c r="P74" s="9" t="n"/>
      <c r="Q74" s="9" t="inlineStr">
        <is>
          <t>Ghi nhận: nhiều slide storyboard khác (SS-SCR-001, 005, 006) trích dẫn toast này là "(SS-SCR-010)" nhưng SS-SCR-010 thực tế là màn 'Sau khi áp dụng Bộ lọc'. Toast add-to-cart đúng ra thuộc SS-SCR-011. Xem QnA-13.</t>
        </is>
      </c>
    </row>
    <row r="75" ht="102" customHeight="1">
      <c r="A75" s="9" t="inlineStr">
        <is>
          <t>SS-SCR-011-SC1-TC2</t>
        </is>
      </c>
      <c r="B75" s="9" t="inlineStr">
        <is>
          <t>SS-SCR-011-SC1</t>
        </is>
      </c>
      <c r="C75" s="9" t="inlineStr">
        <is>
          <t>SS-SCR-011</t>
        </is>
      </c>
      <c r="D75" s="9" t="inlineStr">
        <is>
          <t>Không có FR ID rõ ràng trong BRD — xem QnA-10</t>
        </is>
      </c>
      <c r="E75" s="9" t="inlineStr">
        <is>
          <t>Negative</t>
        </is>
      </c>
      <c r="F75" s="9" t="inlineStr">
        <is>
          <t>Rollback badge khi API thêm giỏ thất bại</t>
        </is>
      </c>
      <c r="G75" s="9" t="inlineStr">
        <is>
          <t>Đang ở trang kết quả (Grid hoặc List).</t>
        </is>
      </c>
      <c r="H75" s="9" t="inlineStr">
        <is>
          <t>1. Giả lập API add-to-cart trả lỗi (5xx/timeout).
2. Chạm (+) trên 1 Product Card.
3. Quan sát badge ngay sau khi chạm (optimistic).
4. Chờ phản hồi lỗi từ API, quan sát badge lần nữa.</t>
        </is>
      </c>
      <c r="I75" s="9" t="inlineStr">
        <is>
          <t>API add-to-cart = lỗi giả lập</t>
        </is>
      </c>
      <c r="J75" s="9" t="inlineStr">
        <is>
          <t>Badge tăng ngay theo optimistic update ở bước 3, sau đó ROLLBACK về giá trị cũ khi API báo lỗi ở bước 4; đồng thời hiển thị thông báo lỗi cho khách.</t>
        </is>
      </c>
      <c r="K75" s="9" t="inlineStr">
        <is>
          <t>High</t>
        </is>
      </c>
      <c r="L75" s="10" t="n"/>
      <c r="M75" s="10" t="inlineStr">
        <is>
          <t>Not Run</t>
        </is>
      </c>
      <c r="N75" s="10" t="n"/>
      <c r="O75" s="10" t="n"/>
      <c r="P75" s="9" t="n"/>
      <c r="Q75" s="9" t="n"/>
    </row>
    <row r="76" ht="51" customHeight="1">
      <c r="A76" s="11" t="inlineStr">
        <is>
          <t>SS-SCR-011-SC1-TC3</t>
        </is>
      </c>
      <c r="B76" s="11" t="inlineStr">
        <is>
          <t>SS-SCR-011-SC1</t>
        </is>
      </c>
      <c r="C76" s="11" t="inlineStr">
        <is>
          <t>SS-SCR-011</t>
        </is>
      </c>
      <c r="D76" s="11" t="inlineStr">
        <is>
          <t>Không có FR ID rõ ràng trong BRD — xem QnA-10</t>
        </is>
      </c>
      <c r="E76" s="11" t="inlineStr">
        <is>
          <t>Boundary</t>
        </is>
      </c>
      <c r="F76" s="11" t="inlineStr">
        <is>
          <t>Vô hiệu nút (+) khi sản phẩm hết hàng hoặc vượt giới hạn mua</t>
        </is>
      </c>
      <c r="G76" s="11" t="inlineStr">
        <is>
          <t>Đang ở trang kết quả (Grid hoặc List).</t>
        </is>
      </c>
      <c r="H76" s="11" t="inlineStr">
        <is>
          <t>1. Xác định 1 SKU hết hàng (stock=0) và 1 SKU có giới hạn mua tối đa (VD: max 5/khách).
2. Với SKU hết hàng, quan sát trạng thái nút (+).
3. Với SKU giới hạn mua, tăng số lượng tới đúng giới hạn rồi chạm (+) thêm 1 lần nữa.</t>
        </is>
      </c>
      <c r="I76" s="11" t="inlineStr">
        <is>
          <t>SKU hết hàng; SKU giới hạn mua = 5</t>
        </is>
      </c>
      <c r="J76" s="11" t="inlineStr">
        <is>
          <t>Nút (+) bị vô hiệu hoá (disabled) trên SKU hết hàng — không thêm được vào giỏ. Với SKU giới hạn mua, việc chạm (+) khi đã đạt giới hạn không tăng thêm số lượng và hiển thị cảnh báo giới hạn mua.</t>
        </is>
      </c>
      <c r="K76" s="11" t="inlineStr">
        <is>
          <t>Medium</t>
        </is>
      </c>
      <c r="L76" s="10" t="n"/>
      <c r="M76" s="10" t="inlineStr">
        <is>
          <t>N/A</t>
        </is>
      </c>
      <c r="N76" s="10" t="n"/>
      <c r="O76" s="10" t="n"/>
      <c r="P76" s="11" t="inlineStr">
        <is>
          <t>QnA-10</t>
        </is>
      </c>
      <c r="Q76" s="11" t="n"/>
    </row>
    <row r="77" ht="63.75" customHeight="1">
      <c r="A77" s="11" t="inlineStr">
        <is>
          <t>SS-SCR-011-SC2-TC1</t>
        </is>
      </c>
      <c r="B77" s="11" t="inlineStr">
        <is>
          <t>SS-SCR-011-SC2</t>
        </is>
      </c>
      <c r="C77" s="11" t="inlineStr">
        <is>
          <t>SS-SCR-011</t>
        </is>
      </c>
      <c r="D77" s="11" t="inlineStr">
        <is>
          <t>Không có FR ID rõ ràng trong BRD — xem QnA-10</t>
        </is>
      </c>
      <c r="E77" s="11" t="inlineStr">
        <is>
          <t>Boundary</t>
        </is>
      </c>
      <c r="F77" s="11" t="inlineStr">
        <is>
          <t>Spam nút (+) nhiều lần liên tục — số lượng cộng dồn chính xác</t>
        </is>
      </c>
      <c r="G77" s="11" t="inlineStr">
        <is>
          <t>SKU còn hàng, không giới hạn mua.</t>
        </is>
      </c>
      <c r="H77" s="11" t="inlineStr">
        <is>
          <t>1. Xác định 1 SKU còn hàng, tồn kho ≥20, không giới hạn mua.
2. Bấm liên tục nút (+) 10 lần trong vòng &lt;1 giây.
3. Kiểm tra số lượng SKU đó trong giỏ hàng thực tế (mở trang Giỏ hàng để đối chiếu).</t>
        </is>
      </c>
      <c r="I77" s="11" t="inlineStr">
        <is>
          <t>10 lần bấm (+) liên tục</t>
        </is>
      </c>
      <c r="J77" s="11" t="inlineStr">
        <is>
          <t>Số lượng trong giỏ hàng = đúng 10 (hoặc số lần bấm hợp lệ), không bị đếm thiếu/thừa do race condition; badge trên icon Giỏ hàng khớp với số liệu thực tế.</t>
        </is>
      </c>
      <c r="K77" s="11" t="inlineStr">
        <is>
          <t>High</t>
        </is>
      </c>
      <c r="L77" s="10" t="n"/>
      <c r="M77" s="10" t="inlineStr">
        <is>
          <t>N/A</t>
        </is>
      </c>
      <c r="N77" s="10" t="n"/>
      <c r="O77" s="10" t="n"/>
      <c r="P77" s="11" t="inlineStr">
        <is>
          <t>QnA-21</t>
        </is>
      </c>
      <c r="Q77" s="11" t="inlineStr">
        <is>
          <t>Liên quan tới câu hỏi về cơ chế Toast khi bấm nhanh liên tục — xem QnA-21.</t>
        </is>
      </c>
    </row>
    <row r="78" ht="51" customHeight="1">
      <c r="A78" s="11" t="inlineStr">
        <is>
          <t>SS-SCR-011-SC3-TC1</t>
        </is>
      </c>
      <c r="B78" s="11" t="inlineStr">
        <is>
          <t>SS-SCR-011-SC3</t>
        </is>
      </c>
      <c r="C78" s="11" t="inlineStr">
        <is>
          <t>SS-SCR-011</t>
        </is>
      </c>
      <c r="D78" s="11" t="inlineStr">
        <is>
          <t>Không có FR ID rõ ràng trong BRD — xem QnA-10</t>
        </is>
      </c>
      <c r="E78" s="11" t="inlineStr">
        <is>
          <t>Edge</t>
        </is>
      </c>
      <c r="F78" s="11" t="inlineStr">
        <is>
          <t>Cơ chế Toast khi thêm liên tiếp 2 sản phẩm khác nhau — chưa có đặc tả</t>
        </is>
      </c>
      <c r="G78" s="11" t="inlineStr">
        <is>
          <t>2 SKU khác nhau còn hàng.</t>
        </is>
      </c>
      <c r="H78" s="11" t="inlineStr">
        <is>
          <t>1. Tap (+) trên SKU-A, ngay khi Toast của SKU-A vừa hiện (trong vòng &lt;3 giây), tap (+) trên SKU-B.
2. Quan sát Toast hiển thị: có 1 Toast (nội dung SKU nào?), 2 Toast chồng lên nhau, hay Toast xếp hàng nối tiếp?</t>
        </is>
      </c>
      <c r="I78" s="11" t="inlineStr">
        <is>
          <t>SKU-A rồi SKU-B, cách nhau &lt;3s</t>
        </is>
      </c>
      <c r="J78" s="11" t="inlineStr">
        <is>
          <t>TBD — BRD/Storyboard không mô tả cơ chế Toast khi có nhiều lượt thêm giỏ liên tiếp gần nhau. Yêu cầu tối thiểu: không có 2 Toast chồng lấn/đè lên nhau gây rối mắt; badge giỏ hàng luôn đúng tổng 2 sản phẩm. Không chấm Pass/Fail theo hành vi Toast cụ thể cho tới khi UX xác nhận. Xem QnA-21.</t>
        </is>
      </c>
      <c r="K78" s="11" t="inlineStr">
        <is>
          <t>Medium</t>
        </is>
      </c>
      <c r="L78" s="10" t="n"/>
      <c r="M78" s="10" t="inlineStr">
        <is>
          <t>N/A</t>
        </is>
      </c>
      <c r="N78" s="10" t="n"/>
      <c r="O78" s="10" t="n"/>
      <c r="P78" s="11" t="inlineStr">
        <is>
          <t>QnA-21</t>
        </is>
      </c>
      <c r="Q78" s="11" t="n"/>
    </row>
    <row r="79" ht="76.5" customHeight="1">
      <c r="A79" s="9" t="inlineStr">
        <is>
          <t>SS-SCR-011-SC4-TC1</t>
        </is>
      </c>
      <c r="B79" s="9" t="inlineStr">
        <is>
          <t>SS-SCR-011-SC4</t>
        </is>
      </c>
      <c r="C79" s="9" t="inlineStr">
        <is>
          <t>SS-SCR-011</t>
        </is>
      </c>
      <c r="D79" s="9" t="inlineStr">
        <is>
          <t>Không có FR ID rõ ràng trong BRD — xem QnA-10</t>
        </is>
      </c>
      <c r="E79" s="9" t="inlineStr">
        <is>
          <t>Exception</t>
        </is>
      </c>
      <c r="F79" s="9" t="inlineStr">
        <is>
          <t>Thêm giỏ khi offline — rollback kèm thông báo lỗi mạng rõ ràng</t>
        </is>
      </c>
      <c r="G79" s="9" t="inlineStr">
        <is>
          <t>Giả lập mất mạng hoàn toàn.</t>
        </is>
      </c>
      <c r="H79" s="9" t="inlineStr">
        <is>
          <t>1. Giả lập mất mạng hoàn toàn trên thiết bị.
2. Tap (+) trên 1 SKU còn hàng.
3. Quan sát badge ngay sau khi tap và sau vài giây.</t>
        </is>
      </c>
      <c r="I79" s="9" t="inlineStr">
        <is>
          <t>Offline hoàn toàn</t>
        </is>
      </c>
      <c r="J79" s="9" t="inlineStr">
        <is>
          <t>Badge tăng tạm thời (optimistic) rồi rollback về giá trị cũ; thông báo lỗi hiển thị nêu rõ vấn đề kết nối mạng (không phải thông báo lỗi hệ thống chung chung).</t>
        </is>
      </c>
      <c r="K79" s="9" t="inlineStr">
        <is>
          <t>Medium</t>
        </is>
      </c>
      <c r="L79" s="10" t="n"/>
      <c r="M79" s="10" t="inlineStr">
        <is>
          <t>Not Run</t>
        </is>
      </c>
      <c r="N79" s="10" t="n"/>
      <c r="O79" s="10" t="n"/>
      <c r="P79" s="9" t="n"/>
      <c r="Q79" s="9" t="n"/>
    </row>
    <row r="80" ht="63.75" customHeight="1">
      <c r="A80" s="9" t="inlineStr">
        <is>
          <t>SS-SCR-012-SC1-TC1</t>
        </is>
      </c>
      <c r="B80" s="9" t="inlineStr">
        <is>
          <t>SS-SCR-012-SC1</t>
        </is>
      </c>
      <c r="C80" s="9" t="inlineStr">
        <is>
          <t>SS-SCR-012</t>
        </is>
      </c>
      <c r="D80" s="9" t="inlineStr">
        <is>
          <t>FR-ZR-01, FR-ZR-02, FR-SM-07</t>
        </is>
      </c>
      <c r="E80" s="9" t="inlineStr">
        <is>
          <t>No-result</t>
        </is>
      </c>
      <c r="F80" s="9" t="inlineStr">
        <is>
          <t>Thông điệp Zero-Result trích dẫn đúng từ khoá đã tìm</t>
        </is>
      </c>
      <c r="G80" s="9" t="inlineStr">
        <is>
          <t>Catalogue đã index, không có SKU khớp trực tiếp.</t>
        </is>
      </c>
      <c r="H80" s="9" t="inlineStr">
        <is>
          <t>1. Tìm kiếm "xịt muỗi Tesla".
2. Quan sát tiêu đề, icon, và nội dung thông điệp trên Zero Result Page.</t>
        </is>
      </c>
      <c r="I80" s="9" t="inlineStr">
        <is>
          <t>"xịt muỗi Tesla"</t>
        </is>
      </c>
      <c r="J80" s="9" t="inlineStr">
        <is>
          <t>Tiêu đề "Không tìm thấy kết quả"; thông điệp: "Không có sản phẩm nào khớp với 'xịt muỗi Tesla'. Thử từ khoá khác nhé." — trích dẫn đúng nguyên văn từ khoá; icon minh hoạ trung tính, không dùng hình ảnh tiêu cực.</t>
        </is>
      </c>
      <c r="K80" s="9" t="inlineStr">
        <is>
          <t>High</t>
        </is>
      </c>
      <c r="L80" s="10" t="n"/>
      <c r="M80" s="10" t="inlineStr">
        <is>
          <t>Not Run</t>
        </is>
      </c>
      <c r="N80" s="10" t="n"/>
      <c r="O80" s="10" t="n"/>
      <c r="P80" s="9" t="n"/>
      <c r="Q80" s="9" t="n"/>
    </row>
    <row r="81" ht="38.25" customHeight="1">
      <c r="A81" s="9" t="inlineStr">
        <is>
          <t>SS-SCR-012-SC1-TC2</t>
        </is>
      </c>
      <c r="B81" s="9" t="inlineStr">
        <is>
          <t>SS-SCR-012-SC1</t>
        </is>
      </c>
      <c r="C81" s="9" t="inlineStr">
        <is>
          <t>SS-SCR-012</t>
        </is>
      </c>
      <c r="D81" s="9" t="inlineStr">
        <is>
          <t>FR-ZR-01, FR-ZR-02, FR-SM-07</t>
        </is>
      </c>
      <c r="E81" s="9" t="inlineStr">
        <is>
          <t>Functional</t>
        </is>
      </c>
      <c r="F81" s="9" t="inlineStr">
        <is>
          <t>3 tầng fallback: Substitute → Cross-sell (Basket Analysis) → Best-seller</t>
        </is>
      </c>
      <c r="G81" s="9" t="inlineStr">
        <is>
          <t>Catalogue đã index, không có SKU khớp trực tiếp.</t>
        </is>
      </c>
      <c r="H81" s="9" t="inlineStr">
        <is>
          <t>1. Tìm một SKU hết hàng có sản phẩm tương đồng vector/category (VD: "Bia Corona" hết hàng).
2. Quan sát khối "Có thể bạn sẽ thích" — kiểm tra có sản phẩm Substitute (VD: Bia Tiger) không.
3. Kiểm tra có khối bán kèm theo Basket Analysis không (VD: mồi nhậu/đậu phộng).
4. Giả lập trường hợp không tìm được substitute/cross-sell nào (từ khoá hoàn toàn ngoài domain catalogue), quan sát fallback cuối.</t>
        </is>
      </c>
      <c r="I81" s="9" t="inlineStr">
        <is>
          <t>"Bia Corona" (hết hàng) / từ khoá hoàn toàn ngoài domain</t>
        </is>
      </c>
      <c r="J81" s="9" t="inlineStr">
        <is>
          <t>Bước 2-3: hiển thị Substitute (Bia Tiger) và gợi ý bán kèm từ Basket Analysis. Bước 4: khi không có Substitute/Cross-sell, hệ thống rơi xuống tầng fallback sâu nhất — hiển thị Best-seller của LOTTE Mart, tối thiểu 10 sản phẩm (Lazy Loading).</t>
        </is>
      </c>
      <c r="K81" s="9" t="inlineStr">
        <is>
          <t>High</t>
        </is>
      </c>
      <c r="L81" s="10" t="n"/>
      <c r="M81" s="10" t="inlineStr">
        <is>
          <t>Not Run</t>
        </is>
      </c>
      <c r="N81" s="10" t="n"/>
      <c r="O81" s="10" t="n"/>
      <c r="P81" s="9" t="n"/>
      <c r="Q81" s="9" t="n"/>
    </row>
    <row r="82" ht="51" customHeight="1">
      <c r="A82" s="11" t="inlineStr">
        <is>
          <t>SS-SCR-012-SC1-TC3</t>
        </is>
      </c>
      <c r="B82" s="11" t="inlineStr">
        <is>
          <t>SS-SCR-012-SC1</t>
        </is>
      </c>
      <c r="C82" s="11" t="inlineStr">
        <is>
          <t>SS-SCR-012</t>
        </is>
      </c>
      <c r="D82" s="11" t="inlineStr">
        <is>
          <t>FR-ZR-01, FR-ZR-02, FR-SM-07</t>
        </is>
      </c>
      <c r="E82" s="11" t="inlineStr">
        <is>
          <t>Negative</t>
        </is>
      </c>
      <c r="F82" s="11" t="inlineStr">
        <is>
          <t>Hai khối "Từ khoá tương tự" và "Bạn có thể cần?" hiện đang tắt trong wireframe</t>
        </is>
      </c>
      <c r="G82" s="11" t="inlineStr">
        <is>
          <t>Catalogue đã index, không có SKU khớp trực tiếp.</t>
        </is>
      </c>
      <c r="H82" s="11" t="inlineStr">
        <is>
          <t>1. Truy cập Zero Result Page trên bản wireframe hiện tại.
2. Kiểm tra có hiển thị khối "Từ khoá tương tự" (similar keywords) và "Bạn có thể cần?" hay không.</t>
        </is>
      </c>
      <c r="I82" s="11" t="inlineStr">
        <is>
          <t>N/A</t>
        </is>
      </c>
      <c r="J82" s="11" t="inlineStr">
        <is>
          <t>TBD — 2 khối này đã được thiết kế nhưng đang ở trạng thái TẮT trong wireframe v0.1; cần BA/PO xác nhận có bật ở v1 hay để giai đoạn sau. Không thực thi Pass/Fail cho tới khi xác nhận. Xem QnA-03.</t>
        </is>
      </c>
      <c r="K82" s="11" t="inlineStr">
        <is>
          <t>Medium</t>
        </is>
      </c>
      <c r="L82" s="10" t="n"/>
      <c r="M82" s="10" t="inlineStr">
        <is>
          <t>N/A</t>
        </is>
      </c>
      <c r="N82" s="10" t="n"/>
      <c r="O82" s="10" t="n"/>
      <c r="P82" s="11" t="inlineStr">
        <is>
          <t>QnA-03</t>
        </is>
      </c>
      <c r="Q82" s="11" t="n"/>
    </row>
    <row r="83" ht="38.25" customHeight="1">
      <c r="A83" s="11" t="inlineStr">
        <is>
          <t>SS-SCR-012-SC2-TC1</t>
        </is>
      </c>
      <c r="B83" s="11" t="inlineStr">
        <is>
          <t>SS-SCR-012-SC2</t>
        </is>
      </c>
      <c r="C83" s="11" t="inlineStr">
        <is>
          <t>SS-SCR-012</t>
        </is>
      </c>
      <c r="D83" s="11" t="inlineStr">
        <is>
          <t>FR-ZR-01, FR-ZR-02, FR-SM-07</t>
        </is>
      </c>
      <c r="E83" s="11" t="inlineStr">
        <is>
          <t>Functional</t>
        </is>
      </c>
      <c r="F83" s="11" t="inlineStr">
        <is>
          <t>Tap sản phẩm gợi ý trên Zero Result — đích điều hướng chưa rõ</t>
        </is>
      </c>
      <c r="G83" s="11" t="inlineStr">
        <is>
          <t>Đang ở Zero Result Page với khối gợi ý hiển thị.</t>
        </is>
      </c>
      <c r="H83" s="11" t="inlineStr">
        <is>
          <t>1. Ở Zero Result Page (từ khoá "xịt muỗi Tesla"), xác định khối "Có thể bạn sẽ thích" có ≥1 sản phẩm.
2. Tap vào 1 card sản phẩm trong khối này.
3. Quan sát trang được mở.</t>
        </is>
      </c>
      <c r="I83" s="11" t="inlineStr">
        <is>
          <t>1 card gợi ý bất kỳ</t>
        </is>
      </c>
      <c r="J83" s="11" t="inlineStr">
        <is>
          <t>TBD — chưa rõ hành vi chuẩn (mở PDP trực tiếp vs chạy tìm kiếm mới theo tên sản phẩm). Yêu cầu tối thiểu: phải điều hướng tới một trang có nội dung hợp lệ (không phải trang lỗi hoặc trang trắng). Xem QnA-23.</t>
        </is>
      </c>
      <c r="K83" s="11" t="inlineStr">
        <is>
          <t>Medium</t>
        </is>
      </c>
      <c r="L83" s="10" t="n"/>
      <c r="M83" s="10" t="inlineStr">
        <is>
          <t>N/A</t>
        </is>
      </c>
      <c r="N83" s="10" t="n"/>
      <c r="O83" s="10" t="n"/>
      <c r="P83" s="11" t="inlineStr">
        <is>
          <t>QnA-23</t>
        </is>
      </c>
      <c r="Q83" s="11" t="n"/>
    </row>
    <row r="84" ht="38.25" customHeight="1">
      <c r="A84" s="9" t="inlineStr">
        <is>
          <t>SS-SCR-012-SC3-TC1</t>
        </is>
      </c>
      <c r="B84" s="9" t="inlineStr">
        <is>
          <t>SS-SCR-012-SC3</t>
        </is>
      </c>
      <c r="C84" s="9" t="inlineStr">
        <is>
          <t>SS-SCR-012</t>
        </is>
      </c>
      <c r="D84" s="9" t="inlineStr">
        <is>
          <t>FR-ZR-01, FR-ZR-02, FR-SM-07</t>
        </is>
      </c>
      <c r="E84" s="9" t="inlineStr">
        <is>
          <t>Functional</t>
        </is>
      </c>
      <c r="F84" s="9" t="inlineStr">
        <is>
          <t>Sửa từ khoá trực tiếp trên Zero Result Page và tìm lại thành công</t>
        </is>
      </c>
      <c r="G84" s="9" t="inlineStr">
        <is>
          <t>Đang ở Zero Result Page.</t>
        </is>
      </c>
      <c r="H84" s="9" t="inlineStr">
        <is>
          <t>1. Ở Zero Result Page với từ khoá "xịt muỗi Tesla".
2. Tap vào Search Bar, sửa thành "xịt muỗi".
3. Submit tìm kiếm lại.</t>
        </is>
      </c>
      <c r="I84" s="9" t="inlineStr">
        <is>
          <t>"xịt muỗi Tesla" → sửa thành "xịt muỗi"</t>
        </is>
      </c>
      <c r="J84" s="9" t="inlineStr">
        <is>
          <t>Hệ thống chạy truy vấn mới theo "xịt muỗi"; nếu có kết quả, chuyển sang trang kết quả Grid bình thường (SS-SCR-005), rời khỏi Zero Result Page.</t>
        </is>
      </c>
      <c r="K84" s="9" t="inlineStr">
        <is>
          <t>Medium</t>
        </is>
      </c>
      <c r="L84" s="10" t="n"/>
      <c r="M84" s="10" t="inlineStr">
        <is>
          <t>Not Run</t>
        </is>
      </c>
      <c r="N84" s="10" t="n"/>
      <c r="O84" s="10" t="n"/>
      <c r="P84" s="9" t="n"/>
      <c r="Q84" s="9" t="n"/>
    </row>
    <row r="85" ht="76.5" customHeight="1">
      <c r="A85" s="9" t="inlineStr">
        <is>
          <t>SS-SCR-013-SC1-TC1</t>
        </is>
      </c>
      <c r="B85" s="9" t="inlineStr">
        <is>
          <t>SS-SCR-013-SC1</t>
        </is>
      </c>
      <c r="C85" s="9" t="inlineStr">
        <is>
          <t>SS-SCR-013</t>
        </is>
      </c>
      <c r="D85" s="9" t="inlineStr">
        <is>
          <t>FR-IS-01</t>
        </is>
      </c>
      <c r="E85" s="9" t="inlineStr">
        <is>
          <t>Normal</t>
        </is>
      </c>
      <c r="F85" s="9" t="inlineStr">
        <is>
          <t>Luồng chụp ảnh cơ bản → Loading → Kết quả nhận diện</t>
        </is>
      </c>
      <c r="G85" s="9" t="inlineStr">
        <is>
          <t>Quyền Camera đã cấp.</t>
        </is>
      </c>
      <c r="H85" s="9" t="inlineStr">
        <is>
          <t>1. Chạm icon Camera trên Search Bar (SS-SCR-001), cấp quyền Camera lần đầu.
2. Ở Camera Screen, canh khung ngắm vào hộp sữa, chạm nút Chụp.
3. Quan sát chuyển tiếp sang Loading Screen (SS-SCR-004).
4. Chờ xử lý xong, quan sát trang Kết quả nhận diện (SS-SCR-015).</t>
        </is>
      </c>
      <c r="I85" s="9" t="inlineStr">
        <is>
          <t>Ảnh JPEG rõ nét hộp sữa</t>
        </is>
      </c>
      <c r="J85" s="9" t="inlineStr">
        <is>
          <t>Chụp thành công chuyển ngay sang Loading rồi tới trang Kết quả nhận diện hiển thị đúng thumbnail ảnh vừa chụp trong ô tìm kiếm và danh sách sản phẩm liên quan.</t>
        </is>
      </c>
      <c r="K85" s="9" t="inlineStr">
        <is>
          <t>High</t>
        </is>
      </c>
      <c r="L85" s="10" t="n"/>
      <c r="M85" s="10" t="inlineStr">
        <is>
          <t>Not Run</t>
        </is>
      </c>
      <c r="N85" s="10" t="n"/>
      <c r="O85" s="10" t="n"/>
      <c r="P85" s="9" t="n"/>
      <c r="Q85" s="9" t="n"/>
    </row>
    <row r="86" ht="63.75" customHeight="1">
      <c r="A86" s="9" t="inlineStr">
        <is>
          <t>SS-SCR-013-SC1-TC2</t>
        </is>
      </c>
      <c r="B86" s="9" t="inlineStr">
        <is>
          <t>SS-SCR-013-SC1</t>
        </is>
      </c>
      <c r="C86" s="9" t="inlineStr">
        <is>
          <t>SS-SCR-013</t>
        </is>
      </c>
      <c r="D86" s="9" t="inlineStr">
        <is>
          <t>FR-IS-01</t>
        </is>
      </c>
      <c r="E86" s="9" t="inlineStr">
        <is>
          <t>Functional</t>
        </is>
      </c>
      <c r="F86" s="9" t="inlineStr">
        <is>
          <t>Nút Đóng camera giữ nguyên trạng thái tìm kiếm trước đó</t>
        </is>
      </c>
      <c r="G86" s="9" t="inlineStr">
        <is>
          <t>Quyền Camera đã cấp.</t>
        </is>
      </c>
      <c r="H86" s="9" t="inlineStr">
        <is>
          <t>1. Từ Pre-search đang có từ khoá gần đây hiển thị, chạm icon Camera.
2. Ở Camera Screen, chạm nút Đóng (quay lại).
3. Quan sát màn hình Pre-search.</t>
        </is>
      </c>
      <c r="I86" s="9" t="inlineStr">
        <is>
          <t>N/A</t>
        </is>
      </c>
      <c r="J86" s="9" t="inlineStr">
        <is>
          <t>Quay lại đúng Pre-search Screen (SS-SCR-001), không mất từ khoá/trạng thái đang có trước đó — đúng ghi chú storyboard "Không mất từ khoá / trạng thái đang có".</t>
        </is>
      </c>
      <c r="K86" s="9" t="inlineStr">
        <is>
          <t>Low</t>
        </is>
      </c>
      <c r="L86" s="10" t="n"/>
      <c r="M86" s="10" t="inlineStr">
        <is>
          <t>Not Run</t>
        </is>
      </c>
      <c r="N86" s="10" t="n"/>
      <c r="O86" s="10" t="n"/>
      <c r="P86" s="9" t="n"/>
      <c r="Q86" s="9" t="n"/>
    </row>
    <row r="87" ht="51" customHeight="1">
      <c r="A87" s="11" t="inlineStr">
        <is>
          <t>SS-SCR-013-SC1-TC3</t>
        </is>
      </c>
      <c r="B87" s="11" t="inlineStr">
        <is>
          <t>SS-SCR-013-SC1</t>
        </is>
      </c>
      <c r="C87" s="11" t="inlineStr">
        <is>
          <t>SS-SCR-013</t>
        </is>
      </c>
      <c r="D87" s="11" t="inlineStr">
        <is>
          <t>FR-IS-01</t>
        </is>
      </c>
      <c r="E87" s="11" t="inlineStr">
        <is>
          <t>Negative</t>
        </is>
      </c>
      <c r="F87" s="11" t="inlineStr">
        <is>
          <t>Chưa có khung hướng dẫn canh giữa sản phẩm — gap thiết kế</t>
        </is>
      </c>
      <c r="G87" s="11" t="inlineStr">
        <is>
          <t>Quyền Camera đã cấp.</t>
        </is>
      </c>
      <c r="H87" s="11" t="inlineStr">
        <is>
          <t>1. Mở Camera Screen.
2. Kiểm tra có khung/overlay hướng dẫn canh giữa sản phẩm vào khung hình hay không.</t>
        </is>
      </c>
      <c r="I87" s="11" t="inlineStr">
        <is>
          <t>N/A</t>
        </is>
      </c>
      <c r="J87" s="11" t="inlineStr">
        <is>
          <t>TBD — hiện tại wireframe CHƯA có khung hướng dẫn (storyboard tự ghi nhận đây là điểm cần bổ sung để tăng tỉ lệ nhận diện). Không chấm Fail cho thiếu sót này ở bản v0.1; theo dõi quyết định scope qua QnA-12.</t>
        </is>
      </c>
      <c r="K87" s="11" t="inlineStr">
        <is>
          <t>Low</t>
        </is>
      </c>
      <c r="L87" s="10" t="n"/>
      <c r="M87" s="10" t="inlineStr">
        <is>
          <t>N/A</t>
        </is>
      </c>
      <c r="N87" s="10" t="n"/>
      <c r="O87" s="10" t="n"/>
      <c r="P87" s="11" t="inlineStr">
        <is>
          <t>QnA-12</t>
        </is>
      </c>
      <c r="Q87" s="11" t="n"/>
    </row>
    <row r="88" ht="63.75" customHeight="1">
      <c r="A88" s="9" t="inlineStr">
        <is>
          <t>SS-SCR-013-SC2-TC1</t>
        </is>
      </c>
      <c r="B88" s="9" t="inlineStr">
        <is>
          <t>SS-SCR-013-SC2</t>
        </is>
      </c>
      <c r="C88" s="9" t="inlineStr">
        <is>
          <t>SS-SCR-013</t>
        </is>
      </c>
      <c r="D88" s="9" t="inlineStr">
        <is>
          <t>FR-IS-01</t>
        </is>
      </c>
      <c r="E88" s="9" t="inlineStr">
        <is>
          <t>Functional</t>
        </is>
      </c>
      <c r="F88" s="9" t="inlineStr">
        <is>
          <t>Bật Flash cải thiện ảnh chụp trong điều kiện thiếu sáng</t>
        </is>
      </c>
      <c r="G88" s="9" t="inlineStr">
        <is>
          <t>Đang ở Camera Screen.</t>
        </is>
      </c>
      <c r="H88" s="9" t="inlineStr">
        <is>
          <t>1. Ở Camera Screen, môi trường ánh sáng yếu.
2. Tap nút bật Flash, xác nhận icon đổi trạng thái.
3. Chụp 1 sản phẩm, quan sát độ sáng ảnh.
4. Tắt Flash, chụp lại cùng sản phẩm, so sánh.</t>
        </is>
      </c>
      <c r="I88" s="9" t="inlineStr">
        <is>
          <t>Môi trường thiếu sáng</t>
        </is>
      </c>
      <c r="J88" s="9" t="inlineStr">
        <is>
          <t>Icon Flash phản ánh đúng trạng thái bật/tắt; ảnh chụp khi Flash bật có độ sáng tốt hơn rõ rệt so với khi tắt.</t>
        </is>
      </c>
      <c r="K88" s="9" t="inlineStr">
        <is>
          <t>Low</t>
        </is>
      </c>
      <c r="L88" s="10" t="n"/>
      <c r="M88" s="10" t="inlineStr">
        <is>
          <t>Not Run</t>
        </is>
      </c>
      <c r="N88" s="10" t="n"/>
      <c r="O88" s="10" t="n"/>
      <c r="P88" s="9" t="n"/>
      <c r="Q88" s="9" t="n"/>
    </row>
    <row r="89" ht="38.25" customHeight="1">
      <c r="A89" s="11" t="inlineStr">
        <is>
          <t>SS-SCR-013-SC3-TC1</t>
        </is>
      </c>
      <c r="B89" s="11" t="inlineStr">
        <is>
          <t>SS-SCR-013-SC3</t>
        </is>
      </c>
      <c r="C89" s="11" t="inlineStr">
        <is>
          <t>SS-SCR-013</t>
        </is>
      </c>
      <c r="D89" s="11" t="inlineStr">
        <is>
          <t>FR-IS-01</t>
        </is>
      </c>
      <c r="E89" s="11" t="inlineStr">
        <is>
          <t>Exception</t>
        </is>
      </c>
      <c r="F89" s="11" t="inlineStr">
        <is>
          <t>Thu hồi quyền Camera giữa phiên — hành vi UI chưa được tài liệu hoá</t>
        </is>
      </c>
      <c r="G89" s="11" t="inlineStr">
        <is>
          <t>App đang ở Camera Screen hoặc vừa quay lại foreground.</t>
        </is>
      </c>
      <c r="H89" s="11" t="inlineStr">
        <is>
          <t>1. Mở Camera Screen trong app (quyền đã cấp trước đó).
2. Chuyển ra Cài đặt hệ thống, thu hồi quyền Camera của app.
3. Quay lại app (foreground), quan sát Camera Screen.</t>
        </is>
      </c>
      <c r="I89" s="11" t="inlineStr">
        <is>
          <t>Thu hồi quyền giữa phiên</t>
        </is>
      </c>
      <c r="J89" s="11" t="inlineStr">
        <is>
          <t>TBD — chưa có đặc tả rõ ràng cho trường hợp thu hồi quyền GIỮA PHIÊN (khác với từ chối ở lần xin quyền đầu tiên). Yêu cầu tối thiểu: không crash app, hiển thị thông báo phù hợp + đường dẫn tới Cài đặt để cấp lại quyền. Xem QnA-24.</t>
        </is>
      </c>
      <c r="K89" s="11" t="inlineStr">
        <is>
          <t>Medium</t>
        </is>
      </c>
      <c r="L89" s="10" t="n"/>
      <c r="M89" s="10" t="inlineStr">
        <is>
          <t>N/A</t>
        </is>
      </c>
      <c r="N89" s="10" t="n"/>
      <c r="O89" s="10" t="n"/>
      <c r="P89" s="11" t="inlineStr">
        <is>
          <t>QnA-24</t>
        </is>
      </c>
      <c r="Q89" s="11" t="n"/>
    </row>
    <row r="90" ht="38.25" customHeight="1">
      <c r="A90" s="9" t="inlineStr">
        <is>
          <t>SS-SCR-014-SC1-TC1</t>
        </is>
      </c>
      <c r="B90" s="9" t="inlineStr">
        <is>
          <t>SS-SCR-014-SC1</t>
        </is>
      </c>
      <c r="C90" s="9" t="inlineStr">
        <is>
          <t>SS-SCR-014</t>
        </is>
      </c>
      <c r="D90" s="9" t="inlineStr">
        <is>
          <t>FR-IS-02, FR-IS-04</t>
        </is>
      </c>
      <c r="E90" s="9" t="inlineStr">
        <is>
          <t>Boundary</t>
        </is>
      </c>
      <c r="F90" s="9" t="inlineStr">
        <is>
          <t>Ngưỡng dung lượng ảnh chính xác tại mốc 5MB</t>
        </is>
      </c>
      <c r="G90" s="9" t="inlineStr">
        <is>
          <t>Quyền truy cập thư viện đã cấp; khay ảnh gần đây hiển thị lưới 3 cột.</t>
        </is>
      </c>
      <c r="H90" s="9" t="inlineStr">
        <is>
          <t>1. Mở khay Gallery từ Camera Screen.
2. Chọn ảnh JPEG dung lượng đúng 5.0MB.
3. Quan sát kết quả upload.
4. Lặp lại với ảnh JPEG 5.1MB.</t>
        </is>
      </c>
      <c r="I90" s="9" t="inlineStr">
        <is>
          <t>JPEG 5.0MB / JPEG 5.1MB</t>
        </is>
      </c>
      <c r="J90" s="9" t="inlineStr">
        <is>
          <t>5.0MB: được chấp nhận, chuyển sang Loading (SS-SCR-004). 5.1MB: bị từ chối trước khi upload, hiển thị đúng Toast message theo FR-IS-04 ("Định dạng hình ảnh không hợp lệ hoặc dung lượng vượt quá 5MB. Vui lòng thử lại.").</t>
        </is>
      </c>
      <c r="K90" s="9" t="inlineStr">
        <is>
          <t>High</t>
        </is>
      </c>
      <c r="L90" s="10" t="n"/>
      <c r="M90" s="10" t="inlineStr">
        <is>
          <t>Not Run</t>
        </is>
      </c>
      <c r="N90" s="10" t="n"/>
      <c r="O90" s="10" t="n"/>
      <c r="P90" s="9" t="n"/>
      <c r="Q90" s="9" t="n"/>
    </row>
    <row r="91" ht="76.5" customHeight="1">
      <c r="A91" s="9" t="inlineStr">
        <is>
          <t>SS-SCR-014-SC1-TC2</t>
        </is>
      </c>
      <c r="B91" s="9" t="inlineStr">
        <is>
          <t>SS-SCR-014-SC1</t>
        </is>
      </c>
      <c r="C91" s="9" t="inlineStr">
        <is>
          <t>SS-SCR-014</t>
        </is>
      </c>
      <c r="D91" s="9" t="inlineStr">
        <is>
          <t>FR-IS-02, FR-IS-04</t>
        </is>
      </c>
      <c r="E91" s="9" t="inlineStr">
        <is>
          <t>Exception</t>
        </is>
      </c>
      <c r="F91" s="9" t="inlineStr">
        <is>
          <t>Định dạng không hỗ trợ (GIF) bị từ chối với thông báo rõ ràng</t>
        </is>
      </c>
      <c r="G91" s="9" t="inlineStr">
        <is>
          <t>Quyền truy cập thư viện đã cấp; khay ảnh gần đây hiển thị lưới 3 cột.</t>
        </is>
      </c>
      <c r="H91" s="9" t="inlineStr">
        <is>
          <t>1. Mở khay Gallery.
2. Chọn 1 ảnh định dạng GIF.
3. Quan sát UI.</t>
        </is>
      </c>
      <c r="I91" s="9" t="inlineStr">
        <is>
          <t>GIF</t>
        </is>
      </c>
      <c r="J91" s="9" t="inlineStr">
        <is>
          <t>Hệ thống từ chối trước khi upload, hiển thị đúng Toast lỗi định dạng theo FR-IS-04; không crash, không mở Loading Screen.</t>
        </is>
      </c>
      <c r="K91" s="9" t="inlineStr">
        <is>
          <t>High</t>
        </is>
      </c>
      <c r="L91" s="10" t="n"/>
      <c r="M91" s="10" t="inlineStr">
        <is>
          <t>Not Run</t>
        </is>
      </c>
      <c r="N91" s="10" t="n"/>
      <c r="O91" s="10" t="n"/>
      <c r="P91" s="9" t="n"/>
      <c r="Q91" s="9" t="n"/>
    </row>
    <row r="92" ht="51" customHeight="1">
      <c r="A92" s="9" t="inlineStr">
        <is>
          <t>SS-SCR-014-SC1-TC3</t>
        </is>
      </c>
      <c r="B92" s="9" t="inlineStr">
        <is>
          <t>SS-SCR-014-SC1</t>
        </is>
      </c>
      <c r="C92" s="9" t="inlineStr">
        <is>
          <t>SS-SCR-014</t>
        </is>
      </c>
      <c r="D92" s="9" t="inlineStr">
        <is>
          <t>FR-IS-02, FR-IS-04</t>
        </is>
      </c>
      <c r="E92" s="9" t="inlineStr">
        <is>
          <t>Boundary</t>
        </is>
      </c>
      <c r="F92" s="9" t="inlineStr">
        <is>
          <t>Chỉ cho chọn 1 ảnh mỗi phiên (v1)</t>
        </is>
      </c>
      <c r="G92" s="9" t="inlineStr">
        <is>
          <t>Quyền truy cập thư viện đã cấp; khay ảnh gần đây hiển thị lưới 3 cột.</t>
        </is>
      </c>
      <c r="H92" s="9" t="inlineStr">
        <is>
          <t>1. Mở khay Gallery (lưới 3 cột).
2. Chạm chọn ảnh thứ nhất.
3. Quan sát UI có cho chọn thêm ảnh thứ hai không.</t>
        </is>
      </c>
      <c r="I92" s="9" t="inlineStr">
        <is>
          <t>2 ảnh trong khay</t>
        </is>
      </c>
      <c r="J92" s="9" t="inlineStr">
        <is>
          <t>Chọn 1 ảnh chuyển thẳng sang Loading Screen ngay lập tức — không có cơ chế multi-select ở phiên bản v1, đúng ghi chú "Chỉ cho chọn một ảnh ở phiên bản v1".</t>
        </is>
      </c>
      <c r="K92" s="9" t="inlineStr">
        <is>
          <t>Medium</t>
        </is>
      </c>
      <c r="L92" s="10" t="n"/>
      <c r="M92" s="10" t="inlineStr">
        <is>
          <t>Not Run</t>
        </is>
      </c>
      <c r="N92" s="10" t="n"/>
      <c r="O92" s="10" t="n"/>
      <c r="P92" s="9" t="n"/>
      <c r="Q92" s="9" t="n"/>
    </row>
    <row r="93" ht="51" customHeight="1">
      <c r="A93" s="9" t="inlineStr">
        <is>
          <t>SS-SCR-014-SC2-TC1</t>
        </is>
      </c>
      <c r="B93" s="9" t="inlineStr">
        <is>
          <t>SS-SCR-014-SC2</t>
        </is>
      </c>
      <c r="C93" s="9" t="inlineStr">
        <is>
          <t>SS-SCR-014</t>
        </is>
      </c>
      <c r="D93" s="9" t="inlineStr">
        <is>
          <t>FR-IS-02, FR-IS-04</t>
        </is>
      </c>
      <c r="E93" s="9" t="inlineStr">
        <is>
          <t>Edge</t>
        </is>
      </c>
      <c r="F93" s="9" t="inlineStr">
        <is>
          <t>Trạng thái rỗng khi thư viện ảnh không có ảnh nào</t>
        </is>
      </c>
      <c r="G93" s="9" t="inlineStr">
        <is>
          <t>Thiết bị test chưa có ảnh nào trong bộ nhớ/thư viện.</t>
        </is>
      </c>
      <c r="H93" s="9" t="inlineStr">
        <is>
          <t>1. Trên thiết bị test không có ảnh nào trong thư viện.
2. Mở khay Gallery từ Camera Screen.
3. Quan sát UI.</t>
        </is>
      </c>
      <c r="I93" s="9" t="inlineStr">
        <is>
          <t>Thư viện 0 ảnh</t>
        </is>
      </c>
      <c r="J93" s="9" t="inlineStr">
        <is>
          <t>Hiển thị thông điệp trạng thái rỗng rõ ràng (không phải lưới trống không giải thích gì); vẫn giữ được đường quay lại chụp ảnh mới.</t>
        </is>
      </c>
      <c r="K93" s="9" t="inlineStr">
        <is>
          <t>Low</t>
        </is>
      </c>
      <c r="L93" s="10" t="n"/>
      <c r="M93" s="10" t="inlineStr">
        <is>
          <t>Not Run</t>
        </is>
      </c>
      <c r="N93" s="10" t="n"/>
      <c r="O93" s="10" t="n"/>
      <c r="P93" s="9" t="n"/>
      <c r="Q93" s="9" t="n"/>
    </row>
    <row r="94" ht="63.75" customHeight="1">
      <c r="A94" s="9" t="inlineStr">
        <is>
          <t>SS-SCR-014-SC3-TC1</t>
        </is>
      </c>
      <c r="B94" s="9" t="inlineStr">
        <is>
          <t>SS-SCR-014-SC3</t>
        </is>
      </c>
      <c r="C94" s="9" t="inlineStr">
        <is>
          <t>SS-SCR-014</t>
        </is>
      </c>
      <c r="D94" s="9" t="inlineStr">
        <is>
          <t>FR-IS-02, FR-IS-04</t>
        </is>
      </c>
      <c r="E94" s="9" t="inlineStr">
        <is>
          <t>Negative</t>
        </is>
      </c>
      <c r="F94" s="9" t="inlineStr">
        <is>
          <t>Từ chối quyền Thư viện — hiển thị hướng dẫn cấp quyền lại</t>
        </is>
      </c>
      <c r="G94" s="9" t="inlineStr">
        <is>
          <t>Chạm nút Thư viện lần đầu, hệ thống hỏi quyền.</t>
        </is>
      </c>
      <c r="H94" s="9" t="inlineStr">
        <is>
          <t>1. Từ Camera Screen, tap nút Thư viện lần đầu.
2. Ở popup quyền hệ thống, chọn "Từ chối".
3. Quan sát UI.</t>
        </is>
      </c>
      <c r="I94" s="9" t="inlineStr">
        <is>
          <t>Quyền thư viện = Denied</t>
        </is>
      </c>
      <c r="J94" s="9" t="inlineStr">
        <is>
          <t>Hiển thị hướng dẫn mở Cài đặt để cấp quyền lại; không crash; khách vẫn có thể dùng chức năng Chụp ảnh trực tiếp bình thường.</t>
        </is>
      </c>
      <c r="K94" s="9" t="inlineStr">
        <is>
          <t>Medium</t>
        </is>
      </c>
      <c r="L94" s="10" t="n"/>
      <c r="M94" s="10" t="inlineStr">
        <is>
          <t>Not Run</t>
        </is>
      </c>
      <c r="N94" s="10" t="n"/>
      <c r="O94" s="10" t="n"/>
      <c r="P94" s="9" t="n"/>
      <c r="Q94" s="9" t="n"/>
    </row>
    <row r="95" ht="76.5" customHeight="1">
      <c r="A95" s="9" t="inlineStr">
        <is>
          <t>SS-SCR-015-SC1-TC1</t>
        </is>
      </c>
      <c r="B95" s="9" t="inlineStr">
        <is>
          <t>SS-SCR-015-SC1</t>
        </is>
      </c>
      <c r="C95" s="9" t="inlineStr">
        <is>
          <t>SS-SCR-015</t>
        </is>
      </c>
      <c r="D95" s="9" t="inlineStr">
        <is>
          <t>FR-IS-03, FR-IS-07</t>
        </is>
      </c>
      <c r="E95" s="9" t="inlineStr">
        <is>
          <t>Functional</t>
        </is>
      </c>
      <c r="F95" s="9" t="inlineStr">
        <is>
          <t>Trang kết quả ảnh tái sử dụng đúng component Sort/Filter/Product Card của luồng Text</t>
        </is>
      </c>
      <c r="G95" s="9" t="inlineStr">
        <is>
          <t>Ảnh đã xử lý thành công.</t>
        </is>
      </c>
      <c r="H95" s="9" t="inlineStr">
        <is>
          <t>1. Thực hiện tìm kiếm bằng ảnh hộp sữa TH True Milk thành công.
2. Trên trang kết quả ảnh, mở Sort, mở Filter, thêm 1 sản phẩm vào giỏ.
3. So sánh hành vi/giao diện với trang kết quả Text Search (SS-SCR-005).</t>
        </is>
      </c>
      <c r="I95" s="9" t="inlineStr">
        <is>
          <t>Ảnh hộp sữa TH True Milk</t>
        </is>
      </c>
      <c r="J95" s="9" t="inlineStr">
        <is>
          <t>Toàn bộ hành vi Sort/Filter/Add-to-cart trên trang kết quả ảnh giống hệt luồng Text Search, chỉ khác nguồn truy vấn (ảnh thay vì từ khoá) — đúng nguyên tắc "dùng chung trang kết quả, tiết kiệm effort lớn nhất của thiết kế".</t>
        </is>
      </c>
      <c r="K95" s="9" t="inlineStr">
        <is>
          <t>High</t>
        </is>
      </c>
      <c r="L95" s="10" t="n"/>
      <c r="M95" s="10" t="inlineStr">
        <is>
          <t>Not Run</t>
        </is>
      </c>
      <c r="N95" s="10" t="n"/>
      <c r="O95" s="10" t="n"/>
      <c r="P95" s="9" t="n"/>
      <c r="Q95" s="9" t="n"/>
    </row>
    <row r="96" ht="38.25" customHeight="1">
      <c r="A96" s="9" t="inlineStr">
        <is>
          <t>SS-SCR-015-SC1-TC2</t>
        </is>
      </c>
      <c r="B96" s="9" t="inlineStr">
        <is>
          <t>SS-SCR-015-SC1</t>
        </is>
      </c>
      <c r="C96" s="9" t="inlineStr">
        <is>
          <t>SS-SCR-015</t>
        </is>
      </c>
      <c r="D96" s="9" t="inlineStr">
        <is>
          <t>FR-IS-03, FR-IS-07</t>
        </is>
      </c>
      <c r="E96" s="9" t="inlineStr">
        <is>
          <t>Functional</t>
        </is>
      </c>
      <c r="F96" s="9" t="inlineStr">
        <is>
          <t>Tap vào thumbnail ảnh mở công cụ Crop</t>
        </is>
      </c>
      <c r="G96" s="9" t="inlineStr">
        <is>
          <t>Ảnh đã xử lý thành công.</t>
        </is>
      </c>
      <c r="H96" s="9" t="inlineStr">
        <is>
          <t>1. Ở trang kết quả ảnh, chạm vào thumbnail ảnh trong ô tìm kiếm.
2. Quan sát công cụ Crop mở ra.
3. Kéo khung chữ nhật để thu hẹp vùng quét, xác nhận.</t>
        </is>
      </c>
      <c r="I96" s="9" t="inlineStr">
        <is>
          <t>Thumbnail ảnh đã upload</t>
        </is>
      </c>
      <c r="J96" s="9" t="inlineStr">
        <is>
          <t>Công cụ Crop overlay mở đúng, cho phép kéo khung chữ nhật giới hạn vùng quét AI; sau khi xác nhận, hệ thống chạy lại tìm kiếm dựa trên vùng ảnh đã crop.</t>
        </is>
      </c>
      <c r="K96" s="9" t="inlineStr">
        <is>
          <t>Medium</t>
        </is>
      </c>
      <c r="L96" s="10" t="n"/>
      <c r="M96" s="10" t="inlineStr">
        <is>
          <t>Not Run</t>
        </is>
      </c>
      <c r="N96" s="10" t="n"/>
      <c r="O96" s="10" t="n"/>
      <c r="P96" s="9" t="n"/>
      <c r="Q96" s="9" t="n"/>
    </row>
    <row r="97" ht="76.5" customHeight="1">
      <c r="A97" s="11" t="inlineStr">
        <is>
          <t>SS-SCR-015-SC1-TC3</t>
        </is>
      </c>
      <c r="B97" s="11" t="inlineStr">
        <is>
          <t>SS-SCR-015-SC1</t>
        </is>
      </c>
      <c r="C97" s="11" t="inlineStr">
        <is>
          <t>SS-SCR-015</t>
        </is>
      </c>
      <c r="D97" s="11" t="inlineStr">
        <is>
          <t>FR-IS-03, FR-IS-07</t>
        </is>
      </c>
      <c r="E97" s="11" t="inlineStr">
        <is>
          <t>Boundary</t>
        </is>
      </c>
      <c r="F97" s="11" t="inlineStr">
        <is>
          <t>Ngưỡng độ tin cậy (confidence) nhận diện chưa được chốt</t>
        </is>
      </c>
      <c r="G97" s="11" t="inlineStr">
        <is>
          <t>Ảnh đã xử lý thành công.</t>
        </is>
      </c>
      <c r="H97" s="11" t="inlineStr">
        <is>
          <t>1. Giả lập ảnh cho kết quả nhận diện ở mức confidence biên (gần ngưỡng).
2. Quan sát hệ thống trả kết quả hay chuyển sang màn hình "Không nhận diện được" (SS-SCR-016).</t>
        </is>
      </c>
      <c r="I97" s="11" t="inlineStr">
        <is>
          <t>Ảnh confidence biên</t>
        </is>
      </c>
      <c r="J97" s="11" t="inlineStr">
        <is>
          <t>TBD — ngưỡng confidence cụ thể để quyết định trả kết quả hay chuyển sang lỗi chưa được TD chốt; không thực thi Pass/Fail định lượng cho tới khi có con số chính thức. Xem QnA-04.</t>
        </is>
      </c>
      <c r="K97" s="11" t="inlineStr">
        <is>
          <t>Medium</t>
        </is>
      </c>
      <c r="L97" s="10" t="n"/>
      <c r="M97" s="10" t="inlineStr">
        <is>
          <t>N/A</t>
        </is>
      </c>
      <c r="N97" s="10" t="n"/>
      <c r="O97" s="10" t="n"/>
      <c r="P97" s="11" t="inlineStr">
        <is>
          <t>QnA-04</t>
        </is>
      </c>
      <c r="Q97" s="11" t="n"/>
    </row>
    <row r="98" ht="76.5" customHeight="1">
      <c r="A98" s="9" t="inlineStr">
        <is>
          <t>SS-SCR-015-SC2-TC1</t>
        </is>
      </c>
      <c r="B98" s="9" t="inlineStr">
        <is>
          <t>SS-SCR-015-SC2</t>
        </is>
      </c>
      <c r="C98" s="9" t="inlineStr">
        <is>
          <t>SS-SCR-015</t>
        </is>
      </c>
      <c r="D98" s="9" t="inlineStr">
        <is>
          <t>FR-IS-03, FR-IS-07</t>
        </is>
      </c>
      <c r="E98" s="9" t="inlineStr">
        <is>
          <t>Performance</t>
        </is>
      </c>
      <c r="F98" s="9" t="inlineStr">
        <is>
          <t>p95 thời gian phản hồi tìm kiếm ảnh &lt; 3.000ms</t>
        </is>
      </c>
      <c r="G98" s="9" t="inlineStr">
        <is>
          <t>Điều kiện mạng bình thường.</t>
        </is>
      </c>
      <c r="H98" s="9" t="inlineStr">
        <is>
          <t>1. Thực hiện 30+ lượt tìm kiếm ảnh với ảnh chuẩn, điều kiện mạng bình thường.
2. Đo thời gian từ khi gửi ảnh tới khi sản phẩm đầu tiên hiển thị cho từng lượt.
3. Tính p95 của tập số liệu.</t>
        </is>
      </c>
      <c r="I98" s="9" t="inlineStr">
        <is>
          <t>Ảnh sản phẩm chuẩn x ≥30 lượt</t>
        </is>
      </c>
      <c r="J98" s="9" t="inlineStr">
        <is>
          <t>p95 thời gian phản hồi &lt; 3.000ms — đạt FR-IS-07/NFR-004.</t>
        </is>
      </c>
      <c r="K98" s="9" t="inlineStr">
        <is>
          <t>High</t>
        </is>
      </c>
      <c r="L98" s="10" t="n"/>
      <c r="M98" s="10" t="inlineStr">
        <is>
          <t>Not Run</t>
        </is>
      </c>
      <c r="N98" s="10" t="n"/>
      <c r="O98" s="10" t="n"/>
      <c r="P98" s="9" t="n"/>
      <c r="Q98" s="9" t="n"/>
    </row>
    <row r="99" ht="63.75" customHeight="1">
      <c r="A99" s="9" t="inlineStr">
        <is>
          <t>SS-SCR-015-SC3-TC1</t>
        </is>
      </c>
      <c r="B99" s="9" t="inlineStr">
        <is>
          <t>SS-SCR-015-SC3</t>
        </is>
      </c>
      <c r="C99" s="9" t="inlineStr">
        <is>
          <t>SS-SCR-015</t>
        </is>
      </c>
      <c r="D99" s="9" t="inlineStr">
        <is>
          <t>FR-IS-03, FR-IS-07</t>
        </is>
      </c>
      <c r="E99" s="9" t="inlineStr">
        <is>
          <t>Functional</t>
        </is>
      </c>
      <c r="F99" s="9" t="inlineStr">
        <is>
          <t>Bỏ ảnh (✕) quay về tìm bằng từ khoá, không giữ kết quả ảnh cũ</t>
        </is>
      </c>
      <c r="G99" s="9" t="inlineStr">
        <is>
          <t>Đang ở trang kết quả ảnh.</t>
        </is>
      </c>
      <c r="H99" s="9" t="inlineStr">
        <is>
          <t>1. Ở trang kết quả ảnh (đã tìm bằng ảnh hộp sữa).
2. Tap (✕) trên thumbnail ảnh trong ô tìm kiếm.
3. Quan sát UI ngay sau đó.</t>
        </is>
      </c>
      <c r="I99" s="9" t="inlineStr">
        <is>
          <t>N/A</t>
        </is>
      </c>
      <c r="J99" s="9" t="inlineStr">
        <is>
          <t>Ảnh bị gỡ khỏi ô tìm kiếm; hệ thống chuyển về trạng thái nhập từ khoá (ô trống, sẵn sàng gõ); không còn hiển thị kết quả của truy vấn ảnh cũ.</t>
        </is>
      </c>
      <c r="K99" s="9" t="inlineStr">
        <is>
          <t>Medium</t>
        </is>
      </c>
      <c r="L99" s="10" t="n"/>
      <c r="M99" s="10" t="inlineStr">
        <is>
          <t>Not Run</t>
        </is>
      </c>
      <c r="N99" s="10" t="n"/>
      <c r="O99" s="10" t="n"/>
      <c r="P99" s="9" t="n"/>
      <c r="Q99" s="9" t="n"/>
    </row>
    <row r="100" ht="51" customHeight="1">
      <c r="A100" s="9" t="inlineStr">
        <is>
          <t>SS-SCR-015-SC4-TC1</t>
        </is>
      </c>
      <c r="B100" s="9" t="inlineStr">
        <is>
          <t>SS-SCR-015-SC4</t>
        </is>
      </c>
      <c r="C100" s="9" t="inlineStr">
        <is>
          <t>SS-SCR-015</t>
        </is>
      </c>
      <c r="D100" s="9" t="inlineStr">
        <is>
          <t>FR-IS-03, FR-IS-07</t>
        </is>
      </c>
      <c r="E100" s="9" t="inlineStr">
        <is>
          <t>Boundary</t>
        </is>
      </c>
      <c r="F100" s="9" t="inlineStr">
        <is>
          <t>Xử lý ổn định khi có nhiều SKU tương đồng gần bằng nhau</t>
        </is>
      </c>
      <c r="G100" s="9" t="inlineStr">
        <is>
          <t>Catalogue có nhiều SKU hình dáng bao bì tương tự.</t>
        </is>
      </c>
      <c r="H100" s="9" t="inlineStr">
        <is>
          <t>1. Chụp/tải ảnh 1 hộp sữa có bao bì tương tự nhiều nhãn hiệu khác trong catalogue.
2. Quan sát danh sách kết quả trả về.</t>
        </is>
      </c>
      <c r="I100" s="9" t="inlineStr">
        <is>
          <t>Ảnh sản phẩm có nhiều biến thể tương tự</t>
        </is>
      </c>
      <c r="J100" s="9" t="inlineStr">
        <is>
          <t>Trả về danh sách nhiều SKU xếp hạng theo độ tương đồng giảm dần (không chỉ 1 kết quả duy nhất, không rỗng, không lỗi).</t>
        </is>
      </c>
      <c r="K100" s="9" t="inlineStr">
        <is>
          <t>Medium</t>
        </is>
      </c>
      <c r="L100" s="10" t="n"/>
      <c r="M100" s="10" t="inlineStr">
        <is>
          <t>Not Run</t>
        </is>
      </c>
      <c r="N100" s="10" t="n"/>
      <c r="O100" s="10" t="n"/>
      <c r="P100" s="9" t="n"/>
      <c r="Q100" s="9" t="n"/>
    </row>
    <row r="101" ht="51" customHeight="1">
      <c r="A101" s="9" t="inlineStr">
        <is>
          <t>SS-SCR-016-SC1-TC1</t>
        </is>
      </c>
      <c r="B101" s="9" t="inlineStr">
        <is>
          <t>SS-SCR-016-SC1</t>
        </is>
      </c>
      <c r="C101" s="9" t="inlineStr">
        <is>
          <t>SS-SCR-016</t>
        </is>
      </c>
      <c r="D101" s="9" t="inlineStr">
        <is>
          <t>FR-IS-05</t>
        </is>
      </c>
      <c r="E101" s="9" t="inlineStr">
        <is>
          <t>Edge</t>
        </is>
      </c>
      <c r="F101" s="9" t="inlineStr">
        <is>
          <t>Ảnh mờ/không nhận diện được → màn lỗi thân thiện + 2 đường thoát</t>
        </is>
      </c>
      <c r="G101" s="9" t="inlineStr">
        <is>
          <t>Ảnh hợp lệ về định dạng &amp; dung lượng nhưng không nhận diện được nội dung.</t>
        </is>
      </c>
      <c r="H101" s="9" t="inlineStr">
        <is>
          <t>1. Upload ảnh mờ/out-of-focus.
2. Quan sát trang kết quả.
3. Chạm "Thử lại".
4. Quay lại luồng ảnh, upload lại ảnh mờ, lần này chạm "Tìm bằng từ khoá".</t>
        </is>
      </c>
      <c r="I101" s="9" t="inlineStr">
        <is>
          <t>Ảnh mờ/out-of-focus</t>
        </is>
      </c>
      <c r="J101" s="9" t="inlineStr">
        <is>
          <t>Bước 2: hiển thị đúng trang lỗi "Không nhận diện được" với hướng dẫn khắc phục cụ thể, không dùng mã lỗi kỹ thuật. Bước 3: quay lại Camera Screen, giữ nguyên chế độ camera trước/sau đã dùng. Bước 4: chuyển đúng sang Pre-search Screen.</t>
        </is>
      </c>
      <c r="K101" s="9" t="inlineStr">
        <is>
          <t>High</t>
        </is>
      </c>
      <c r="L101" s="10" t="n"/>
      <c r="M101" s="10" t="inlineStr">
        <is>
          <t>Not Run</t>
        </is>
      </c>
      <c r="N101" s="10" t="n"/>
      <c r="O101" s="10" t="n"/>
      <c r="P101" s="9" t="n"/>
      <c r="Q101" s="9" t="n"/>
    </row>
    <row r="102" ht="76.5" customHeight="1">
      <c r="A102" s="9" t="inlineStr">
        <is>
          <t>SS-SCR-016-SC1-TC2</t>
        </is>
      </c>
      <c r="B102" s="9" t="inlineStr">
        <is>
          <t>SS-SCR-016-SC1</t>
        </is>
      </c>
      <c r="C102" s="9" t="inlineStr">
        <is>
          <t>SS-SCR-016</t>
        </is>
      </c>
      <c r="D102" s="9" t="inlineStr">
        <is>
          <t>FR-IS-05</t>
        </is>
      </c>
      <c r="E102" s="9" t="inlineStr">
        <is>
          <t>Edge</t>
        </is>
      </c>
      <c r="F102" s="9" t="inlineStr">
        <is>
          <t>Ảnh không chứa sản phẩm (phong cảnh/tường trắng) không ép trả kết quả sai</t>
        </is>
      </c>
      <c r="G102" s="9" t="inlineStr">
        <is>
          <t>Ảnh hợp lệ về định dạng &amp; dung lượng nhưng không nhận diện được nội dung.</t>
        </is>
      </c>
      <c r="H102" s="9" t="inlineStr">
        <is>
          <t>1. Upload ảnh phong cảnh hoặc bức tường trắng (không có sản phẩm).
2. Quan sát kết quả trả về.</t>
        </is>
      </c>
      <c r="I102" s="9" t="inlineStr">
        <is>
          <t>Ảnh không có nội dung sản phẩm</t>
        </is>
      </c>
      <c r="J102" s="9" t="inlineStr">
        <is>
          <t>Hệ thống KHÔNG ép trả một tập kết quả gán bừa; chuyển sang đúng màn hình lỗi "Không nhận diện được" thân thiện, đề xuất text search làm phương án dự phòng.</t>
        </is>
      </c>
      <c r="K102" s="9" t="inlineStr">
        <is>
          <t>High</t>
        </is>
      </c>
      <c r="L102" s="10" t="n"/>
      <c r="M102" s="10" t="inlineStr">
        <is>
          <t>Not Run</t>
        </is>
      </c>
      <c r="N102" s="10" t="n"/>
      <c r="O102" s="10" t="n"/>
      <c r="P102" s="9" t="n"/>
      <c r="Q102" s="9" t="n"/>
    </row>
    <row r="103" ht="38.25" customHeight="1">
      <c r="A103" s="9" t="inlineStr">
        <is>
          <t>SS-SCR-016-SC2-TC1</t>
        </is>
      </c>
      <c r="B103" s="9" t="inlineStr">
        <is>
          <t>SS-SCR-016-SC2</t>
        </is>
      </c>
      <c r="C103" s="9" t="inlineStr">
        <is>
          <t>SS-SCR-016</t>
        </is>
      </c>
      <c r="D103" s="9" t="inlineStr">
        <is>
          <t>FR-IS-05</t>
        </is>
      </c>
      <c r="E103" s="9" t="inlineStr">
        <is>
          <t>Exception</t>
        </is>
      </c>
      <c r="F103" s="9" t="inlineStr">
        <is>
          <t>Thử lại 3 lần liên tiếp đều thất bại — không bị khoá chức năng</t>
        </is>
      </c>
      <c r="G103" s="9" t="inlineStr">
        <is>
          <t>Đang lặp lại luồng Image Search nhiều lần.</t>
        </is>
      </c>
      <c r="H103" s="9" t="inlineStr">
        <is>
          <t>1. Upload ảnh mờ, xác nhận màn lỗi hiện ra.
2. Tap "Thử lại", upload lại ảnh mờ khác, xác nhận màn lỗi lần 2.
3. Lặp lại lần thứ 3.</t>
        </is>
      </c>
      <c r="I103" s="9" t="inlineStr">
        <is>
          <t>3 ảnh mờ liên tiếp</t>
        </is>
      </c>
      <c r="J103" s="9" t="inlineStr">
        <is>
          <t>Cả 3 lần đều hiển thị đúng màn "Không nhận diện được" với đầy đủ 2 CTA (Thử lại / Tìm bằng từ khoá); không có cơ chế khoá tính năng hay giới hạn số lần thử.</t>
        </is>
      </c>
      <c r="K103" s="9" t="inlineStr">
        <is>
          <t>Low</t>
        </is>
      </c>
      <c r="L103" s="10" t="n"/>
      <c r="M103" s="10" t="inlineStr">
        <is>
          <t>Not Run</t>
        </is>
      </c>
      <c r="N103" s="10" t="n"/>
      <c r="O103" s="10" t="n"/>
      <c r="P103" s="9" t="n"/>
      <c r="Q103" s="9" t="n"/>
    </row>
    <row r="104" ht="51" customHeight="1">
      <c r="A104" s="9" t="inlineStr">
        <is>
          <t>SS-SCR-017-SC1-TC1</t>
        </is>
      </c>
      <c r="B104" s="9" t="inlineStr">
        <is>
          <t>SS-SCR-017-SC1</t>
        </is>
      </c>
      <c r="C104" s="9" t="inlineStr">
        <is>
          <t>SS-SCR-017</t>
        </is>
      </c>
      <c r="D104" s="9" t="inlineStr">
        <is>
          <t>FR-VS-01, FR-VS-02</t>
        </is>
      </c>
      <c r="E104" s="9" t="inlineStr">
        <is>
          <t>Normal</t>
        </is>
      </c>
      <c r="F104" s="9" t="inlineStr">
        <is>
          <t>Transcript realtime + nút Dừng chủ động</t>
        </is>
      </c>
      <c r="G104" s="9" t="inlineStr">
        <is>
          <t>Quyền Micro đã cấp; đang ở lớp thu âm Listening.</t>
        </is>
      </c>
      <c r="H104" s="9" t="inlineStr">
        <is>
          <t>1. Chạm icon Mic, cấp quyền Micro lần đầu.
2. Nói "Ba quả chuối 60.000".
3. Quan sát thẻ "Đang nhận diện", waveform, và văn bản transcript cập nhật theo thời gian thực.
4. Chạm nút Dừng trước khi hệ thống tự động dừng.</t>
        </is>
      </c>
      <c r="I104" s="9" t="inlineStr">
        <is>
          <t>"Ba quả chuối 60.000"</t>
        </is>
      </c>
      <c r="J104" s="9" t="inlineStr">
        <is>
          <t>Thẻ "Đang nhận diện" xuất hiện ngay khi có tín hiệu đầu tiên; transcript hiển thị gần đúng với tốc độ nói; chạm Dừng chuyển ngay sang Loading Screen (SS-SCR-004) mà không cần chờ auto-stop.</t>
        </is>
      </c>
      <c r="K104" s="9" t="inlineStr">
        <is>
          <t>High</t>
        </is>
      </c>
      <c r="L104" s="10" t="n"/>
      <c r="M104" s="10" t="inlineStr">
        <is>
          <t>Not Run</t>
        </is>
      </c>
      <c r="N104" s="10" t="n"/>
      <c r="O104" s="10" t="n"/>
      <c r="P104" s="9" t="n"/>
      <c r="Q104" s="9" t="n"/>
    </row>
    <row r="105">
      <c r="A105" s="11" t="inlineStr">
        <is>
          <t>SS-SCR-017-SC1-TC2</t>
        </is>
      </c>
      <c r="B105" s="11" t="inlineStr">
        <is>
          <t>SS-SCR-017-SC1</t>
        </is>
      </c>
      <c r="C105" s="11" t="inlineStr">
        <is>
          <t>SS-SCR-017</t>
        </is>
      </c>
      <c r="D105" s="11" t="inlineStr">
        <is>
          <t>FR-VS-01, FR-VS-02</t>
        </is>
      </c>
      <c r="E105" s="11" t="inlineStr">
        <is>
          <t>Boundary</t>
        </is>
      </c>
      <c r="F105" s="11" t="inlineStr">
        <is>
          <t>Ngưỡng tự động dừng thu âm — mâu thuẫn giữa 6 giây cố định và đề xuất 2s im lặng/15s tối đa</t>
        </is>
      </c>
      <c r="G105" s="11" t="inlineStr">
        <is>
          <t>Quyền Micro đã cấp; đang ở lớp thu âm Listening.</t>
        </is>
      </c>
      <c r="H105" s="11" t="inlineStr">
        <is>
          <t>1. Nói liên tục không ngừng trong &gt;6 giây, quan sát hệ thống có tự dừng tại giây thứ 6 hay không.
2. Ở lượt khác, nói rồi im lặng 2 giây giữa chừng, quan sát có tự dừng tại mốc im lặng 2s hay không.</t>
        </is>
      </c>
      <c r="I105" s="11" t="inlineStr">
        <is>
          <t>Giọng nói liên tục &gt;6s / giọng nói + khoảng lặng 2s</t>
        </is>
      </c>
      <c r="J105" s="11" t="inlineStr">
        <is>
          <t>TBD — storyboard có 2 mô tả mâu thuẫn cho cùng hành vi: mục mô tả màn hình ghi "Tự động dừng sau H giây" (Loading), còn phần "Mục cần chốt" của tài liệu lại đề xuất "2 giây im lặng hoặc tối đa 15 giây". Không thực thi Pass/Fail định lượng cho đến khi TD/BA chốt 1 giá trị chính thức. Xem QnA-05.</t>
        </is>
      </c>
      <c r="K105" s="11" t="inlineStr">
        <is>
          <t>High</t>
        </is>
      </c>
      <c r="L105" s="10" t="n"/>
      <c r="M105" s="10" t="inlineStr">
        <is>
          <t>N/A</t>
        </is>
      </c>
      <c r="N105" s="10" t="n"/>
      <c r="O105" s="10" t="n"/>
      <c r="P105" s="11" t="inlineStr">
        <is>
          <t>QnA-05</t>
        </is>
      </c>
      <c r="Q105" s="11" t="inlineStr">
        <is>
          <t>OPEN — cần TD chốt ngưỡng auto-stop chính thức.</t>
        </is>
      </c>
    </row>
    <row r="106">
      <c r="A106" s="9" t="inlineStr">
        <is>
          <t>SS-SCR-017-SC2-TC1</t>
        </is>
      </c>
      <c r="B106" s="9" t="inlineStr">
        <is>
          <t>SS-SCR-017-SC2</t>
        </is>
      </c>
      <c r="C106" s="9" t="inlineStr">
        <is>
          <t>SS-SCR-017</t>
        </is>
      </c>
      <c r="D106" s="9" t="inlineStr">
        <is>
          <t>FR-VS-01, FR-VS-02</t>
        </is>
      </c>
      <c r="E106" s="9" t="inlineStr">
        <is>
          <t>Boundary</t>
        </is>
      </c>
      <c r="F106" s="9" t="inlineStr">
        <is>
          <t>Xử lý đúng câu nói rất ngắn/1 từ đơn</t>
        </is>
      </c>
      <c r="G106" s="9" t="inlineStr">
        <is>
          <t>Đã bắt đầu thu âm.</t>
        </is>
      </c>
      <c r="H106" s="9" t="inlineStr">
        <is>
          <t>1. Chạm icon Mic, bắt đầu thu âm.
2. Nói nhanh 1 từ "sữa" trong &lt;1 giây rồi im lặng.
3. Quan sát transcript và kết quả.</t>
        </is>
      </c>
      <c r="I106" s="9" t="inlineStr">
        <is>
          <t>"sữa" (&lt;1s)</t>
        </is>
      </c>
      <c r="J106" s="9" t="inlineStr">
        <is>
          <t>Transcript hiển thị đúng "sữa"; hệ thống xử lý như truy vấn hợp lệ, KHÔNG chuyển sang màn "Không nhận diện được" chỉ vì câu nói ngắn.</t>
        </is>
      </c>
      <c r="K106" s="9" t="inlineStr">
        <is>
          <t>Medium</t>
        </is>
      </c>
      <c r="L106" s="10" t="n"/>
      <c r="M106" s="10" t="inlineStr">
        <is>
          <t>Not Run</t>
        </is>
      </c>
      <c r="N106" s="10" t="n"/>
      <c r="O106" s="10" t="n"/>
      <c r="P106" s="9" t="n"/>
      <c r="Q106" s="9" t="n"/>
    </row>
    <row r="107">
      <c r="A107" s="11" t="inlineStr">
        <is>
          <t>SS-SCR-017-SC3-TC1</t>
        </is>
      </c>
      <c r="B107" s="11" t="inlineStr">
        <is>
          <t>SS-SCR-017-SC3</t>
        </is>
      </c>
      <c r="C107" s="11" t="inlineStr">
        <is>
          <t>SS-SCR-017</t>
        </is>
      </c>
      <c r="D107" s="11" t="inlineStr">
        <is>
          <t>FR-VS-01, FR-VS-02</t>
        </is>
      </c>
      <c r="E107" s="11" t="inlineStr">
        <is>
          <t>Exception</t>
        </is>
      </c>
      <c r="F107" s="11" t="inlineStr">
        <is>
          <t>Xử lý số đếm &amp; đơn vị trong câu nói — chưa được chốt cách xử lý</t>
        </is>
      </c>
      <c r="G107" s="11" t="inlineStr">
        <is>
          <t>Đang thu âm.</t>
        </is>
      </c>
      <c r="H107" s="11" t="inlineStr">
        <is>
          <t>1. Nói "sữa tươi hai lít".
2. Quan sát transcript và truy vấn được gửi đi (có giữ nguyên "hai lít", chuyển thành "2 lít"/"2L", hay bỏ qua phần số/đơn vị?).
3. Quan sát kết quả trả về.</t>
        </is>
      </c>
      <c r="I107" s="11" t="inlineStr">
        <is>
          <t>"sữa tươi hai lít"</t>
        </is>
      </c>
      <c r="J107" s="11" t="inlineStr">
        <is>
          <t>TBD — storyboard tự ghi nhận đây là điểm chưa chốt ("Cần chốt xử lý số đếm và đơn vị trước khi đưa vào tìm kiếm"). Yêu cầu tối thiểu: không crash, kết quả trả về vẫn liên quan tới "sữa tươi". Không chấm Pass/Fail theo cách xử lý số/đơn vị cụ thể cho tới khi có quyết định chính thức. Xem QnA-22.</t>
        </is>
      </c>
      <c r="K107" s="11" t="inlineStr">
        <is>
          <t>Medium</t>
        </is>
      </c>
      <c r="L107" s="10" t="n"/>
      <c r="M107" s="10" t="inlineStr">
        <is>
          <t>N/A</t>
        </is>
      </c>
      <c r="N107" s="10" t="n"/>
      <c r="O107" s="10" t="n"/>
      <c r="P107" s="11" t="inlineStr">
        <is>
          <t>QnA-22</t>
        </is>
      </c>
      <c r="Q107" s="11" t="n"/>
    </row>
    <row r="108">
      <c r="A108" s="9" t="inlineStr">
        <is>
          <t>SS-SCR-018-SC1-TC1</t>
        </is>
      </c>
      <c r="B108" s="9" t="inlineStr">
        <is>
          <t>SS-SCR-018-SC1</t>
        </is>
      </c>
      <c r="C108" s="9" t="inlineStr">
        <is>
          <t>SS-SCR-018</t>
        </is>
      </c>
      <c r="D108" s="9" t="inlineStr">
        <is>
          <t>FR-VS-04, FR-VS-05</t>
        </is>
      </c>
      <c r="E108" s="9" t="inlineStr">
        <is>
          <t>Functional</t>
        </is>
      </c>
      <c r="F108" s="9" t="inlineStr">
        <is>
          <t>Điều hướng thẳng tới kết quả, không qua màn xác minh trung gian</t>
        </is>
      </c>
      <c r="G108" s="9" t="inlineStr">
        <is>
          <t>Voice-to-text xử lý xong.</t>
        </is>
      </c>
      <c r="H108" s="9" t="inlineStr">
        <is>
          <t>1. Nói "sữa tươi không đường" và để hệ thống tự dừng/nhấn Dừng.
2. Quan sát luồng chuyển tiếp: có xuất hiện màn hình xác nhận transcript riêng biệt trước khi vào kết quả không?
3. Kiểm tra nội dung Search Bar trên trang kết quả.</t>
        </is>
      </c>
      <c r="I108" s="9" t="inlineStr">
        <is>
          <t>"sữa tươi không đường"</t>
        </is>
      </c>
      <c r="J108" s="9" t="inlineStr">
        <is>
          <t>Không có màn hình xác minh trung gian nào chen giữa; sau xử lý, hệ thống điều hướng thẳng sang trang kết quả (dùng chung layout luồng text) với Search Bar chứa đúng văn bản "sữa tươi không đường".</t>
        </is>
      </c>
      <c r="K108" s="9" t="inlineStr">
        <is>
          <t>High</t>
        </is>
      </c>
      <c r="L108" s="10" t="n"/>
      <c r="M108" s="10" t="inlineStr">
        <is>
          <t>Not Run</t>
        </is>
      </c>
      <c r="N108" s="10" t="n"/>
      <c r="O108" s="10" t="n"/>
      <c r="P108" s="9" t="n"/>
      <c r="Q108" s="9" t="n"/>
    </row>
    <row r="109">
      <c r="A109" s="9" t="inlineStr">
        <is>
          <t>SS-SCR-018-SC1-TC2</t>
        </is>
      </c>
      <c r="B109" s="9" t="inlineStr">
        <is>
          <t>SS-SCR-018-SC1</t>
        </is>
      </c>
      <c r="C109" s="9" t="inlineStr">
        <is>
          <t>SS-SCR-018</t>
        </is>
      </c>
      <c r="D109" s="9" t="inlineStr">
        <is>
          <t>FR-VS-04, FR-VS-05</t>
        </is>
      </c>
      <c r="E109" s="9" t="inlineStr">
        <is>
          <t>Functional</t>
        </is>
      </c>
      <c r="F109" s="9" t="inlineStr">
        <is>
          <t>Sửa tay transcript sai bằng bàn phím</t>
        </is>
      </c>
      <c r="G109" s="9" t="inlineStr">
        <is>
          <t>Voice-to-text xử lý xong.</t>
        </is>
      </c>
      <c r="H109" s="9" t="inlineStr">
        <is>
          <t>1. Giả lập transcript nhận diện sai (VD: hệ thống nghe thành "sữa tương không đường").
2. Chạm vào Search Bar trên trang kết quả.
3. Sửa lại thành "sữa tươi không đường" bằng bàn phím và submit.</t>
        </is>
      </c>
      <c r="I109" s="9" t="inlineStr">
        <is>
          <t>Transcript sai → sửa tay</t>
        </is>
      </c>
      <c r="J109" s="9" t="inlineStr">
        <is>
          <t>Chạm Search Bar cho phép sửa trực tiếp bằng bàn phím; sau khi sửa &amp; submit, hệ thống chạy lại truy vấn theo đúng văn bản mới, trả kết quả tương ứng.</t>
        </is>
      </c>
      <c r="K109" s="9" t="inlineStr">
        <is>
          <t>Medium</t>
        </is>
      </c>
      <c r="L109" s="10" t="n"/>
      <c r="M109" s="10" t="inlineStr">
        <is>
          <t>Not Run</t>
        </is>
      </c>
      <c r="N109" s="10" t="n"/>
      <c r="O109" s="10" t="n"/>
      <c r="P109" s="9" t="n"/>
      <c r="Q109" s="9" t="n"/>
    </row>
    <row r="110">
      <c r="A110" s="9" t="inlineStr">
        <is>
          <t>SS-SCR-018-SC1-TC3</t>
        </is>
      </c>
      <c r="B110" s="9" t="inlineStr">
        <is>
          <t>SS-SCR-018-SC1</t>
        </is>
      </c>
      <c r="C110" s="9" t="inlineStr">
        <is>
          <t>SS-SCR-018</t>
        </is>
      </c>
      <c r="D110" s="9" t="inlineStr">
        <is>
          <t>FR-VS-04, FR-VS-05</t>
        </is>
      </c>
      <c r="E110" s="9" t="inlineStr">
        <is>
          <t>Edge</t>
        </is>
      </c>
      <c r="F110" s="9" t="inlineStr">
        <is>
          <t>Độ tin cậy nhận diện trung bình-thấp hiển thị banner gợi ý tương tự luồng Text</t>
        </is>
      </c>
      <c r="G110" s="9" t="inlineStr">
        <is>
          <t>Voice-to-text xử lý xong.</t>
        </is>
      </c>
      <c r="H110" s="9" t="inlineStr">
        <is>
          <t>1. Giả lập giọng nói cho kết quả transcribe có độ tin cậy trung bình-thấp (gần giống nhưng không chắc chắn).
2. Quan sát UI trang kết quả.</t>
        </is>
      </c>
      <c r="I110" s="9" t="inlineStr">
        <is>
          <t>Giọng nói mơ hồ/độ tin cậy trung bình</t>
        </is>
      </c>
      <c r="J110" s="9" t="inlineStr">
        <is>
          <t>Hiển thị banner "Bạn có muốn tìm …?" tương tự cơ chế auto-correct của luồng text (SS-SCR-003) thay vì trả thẳng kết quả có thể sai.</t>
        </is>
      </c>
      <c r="K110" s="9" t="inlineStr">
        <is>
          <t>Medium</t>
        </is>
      </c>
      <c r="L110" s="10" t="n"/>
      <c r="M110" s="10" t="inlineStr">
        <is>
          <t>Not Run</t>
        </is>
      </c>
      <c r="N110" s="10" t="n"/>
      <c r="O110" s="10" t="n"/>
      <c r="P110" s="9" t="n"/>
      <c r="Q110" s="9" t="n"/>
    </row>
    <row r="111">
      <c r="A111" s="9" t="inlineStr">
        <is>
          <t>SS-SCR-018-SC2-TC1</t>
        </is>
      </c>
      <c r="B111" s="9" t="inlineStr">
        <is>
          <t>SS-SCR-018-SC2</t>
        </is>
      </c>
      <c r="C111" s="9" t="inlineStr">
        <is>
          <t>SS-SCR-018</t>
        </is>
      </c>
      <c r="D111" s="9" t="inlineStr">
        <is>
          <t>FR-VS-04, FR-VS-05</t>
        </is>
      </c>
      <c r="E111" s="9" t="inlineStr">
        <is>
          <t>Boundary</t>
        </is>
      </c>
      <c r="F111" s="9" t="inlineStr">
        <is>
          <t>Transcript rỗng được xử lý như luồng lỗi, không hiển thị kết quả trống nghĩa</t>
        </is>
      </c>
      <c r="G111" s="9" t="inlineStr">
        <is>
          <t>Kết thúc thu âm, hệ thống xử lý xong.</t>
        </is>
      </c>
      <c r="H111" s="9" t="inlineStr">
        <is>
          <t>1. Giả lập giọng nói cực nhỏ khiến engine trả về chuỗi transcript rỗng ("").
2. Quan sát màn hình sau khi xử lý xong.</t>
        </is>
      </c>
      <c r="I111" s="9" t="inlineStr">
        <is>
          <t>Transcript = rỗng</t>
        </is>
      </c>
      <c r="J111" s="9" t="inlineStr">
        <is>
          <t>Hệ thống chuyển sang màn "Không nhận diện được" (SS-SCR-019) thay vì mở trang kết quả với Search Bar trống (tránh trạng thái vô nghĩa/khó hiểu cho khách).</t>
        </is>
      </c>
      <c r="K111" s="9" t="inlineStr">
        <is>
          <t>Medium</t>
        </is>
      </c>
      <c r="L111" s="10" t="n"/>
      <c r="M111" s="10" t="inlineStr">
        <is>
          <t>Not Run</t>
        </is>
      </c>
      <c r="N111" s="10" t="n"/>
      <c r="O111" s="10" t="n"/>
      <c r="P111" s="9" t="n"/>
      <c r="Q111" s="9" t="n"/>
    </row>
    <row r="112">
      <c r="A112" s="9" t="inlineStr">
        <is>
          <t>SS-SCR-019-SC1-TC1</t>
        </is>
      </c>
      <c r="B112" s="9" t="inlineStr">
        <is>
          <t>SS-SCR-019-SC1</t>
        </is>
      </c>
      <c r="C112" s="9" t="inlineStr">
        <is>
          <t>SS-SCR-019</t>
        </is>
      </c>
      <c r="D112" s="9" t="inlineStr">
        <is>
          <t>FR-VS-06</t>
        </is>
      </c>
      <c r="E112" s="9" t="inlineStr">
        <is>
          <t>Exception</t>
        </is>
      </c>
      <c r="F112" s="9" t="inlineStr">
        <is>
          <t>Tiếng ồn/im lặng → màn lỗi thân thiện, không kích hoạt tìm kiếm sai</t>
        </is>
      </c>
      <c r="G112" s="9" t="inlineStr">
        <is>
          <t>Micro hoạt động, thu âm đã kết thúc (auto-stop hoặc manual stop).</t>
        </is>
      </c>
      <c r="H112" s="9" t="inlineStr">
        <is>
          <t>1. Chạm icon Mic, bắt đầu thu âm.
2. Chỉ tạo tiếng ồn nền (không nói rõ ràng) cho tới khi thu âm kết thúc.
3. Quan sát UI kết quả.
4. Chạm "Thử lại".</t>
        </is>
      </c>
      <c r="I112" s="9" t="inlineStr">
        <is>
          <t>Tiếng ồn nền, không có giọng nói rõ</t>
        </is>
      </c>
      <c r="J112" s="9" t="inlineStr">
        <is>
          <t>Bước 3: hiển thị đúng trang "Không nhận diện được" với hướng dẫn "Giọng nói chưa rõ ràng. Vui lòng thử lại bằng cách nói to và rõ hơn."; KHÔNG có truy vấn tìm kiếm giả mạo nào được kích hoạt/hiển thị kết quả sai. Bước 4: mở lại đúng lớp thu âm (SS-SCR-017).</t>
        </is>
      </c>
      <c r="K112" s="9" t="inlineStr">
        <is>
          <t>High</t>
        </is>
      </c>
      <c r="L112" s="10" t="n"/>
      <c r="M112" s="10" t="inlineStr">
        <is>
          <t>Not Run</t>
        </is>
      </c>
      <c r="N112" s="10" t="n"/>
      <c r="O112" s="10" t="n"/>
      <c r="P112" s="9" t="n"/>
      <c r="Q112" s="9" t="n"/>
    </row>
    <row r="113">
      <c r="A113" s="9" t="inlineStr">
        <is>
          <t>SS-SCR-019-SC1-TC2</t>
        </is>
      </c>
      <c r="B113" s="9" t="inlineStr">
        <is>
          <t>SS-SCR-019-SC1</t>
        </is>
      </c>
      <c r="C113" s="9" t="inlineStr">
        <is>
          <t>SS-SCR-019</t>
        </is>
      </c>
      <c r="D113" s="9" t="inlineStr">
        <is>
          <t>FR-VS-06</t>
        </is>
      </c>
      <c r="E113" s="9" t="inlineStr">
        <is>
          <t>Functional</t>
        </is>
      </c>
      <c r="F113" s="9" t="inlineStr">
        <is>
          <t>CTA phụ "Tìm bằng từ khoá" luôn có đường thoát</t>
        </is>
      </c>
      <c r="G113" s="9" t="inlineStr">
        <is>
          <t>Micro hoạt động, thu âm đã kết thúc (auto-stop hoặc manual stop).</t>
        </is>
      </c>
      <c r="H113" s="9" t="inlineStr">
        <is>
          <t>1. Ở màn "Không nhận diện được" của luồng giọng nói.
2. Chạm CTA phụ "Tìm bằng từ khoá".</t>
        </is>
      </c>
      <c r="I113" s="9" t="inlineStr">
        <is>
          <t>N/A</t>
        </is>
      </c>
      <c r="J113" s="9" t="inlineStr">
        <is>
          <t>Chuyển đúng sang Pre-search Screen (SS-SCR-001); khách không bao giờ bị kẹt ở màn lỗi mà không có lối thoát sang phương thức tìm kiếm khác.</t>
        </is>
      </c>
      <c r="K113" s="9" t="inlineStr">
        <is>
          <t>Medium</t>
        </is>
      </c>
      <c r="L113" s="10" t="n"/>
      <c r="M113" s="10" t="inlineStr">
        <is>
          <t>Not Run</t>
        </is>
      </c>
      <c r="N113" s="10" t="n"/>
      <c r="O113" s="10" t="n"/>
      <c r="P113" s="9" t="n"/>
      <c r="Q113" s="9" t="n"/>
    </row>
    <row r="114">
      <c r="A114" s="9" t="inlineStr">
        <is>
          <t>SS-SCR-019-SC2-TC1</t>
        </is>
      </c>
      <c r="B114" s="9" t="inlineStr">
        <is>
          <t>SS-SCR-019-SC2</t>
        </is>
      </c>
      <c r="C114" s="9" t="inlineStr">
        <is>
          <t>SS-SCR-019</t>
        </is>
      </c>
      <c r="D114" s="9" t="inlineStr">
        <is>
          <t>FR-VS-06</t>
        </is>
      </c>
      <c r="E114" s="9" t="inlineStr">
        <is>
          <t>Boundary</t>
        </is>
      </c>
      <c r="F114" s="9" t="inlineStr">
        <is>
          <t>3 lần thử liên tiếp đều thất bại — không bị khoá tính năng Voice Search</t>
        </is>
      </c>
      <c r="G114" s="9" t="inlineStr">
        <is>
          <t>Lặp lại luồng Voice Search nhiều lần.</t>
        </is>
      </c>
      <c r="H114" s="9" t="inlineStr">
        <is>
          <t>1. Thực hiện Voice Search với tiếng ồn/im lặng, xác nhận màn lỗi hiện ra.
2. Tap "Thử lại", lặp lại 2 lần nữa với cùng điều kiện.</t>
        </is>
      </c>
      <c r="I114" s="9" t="inlineStr">
        <is>
          <t>3 lần liên tiếp thất bại</t>
        </is>
      </c>
      <c r="J114" s="9" t="inlineStr">
        <is>
          <t>Cả 3 lần đều hiển thị đúng màn "Không nhận diện được" với đầy đủ CTA "Thử lại"/"Tìm bằng từ khoá"; tính năng Voice Search vẫn hoạt động bình thường ở lần thử thứ 4 nếu khách tiếp tục.</t>
        </is>
      </c>
      <c r="K114" s="9" t="inlineStr">
        <is>
          <t>Low</t>
        </is>
      </c>
      <c r="L114" s="10" t="n"/>
      <c r="M114" s="10" t="inlineStr">
        <is>
          <t>Not Run</t>
        </is>
      </c>
      <c r="N114" s="10" t="n"/>
      <c r="O114" s="10" t="n"/>
      <c r="P114" s="9" t="n"/>
      <c r="Q114" s="9" t="n"/>
    </row>
  </sheetData>
  <autoFilter ref="A2:Q104"/>
  <mergeCells count="1">
    <mergeCell ref="A1:Q1"/>
  </mergeCells>
  <dataValidations count="1">
    <dataValidation sqref="M3:M104"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N22"/>
  <sheetViews>
    <sheetView showGridLines="0" zoomScaleNormal="100" workbookViewId="0">
      <pane ySplit="2" topLeftCell="A3" activePane="bottomLeft" state="frozen"/>
      <selection pane="bottomLeft" activeCell="A1" sqref="A1:N1"/>
    </sheetView>
  </sheetViews>
  <sheetFormatPr baseColWidth="8" defaultColWidth="8.7109375" defaultRowHeight="15"/>
  <cols>
    <col width="5" customWidth="1" min="1" max="1"/>
    <col width="14" customWidth="1" min="2" max="2"/>
    <col width="30" customWidth="1" min="3" max="3"/>
    <col width="22" customWidth="1" min="4" max="4"/>
    <col width="12" customWidth="1" min="5" max="5"/>
    <col width="40" customWidth="1" min="6" max="6"/>
    <col width="26" customWidth="1" min="7" max="8"/>
    <col width="42" customWidth="1" min="9" max="9"/>
    <col width="10" customWidth="1" min="10" max="12"/>
    <col width="12" customWidth="1" min="13" max="13"/>
    <col width="40" customWidth="1" min="14" max="14"/>
  </cols>
  <sheetData>
    <row r="1" ht="21.75" customHeight="1">
      <c r="A1" s="2" t="inlineStr">
        <is>
          <t>Functional/Integration — Test Scenario Register</t>
        </is>
      </c>
    </row>
    <row r="2" ht="25.5" customHeight="1">
      <c r="A2" s="12" t="inlineStr">
        <is>
          <t>No</t>
        </is>
      </c>
      <c r="B2" s="12" t="inlineStr">
        <is>
          <t>Scenario ID</t>
        </is>
      </c>
      <c r="C2" s="12" t="inlineStr">
        <is>
          <t>Module</t>
        </is>
      </c>
      <c r="D2" s="12" t="inlineStr">
        <is>
          <t>REQ ID</t>
        </is>
      </c>
      <c r="E2" s="12" t="inlineStr">
        <is>
          <t>Scenario Type</t>
        </is>
      </c>
      <c r="F2" s="12" t="inlineStr">
        <is>
          <t>Business Rule / System Flow</t>
        </is>
      </c>
      <c r="G2" s="12" t="inlineStr">
        <is>
          <t>Systems Involved</t>
        </is>
      </c>
      <c r="H2" s="12" t="inlineStr">
        <is>
          <t>Preconditions</t>
        </is>
      </c>
      <c r="I2" s="12" t="inlineStr">
        <is>
          <t>Expected Behavior</t>
        </is>
      </c>
      <c r="J2" s="12" t="inlineStr">
        <is>
          <t>QnA Ref</t>
        </is>
      </c>
      <c r="K2" s="12" t="inlineStr">
        <is>
          <t>Test Result</t>
        </is>
      </c>
      <c r="L2" s="12" t="inlineStr">
        <is>
          <t>Tester</t>
        </is>
      </c>
      <c r="M2" s="12" t="inlineStr">
        <is>
          <t>Test Date</t>
        </is>
      </c>
      <c r="N2" s="12" t="inlineStr">
        <is>
          <t>Comments</t>
        </is>
      </c>
    </row>
    <row r="3" ht="63.75" customHeight="1">
      <c r="A3" s="9" t="n">
        <v>1</v>
      </c>
      <c r="B3" s="9" t="inlineStr">
        <is>
          <t>INT-01-SC1</t>
        </is>
      </c>
      <c r="C3" s="9" t="inlineStr">
        <is>
          <t>Công cụ xếp hạng tìm kiếm (Search Ranking Engine)</t>
        </is>
      </c>
      <c r="D3" s="9" t="inlineStr">
        <is>
          <t>FR-PR-01, FR-PR-02, FR-PR-03, FR-PR-04</t>
        </is>
      </c>
      <c r="E3" s="9" t="inlineStr">
        <is>
          <t>Functional</t>
        </is>
      </c>
      <c r="F3" s="9" t="inlineStr">
        <is>
          <t>Áp dụng đúng thứ tự ưu tiên xếp hạng: Out-of-stock override → Personalization → Business rule → Relevance.</t>
        </is>
      </c>
      <c r="G3" s="9" t="n"/>
      <c r="H3" s="9" t="inlineStr">
        <is>
          <t>Tập kết quả có SKU hết hàng, SKU được boost kinh doanh, và có lịch sử cá nhân hoá của khách.</t>
        </is>
      </c>
      <c r="I3" s="9" t="inlineStr">
        <is>
          <t>SKU hết hàng luôn bị đẩy xuống cuối bất kể điểm liên quan cao thế nào; trong nhóm còn hàng, quy tắc kinh doanh (boost/bury) áp dụng trước, sau đó tới cá nhân hoá, cuối cùng là relevance score thuần.</t>
        </is>
      </c>
      <c r="J3" s="9" t="n"/>
      <c r="K3" s="10" t="n"/>
      <c r="L3" s="10" t="n"/>
      <c r="M3" s="10" t="n"/>
      <c r="N3" s="9" t="n"/>
    </row>
    <row r="4" ht="51" customHeight="1">
      <c r="A4" s="9" t="n">
        <v>2</v>
      </c>
      <c r="B4" s="9" t="inlineStr">
        <is>
          <t>INT-01-SC2</t>
        </is>
      </c>
      <c r="C4" s="9" t="inlineStr">
        <is>
          <t>Công cụ xếp hạng tìm kiếm (Search Ranking Engine)</t>
        </is>
      </c>
      <c r="D4" s="9" t="inlineStr">
        <is>
          <t>FR-PR-01, FR-PR-02, FR-PR-03, FR-PR-04</t>
        </is>
      </c>
      <c r="E4" s="9" t="inlineStr">
        <is>
          <t>Boundary</t>
        </is>
      </c>
      <c r="F4" s="9" t="inlineStr">
        <is>
          <t>Kiểm tra hành vi khi 2 SKU có điểm relevance bằng nhau tuyệt đối (tie-break).</t>
        </is>
      </c>
      <c r="G4" s="9" t="n"/>
      <c r="H4" s="9" t="inlineStr">
        <is>
          <t>2 SKU cùng relevance score, cùng stock&gt;0, không SKU nào được boost/cá nhân hoá.</t>
        </is>
      </c>
      <c r="I4" s="9" t="inlineStr">
        <is>
          <t>Hệ thống áp dụng quy tắc tie-break nhất quán (VD: theo Product_ID, theo thời gian cập nhật, hoặc theo doanh số) — cần xác nhận quy tắc cụ thể.</t>
        </is>
      </c>
      <c r="J4" s="9" t="n"/>
      <c r="K4" s="10" t="n"/>
      <c r="L4" s="10" t="n"/>
      <c r="M4" s="10" t="n"/>
      <c r="N4" s="9" t="n"/>
    </row>
    <row r="5" ht="38.25" customHeight="1">
      <c r="A5" s="9" t="n">
        <v>3</v>
      </c>
      <c r="B5" s="9" t="inlineStr">
        <is>
          <t>INT-02-SC1</t>
        </is>
      </c>
      <c r="C5" s="9" t="inlineStr">
        <is>
          <t>Hiểu truy vấn — Đồng nghĩa &amp; Đa ngôn ngữ (Query Understanding)</t>
        </is>
      </c>
      <c r="D5" s="9" t="inlineStr">
        <is>
          <t>FR-SM-01, FR-SM-02, FR-SM-03, FR-SM-04, FR-SM-06</t>
        </is>
      </c>
      <c r="E5" s="9" t="inlineStr">
        <is>
          <t>Functional</t>
        </is>
      </c>
      <c r="F5" s="9" t="inlineStr">
        <is>
          <t>Mở rộng truy vấn qua từ đồng nghĩa (synonym expansion) ở tầng backend.</t>
        </is>
      </c>
      <c r="G5" s="9" t="n"/>
      <c r="H5" s="9" t="inlineStr">
        <is>
          <t>Từ điển đồng nghĩa đã cấu hình "yogurt" = "sữa chua".</t>
        </is>
      </c>
      <c r="I5" s="9" t="inlineStr">
        <is>
          <t>Truy vấn "yogurt" trả về đúng tập kết quả sản phẩm sữa chua trong catalogue tiếng Việt, không cần khách gõ đúng "sữa chua".</t>
        </is>
      </c>
      <c r="J5" s="9" t="n"/>
      <c r="K5" s="10" t="n"/>
      <c r="L5" s="10" t="n"/>
      <c r="M5" s="10" t="n"/>
      <c r="N5" s="9" t="n"/>
    </row>
    <row r="6" ht="38.25" customHeight="1">
      <c r="A6" s="9" t="n">
        <v>4</v>
      </c>
      <c r="B6" s="9" t="inlineStr">
        <is>
          <t>INT-02-SC2</t>
        </is>
      </c>
      <c r="C6" s="9" t="inlineStr">
        <is>
          <t>Hiểu truy vấn — Đồng nghĩa &amp; Đa ngôn ngữ (Query Understanding)</t>
        </is>
      </c>
      <c r="D6" s="9" t="inlineStr">
        <is>
          <t>FR-SM-01, FR-SM-02, FR-SM-03, FR-SM-04, FR-SM-06</t>
        </is>
      </c>
      <c r="E6" s="9" t="inlineStr">
        <is>
          <t>Functional</t>
        </is>
      </c>
      <c r="F6" s="9" t="inlineStr">
        <is>
          <t>Chuẩn hoá dấu tiếng Việt (diacritic normalization) ở tầng index/backend.</t>
        </is>
      </c>
      <c r="G6" s="9" t="n"/>
      <c r="H6" s="9" t="inlineStr">
        <is>
          <t>Index đã bật chuẩn hoá bỏ dấu.</t>
        </is>
      </c>
      <c r="I6" s="9" t="inlineStr">
        <is>
          <t>Truy vấn không dấu ("sua tuoi") trả về cùng tập kết quả với truy vấn có dấu ("sữa tươi").</t>
        </is>
      </c>
      <c r="J6" s="9" t="n"/>
      <c r="K6" s="10" t="n"/>
      <c r="L6" s="10" t="n"/>
      <c r="M6" s="10" t="n"/>
      <c r="N6" s="9" t="n"/>
    </row>
    <row r="7" ht="38.25" customHeight="1">
      <c r="A7" s="9" t="n">
        <v>5</v>
      </c>
      <c r="B7" s="9" t="inlineStr">
        <is>
          <t>INT-03-SC1</t>
        </is>
      </c>
      <c r="C7" s="9" t="inlineStr">
        <is>
          <t>Autocomplete &amp; Sửa lỗi chính tả — Backend</t>
        </is>
      </c>
      <c r="D7" s="9" t="inlineStr">
        <is>
          <t>FR-SP-01, FR-AC-01, FR-AC-03</t>
        </is>
      </c>
      <c r="E7" s="9" t="inlineStr">
        <is>
          <t>Performance</t>
        </is>
      </c>
      <c r="F7" s="9" t="inlineStr">
        <is>
          <t>Đo độ trễ API gợi ý autocomplete ở tầng backend (loại trừ thời gian debounce UI).</t>
        </is>
      </c>
      <c r="G7" s="9" t="n"/>
      <c r="H7" s="9" t="inlineStr">
        <is>
          <t>Endpoint autocomplete hoạt động bình thường, tải thông thường.</t>
        </is>
      </c>
      <c r="I7" s="9" t="inlineStr">
        <is>
          <t>P95 thời gian phản hồi API &lt; 300ms theo NFR-002 (đo tại tầng server, không tính thời gian debounce phía client).</t>
        </is>
      </c>
      <c r="J7" s="9" t="n"/>
      <c r="K7" s="10" t="n"/>
      <c r="L7" s="10" t="n"/>
      <c r="M7" s="10" t="n"/>
      <c r="N7" s="9" t="n"/>
    </row>
    <row r="8" ht="63.75" customHeight="1">
      <c r="A8" s="11" t="n">
        <v>6</v>
      </c>
      <c r="B8" s="11" t="inlineStr">
        <is>
          <t>INT-03-SC2</t>
        </is>
      </c>
      <c r="C8" s="11" t="inlineStr">
        <is>
          <t>Autocomplete &amp; Sửa lỗi chính tả — Backend</t>
        </is>
      </c>
      <c r="D8" s="11" t="inlineStr">
        <is>
          <t>FR-SP-01, FR-AC-01, FR-AC-03</t>
        </is>
      </c>
      <c r="E8" s="11" t="inlineStr">
        <is>
          <t>Behavior</t>
        </is>
      </c>
      <c r="F8" s="11" t="inlineStr">
        <is>
          <t>Kiểm tra cơ chế phát hiện lỗi chính tả (fuzzy-match) trả về đúng khoảng cách Levenshtein/phonetic cho phép.</t>
        </is>
      </c>
      <c r="G8" s="11" t="n"/>
      <c r="H8" s="11" t="inlineStr">
        <is>
          <t>Từ điển catalogue đã index đầy đủ.</t>
        </is>
      </c>
      <c r="I8" s="11" t="inlineStr">
        <is>
          <t>Truy vấn lệch tối đa N ký tự (ngưỡng cụ thể — TBD, xem QnA-04) so với 1 từ hợp lệ trong catalogue sẽ kích hoạt banner sửa lỗi; lệch quá ngưỡng thì không kích hoạt (coi như truy vấn không liên quan).</t>
        </is>
      </c>
      <c r="J8" s="11" t="inlineStr">
        <is>
          <t>QnA-04</t>
        </is>
      </c>
      <c r="K8" s="10" t="n"/>
      <c r="L8" s="10" t="n"/>
      <c r="M8" s="10" t="n"/>
      <c r="N8" s="11" t="inlineStr">
        <is>
          <t>OPEN — QnA-04</t>
        </is>
      </c>
    </row>
    <row r="9" ht="51" customHeight="1">
      <c r="A9" s="9" t="n">
        <v>7</v>
      </c>
      <c r="B9" s="9" t="inlineStr">
        <is>
          <t>INT-04-SC1</t>
        </is>
      </c>
      <c r="C9" s="9" t="inlineStr">
        <is>
          <t>Cá nhân hoá — Tích hợp OMS (Order History)</t>
        </is>
      </c>
      <c r="D9" s="9" t="inlineStr">
        <is>
          <t>FR-PS-03</t>
        </is>
      </c>
      <c r="E9" s="9" t="inlineStr">
        <is>
          <t>Integration</t>
        </is>
      </c>
      <c r="F9" s="9" t="inlineStr">
        <is>
          <t>Đồng bộ dữ liệu Order History từ OMS để tính khối "Thường mua".</t>
        </is>
      </c>
      <c r="G9" s="9" t="n"/>
      <c r="H9" s="9" t="inlineStr">
        <is>
          <t>OMS có API trả lịch sử đơn hàng COMPLETED trong 90 ngày gần nhất.</t>
        </is>
      </c>
      <c r="I9" s="9" t="inlineStr">
        <is>
          <t>Search Service gọi đúng API OMS, lọc đúng trạng thái COMPLETED, đúng khung thời gian 90 ngày, tính đúng Order Count (không phải Item Quantity) cho từng SKU.</t>
        </is>
      </c>
      <c r="J9" s="9" t="n"/>
      <c r="K9" s="10" t="n"/>
      <c r="L9" s="10" t="n"/>
      <c r="M9" s="10" t="n"/>
      <c r="N9" s="9" t="n"/>
    </row>
    <row r="10" ht="63.75" customHeight="1">
      <c r="A10" s="11" t="n">
        <v>8</v>
      </c>
      <c r="B10" s="11" t="inlineStr">
        <is>
          <t>INT-05-SC1</t>
        </is>
      </c>
      <c r="C10" s="11" t="inlineStr">
        <is>
          <t>Sponsored Ads — Tích hợp Retail Media</t>
        </is>
      </c>
      <c r="D10" s="11" t="inlineStr">
        <is>
          <t>FR-PR-05</t>
        </is>
      </c>
      <c r="E10" s="11" t="inlineStr">
        <is>
          <t>Integration</t>
        </is>
      </c>
      <c r="F10" s="11" t="inlineStr">
        <is>
          <t>Search Service gọi Retail Media Platform để lấy danh sách quảng cáo phù hợp truy vấn.</t>
        </is>
      </c>
      <c r="G10" s="11" t="n"/>
      <c r="H10" s="11" t="inlineStr">
        <is>
          <t>Retail Media Platform có ≥1 chiến dịch active cho từ khoá test.</t>
        </is>
      </c>
      <c r="I10" s="11" t="inlineStr">
        <is>
          <t>Search Service gửi đúng request (query, user segment nếu có) tới Retail Media, nhận về danh sách SKU tài trợ kèm vị trí/slot, chèn đúng vào response cuối cùng kèm cờ is_sponsored=true.</t>
        </is>
      </c>
      <c r="J10" s="11" t="inlineStr">
        <is>
          <t>QnA-07</t>
        </is>
      </c>
      <c r="K10" s="10" t="n"/>
      <c r="L10" s="10" t="n"/>
      <c r="M10" s="10" t="n"/>
      <c r="N10" s="11" t="inlineStr">
        <is>
          <t>OPEN — QnA-07</t>
        </is>
      </c>
    </row>
    <row r="11" ht="63.75" customHeight="1">
      <c r="A11" s="11" t="n">
        <v>9</v>
      </c>
      <c r="B11" s="11" t="inlineStr">
        <is>
          <t>INT-06-SC1</t>
        </is>
      </c>
      <c r="C11" s="11" t="inlineStr">
        <is>
          <t>Tìm bằng ảnh — Tích hợp Computer Vision Service</t>
        </is>
      </c>
      <c r="D11" s="11" t="inlineStr">
        <is>
          <t>FR-IS-01, FR-IS-03, FR-IS-05, FR-IS-07</t>
        </is>
      </c>
      <c r="E11" s="11" t="inlineStr">
        <is>
          <t>Integration</t>
        </is>
      </c>
      <c r="F11" s="11" t="inlineStr">
        <is>
          <t>Search Service gửi ảnh tới Computer Vision (CV) Service và ánh xạ kết quả nhận diện sang Product_ID trong catalogue.</t>
        </is>
      </c>
      <c r="G11" s="11" t="n"/>
      <c r="H11" s="11" t="inlineStr">
        <is>
          <t>CV Service hoạt động bình thường, đã train trên catalogue LOTTE Mart.</t>
        </is>
      </c>
      <c r="I11" s="11" t="inlineStr">
        <is>
          <t>CV Service trả về danh sách nhãn/embedding kèm điểm tin cậy; Search Service ánh xạ đúng sang Product_ID thực tế trong catalogue, không trả nhãn không tồn tại trong hệ thống bán hàng.</t>
        </is>
      </c>
      <c r="J11" s="11" t="inlineStr">
        <is>
          <t>QnA-04</t>
        </is>
      </c>
      <c r="K11" s="10" t="n"/>
      <c r="L11" s="10" t="n"/>
      <c r="M11" s="10" t="n"/>
      <c r="N11" s="11" t="inlineStr">
        <is>
          <t>OPEN — QnA-04</t>
        </is>
      </c>
    </row>
    <row r="12" ht="63.75" customHeight="1">
      <c r="A12" s="11" t="n">
        <v>10</v>
      </c>
      <c r="B12" s="11" t="inlineStr">
        <is>
          <t>INT-07-SC1</t>
        </is>
      </c>
      <c r="C12" s="11" t="inlineStr">
        <is>
          <t>Tìm bằng giọng nói — Tích hợp Speech-to-Text Service</t>
        </is>
      </c>
      <c r="D12" s="11" t="inlineStr">
        <is>
          <t>FR-VS-01, FR-VS-04, FR-VS-06</t>
        </is>
      </c>
      <c r="E12" s="11" t="inlineStr">
        <is>
          <t>Integration</t>
        </is>
      </c>
      <c r="F12" s="11" t="inlineStr">
        <is>
          <t>Search Service gửi audio stream tới Speech-to-Text (STT) Service và nhận transcript để chạy tìm kiếm.</t>
        </is>
      </c>
      <c r="G12" s="11" t="n"/>
      <c r="H12" s="11" t="inlineStr">
        <is>
          <t>STT Service hỗ trợ tiếng Việt, đang hoạt động bình thường.</t>
        </is>
      </c>
      <c r="I12" s="11" t="inlineStr">
        <is>
          <t>STT Service trả transcript kèm điểm tin cậy (confidence score); Search Service dùng transcript này chạy qua đúng pipeline Query Understanding (đồng nghĩa, chuẩn hoá dấu) giống hệt luồng Text Search.</t>
        </is>
      </c>
      <c r="J12" s="11" t="inlineStr">
        <is>
          <t>QnA-22</t>
        </is>
      </c>
      <c r="K12" s="10" t="n"/>
      <c r="L12" s="10" t="n"/>
      <c r="M12" s="10" t="n"/>
      <c r="N12" s="11" t="inlineStr">
        <is>
          <t>OPEN — QnA-22</t>
        </is>
      </c>
    </row>
    <row r="13" ht="63.75" customHeight="1">
      <c r="A13" s="9" t="n">
        <v>11</v>
      </c>
      <c r="B13" s="9" t="inlineStr">
        <is>
          <t>INT-08-SC1</t>
        </is>
      </c>
      <c r="C13" s="9" t="inlineStr">
        <is>
          <t>Thêm giỏ hàng — Tích hợp Cart/OMS Transactional</t>
        </is>
      </c>
      <c r="D13" s="9" t="inlineStr">
        <is>
          <t>Không có FR ID rõ ràng — xem QnA-10</t>
        </is>
      </c>
      <c r="E13" s="9" t="inlineStr">
        <is>
          <t>Integration</t>
        </is>
      </c>
      <c r="F13" s="9" t="inlineStr">
        <is>
          <t>Gọi API thêm giỏ hàng và đảm bảo tính toàn vẹn giao dịch (transactional integrity) khi có nhiều request đồng thời.</t>
        </is>
      </c>
      <c r="G13" s="9" t="n"/>
      <c r="H13" s="9" t="inlineStr">
        <is>
          <t>1 SKU có tồn kho giới hạn (VD: 5 sản phẩm).</t>
        </is>
      </c>
      <c r="I13" s="9" t="inlineStr">
        <is>
          <t>Khi có nhiều request thêm giỏ đồng thời từ nhiều phiên khác nhau cho cùng 1 SKU giới hạn tồn kho, hệ thống không cho tổng số lượng thêm giỏ vượt quá tồn kho thực tế (race condition an toàn).</t>
        </is>
      </c>
      <c r="J13" s="9" t="n"/>
      <c r="K13" s="10" t="n"/>
      <c r="L13" s="10" t="n"/>
      <c r="M13" s="10" t="n"/>
      <c r="N13" s="9" t="n"/>
    </row>
    <row r="14" ht="51" customHeight="1">
      <c r="A14" s="11" t="n">
        <v>12</v>
      </c>
      <c r="B14" s="11" t="inlineStr">
        <is>
          <t>INT-09-SC1</t>
        </is>
      </c>
      <c r="C14" s="11" t="inlineStr">
        <is>
          <t>Catalog &amp; Inventory — Đồng bộ tồn kho thời gian thực</t>
        </is>
      </c>
      <c r="D14" s="11" t="inlineStr">
        <is>
          <t>Liên quan FR-PR-01 (Out-of-stock override)</t>
        </is>
      </c>
      <c r="E14" s="11" t="inlineStr">
        <is>
          <t>Integration</t>
        </is>
      </c>
      <c r="F14" s="11" t="inlineStr">
        <is>
          <t>Search Index cập nhật trạng thái tồn kho gần thời gian thực khi Inventory Service thay đổi.</t>
        </is>
      </c>
      <c r="G14" s="11" t="n"/>
      <c r="H14" s="11" t="inlineStr">
        <is>
          <t>1 SKU đang còn hàng (stock=10) trong Search Index.</t>
        </is>
      </c>
      <c r="I14" s="11" t="inlineStr">
        <is>
          <t>Khi Inventory Service cập nhật SKU về stock=0, Search Index phải phản ánh thay đổi trong khoảng thời gian chấp nhận được (SLA đồng bộ — TBD) để tránh bán SKU đã hết hàng.</t>
        </is>
      </c>
      <c r="J14" s="11" t="inlineStr">
        <is>
          <t>QnA-04</t>
        </is>
      </c>
      <c r="K14" s="10" t="n"/>
      <c r="L14" s="10" t="n"/>
      <c r="M14" s="10" t="n"/>
      <c r="N14" s="11" t="inlineStr">
        <is>
          <t>OPEN — QnA-04</t>
        </is>
      </c>
    </row>
    <row r="15" ht="51" customHeight="1">
      <c r="A15" s="9" t="n">
        <v>13</v>
      </c>
      <c r="B15" s="9" t="inlineStr">
        <is>
          <t>INT-10-SC1</t>
        </is>
      </c>
      <c r="C15" s="9" t="inlineStr">
        <is>
          <t>Zero-Result Fallback Engine — Thuật toán gợi ý thay thế</t>
        </is>
      </c>
      <c r="D15" s="9" t="inlineStr">
        <is>
          <t>FR-ZR-01, FR-ZR-02, FR-SM-07</t>
        </is>
      </c>
      <c r="E15" s="9" t="inlineStr">
        <is>
          <t>Functional</t>
        </is>
      </c>
      <c r="F15" s="9" t="inlineStr">
        <is>
          <t>Kiểm tra thuật toán chọn Substitute (sản phẩm thay thế) dựa trên vector similarity/category.</t>
        </is>
      </c>
      <c r="G15" s="9" t="n"/>
      <c r="H15" s="9" t="inlineStr">
        <is>
          <t>SKU gốc hết hàng, có ≥3 SKU cùng category với vector embedding gần.</t>
        </is>
      </c>
      <c r="I15" s="9" t="inlineStr">
        <is>
          <t>Substitute engine trả về các SKU có similarity score cao nhất, cùng category hoặc category liên quan, còn hàng, sắp theo similarity giảm dần.</t>
        </is>
      </c>
      <c r="J15" s="9" t="n"/>
      <c r="K15" s="10" t="n"/>
      <c r="L15" s="10" t="n"/>
      <c r="M15" s="10" t="n"/>
      <c r="N15" s="9" t="n"/>
    </row>
    <row r="16" ht="51" customHeight="1">
      <c r="A16" s="9" t="n">
        <v>14</v>
      </c>
      <c r="B16" s="9" t="inlineStr">
        <is>
          <t>INT-10-SC2</t>
        </is>
      </c>
      <c r="C16" s="9" t="inlineStr">
        <is>
          <t>Zero-Result Fallback Engine — Thuật toán gợi ý thay thế</t>
        </is>
      </c>
      <c r="D16" s="9" t="inlineStr">
        <is>
          <t>FR-ZR-01, FR-ZR-02, FR-SM-07</t>
        </is>
      </c>
      <c r="E16" s="9" t="inlineStr">
        <is>
          <t>Functional</t>
        </is>
      </c>
      <c r="F16" s="9" t="inlineStr">
        <is>
          <t>Kiểm tra thuật toán Cross-sell dựa trên Basket Analysis (Association Rule Mining).</t>
        </is>
      </c>
      <c r="G16" s="9" t="n"/>
      <c r="H16" s="9" t="inlineStr">
        <is>
          <t>Có dữ liệu lịch sử đơn hàng đủ lớn để tính association rule (VD: Bia + Đậu phộng thường mua cùng nhau).</t>
        </is>
      </c>
      <c r="I16" s="9" t="inlineStr">
        <is>
          <t>Cross-sell engine trả về sản phẩm có association rule mạnh nhất (lift/confidence cao) với SKU gốc, còn hàng.</t>
        </is>
      </c>
      <c r="J16" s="9" t="n"/>
      <c r="K16" s="10" t="n"/>
      <c r="L16" s="10" t="n"/>
      <c r="M16" s="10" t="n"/>
      <c r="N16" s="9" t="n"/>
    </row>
    <row r="17" ht="51" customHeight="1">
      <c r="A17" s="9" t="n">
        <v>15</v>
      </c>
      <c r="B17" s="9" t="inlineStr">
        <is>
          <t>INT-10-SC3</t>
        </is>
      </c>
      <c r="C17" s="9" t="inlineStr">
        <is>
          <t>Zero-Result Fallback Engine — Thuật toán gợi ý thay thế</t>
        </is>
      </c>
      <c r="D17" s="9" t="inlineStr">
        <is>
          <t>FR-ZR-01, FR-ZR-02, FR-SM-07</t>
        </is>
      </c>
      <c r="E17" s="9" t="inlineStr">
        <is>
          <t>Boundary</t>
        </is>
      </c>
      <c r="F17" s="9" t="inlineStr">
        <is>
          <t>Fallback 3 tầng khi không có Substitute lẫn Cross-sell hợp lệ.</t>
        </is>
      </c>
      <c r="G17" s="9" t="n"/>
      <c r="H17" s="9" t="inlineStr">
        <is>
          <t>Từ khoá hoàn toàn ngoài domain catalogue (không có SKU tương đồng, không có association rule nào).</t>
        </is>
      </c>
      <c r="I17" s="9" t="inlineStr">
        <is>
          <t>Hệ thống rơi xuống tầng fallback cuối cùng: Best-seller toàn hệ thống, tối thiểu 10 SKU, không bao giờ trả về mảng rỗng.</t>
        </is>
      </c>
      <c r="J17" s="9" t="n"/>
      <c r="K17" s="10" t="n"/>
      <c r="L17" s="10" t="n"/>
      <c r="M17" s="10" t="n"/>
      <c r="N17" s="9" t="n"/>
    </row>
    <row r="18" ht="51" customHeight="1">
      <c r="A18" s="11" t="n">
        <v>16</v>
      </c>
      <c r="B18" s="11" t="inlineStr">
        <is>
          <t>INT-11-SC1</t>
        </is>
      </c>
      <c r="C18" s="11" t="inlineStr">
        <is>
          <t>Auth &amp; Session — Guest vs Member</t>
        </is>
      </c>
      <c r="D18" s="11" t="inlineStr">
        <is>
          <t>Liên quan FR-PS-03, FR-PS-01</t>
        </is>
      </c>
      <c r="E18" s="11" t="inlineStr">
        <is>
          <t>Behavior</t>
        </is>
      </c>
      <c r="F18" s="11" t="inlineStr">
        <is>
          <t>Xử lý token hết hạn (session expiry) ngay giữa lúc gọi API tìm kiếm/cá nhân hoá.</t>
        </is>
      </c>
      <c r="G18" s="11" t="n"/>
      <c r="H18" s="11" t="inlineStr">
        <is>
          <t>Token JWT của khách sắp hết hạn (còn &lt;5 giây).</t>
        </is>
      </c>
      <c r="I18" s="11" t="inlineStr">
        <is>
          <t>Chưa có tài liệu quy định hành vi UI/API cụ thể — hệ thống nên trả về mã lỗi 401 rõ ràng để client xử lý (refresh token hoặc chuyển về trạng thái Guest) thay vì lỗi 500 hoặc dữ liệu sai.</t>
        </is>
      </c>
      <c r="J18" s="11" t="inlineStr">
        <is>
          <t>QnA-20</t>
        </is>
      </c>
      <c r="K18" s="10" t="n"/>
      <c r="L18" s="10" t="n"/>
      <c r="M18" s="10" t="n"/>
      <c r="N18" s="11" t="inlineStr">
        <is>
          <t>OPEN — QnA-20</t>
        </is>
      </c>
    </row>
    <row r="19" ht="63.75" customHeight="1">
      <c r="A19" s="9" t="n">
        <v>17</v>
      </c>
      <c r="B19" s="9" t="inlineStr">
        <is>
          <t>INT-11-SC2</t>
        </is>
      </c>
      <c r="C19" s="9" t="inlineStr">
        <is>
          <t>Auth &amp; Session — Guest vs Member</t>
        </is>
      </c>
      <c r="D19" s="9" t="inlineStr">
        <is>
          <t>Liên quan FR-PS-03, FR-PS-01</t>
        </is>
      </c>
      <c r="E19" s="9" t="inlineStr">
        <is>
          <t>Functional</t>
        </is>
      </c>
      <c r="F19" s="9" t="inlineStr">
        <is>
          <t>Khách Guest chuyển sang đăng nhập giữa phiên tìm kiếm — dữ liệu cá nhân hoá phải cập nhật đúng.</t>
        </is>
      </c>
      <c r="G19" s="9" t="n"/>
      <c r="H19" s="9" t="inlineStr">
        <is>
          <t>Khách đang ở chế độ Guest, sau đó đăng nhập thành công.</t>
        </is>
      </c>
      <c r="I19" s="9" t="inlineStr">
        <is>
          <t>Sau khi đăng nhập, khối "Thường mua" phải chuyển từ trạng thái Guest (ẩn/fallback) sang đúng dữ liệu cá nhân hoá của tài khoản vừa đăng nhập, không cần khách phải tải lại trang thủ công.</t>
        </is>
      </c>
      <c r="J19" s="9" t="n"/>
      <c r="K19" s="10" t="n"/>
      <c r="L19" s="10" t="n"/>
      <c r="M19" s="10" t="n"/>
      <c r="N19" s="9" t="n"/>
    </row>
    <row r="20" ht="51" customHeight="1">
      <c r="A20" s="9" t="n">
        <v>18</v>
      </c>
      <c r="B20" s="9" t="inlineStr">
        <is>
          <t>INT-12-SC1</t>
        </is>
      </c>
      <c r="C20" s="9" t="inlineStr">
        <is>
          <t>Analytics &amp; Event Logging</t>
        </is>
      </c>
      <c r="D20" s="9" t="inlineStr">
        <is>
          <t>Liên quan FR-PS-02 (Trending), NFR tracking</t>
        </is>
      </c>
      <c r="E20" s="9" t="inlineStr">
        <is>
          <t>Integration</t>
        </is>
      </c>
      <c r="F20" s="9" t="inlineStr">
        <is>
          <t>Ghi nhận sự kiện tìm kiếm (search event) vào hệ thống Analytics để phục vụ tính Trending Score.</t>
        </is>
      </c>
      <c r="G20" s="9" t="n"/>
      <c r="H20" s="9" t="inlineStr">
        <is>
          <t>Analytics pipeline hoạt động bình thường.</t>
        </is>
      </c>
      <c r="I20" s="9" t="inlineStr">
        <is>
          <t>Mỗi lượt tìm kiếm thành công (có kết quả &gt;0) phải được ghi nhận đúng vào event log với đầy đủ trường: query text, timestamp, user segment (Guest/Member), số kết quả trả về.</t>
        </is>
      </c>
      <c r="J20" s="9" t="n"/>
      <c r="K20" s="10" t="n"/>
      <c r="L20" s="10" t="n"/>
      <c r="M20" s="10" t="n"/>
      <c r="N20" s="9" t="n"/>
    </row>
    <row r="21" ht="63.75" customHeight="1">
      <c r="A21" s="9" t="n">
        <v>19</v>
      </c>
      <c r="B21" s="9" t="inlineStr">
        <is>
          <t>INT-13-SC1</t>
        </is>
      </c>
      <c r="C21" s="9" t="inlineStr">
        <is>
          <t>Hiệu năng &amp; Khả năng chịu tải (Performance/NFR)</t>
        </is>
      </c>
      <c r="D21" s="9" t="inlineStr">
        <is>
          <t>NFR-001 đến NFR-005 (Search/Autocomplete/Image response time)</t>
        </is>
      </c>
      <c r="E21" s="9" t="inlineStr">
        <is>
          <t>Performance</t>
        </is>
      </c>
      <c r="F21" s="9" t="inlineStr">
        <is>
          <t>Kiểm tra khả năng chịu tải khi có lượng truy vấn tăng đột biến (load spike) — VD giờ cao điểm khuyến mãi.</t>
        </is>
      </c>
      <c r="G21" s="9" t="n"/>
      <c r="H21" s="9" t="inlineStr">
        <is>
          <t>Môi trường load-test đã cấu hình mô phỏng traffic thực tế.</t>
        </is>
      </c>
      <c r="I21" s="9" t="inlineStr">
        <is>
          <t>Ở mức tải đỉnh (peak load, VD gấp 5 lần tải trung bình), P95 thời gian phản hồi tìm kiếm vẫn trong ngưỡng chấp nhận được (≤1.000ms theo ghi chú BRD cho "ngày cao điểm"), tỷ lệ lỗi (error rate) không vượt quá ngưỡng SLA.</t>
        </is>
      </c>
      <c r="J21" s="9" t="n"/>
      <c r="K21" s="10" t="n"/>
      <c r="L21" s="10" t="n"/>
      <c r="M21" s="10" t="n"/>
      <c r="N21" s="9" t="n"/>
    </row>
    <row r="22" ht="38.25" customHeight="1">
      <c r="A22" s="9" t="n">
        <v>20</v>
      </c>
      <c r="B22" s="9" t="inlineStr">
        <is>
          <t>INT-14-SC1</t>
        </is>
      </c>
      <c r="C22" s="9" t="inlineStr">
        <is>
          <t>Bảo mật &amp; Quyền riêng tư dữ liệu (Security/PDPL)</t>
        </is>
      </c>
      <c r="D22" s="9" t="inlineStr">
        <is>
          <t>RSK-05, DEP-08 (PDPL dependency)</t>
        </is>
      </c>
      <c r="E22" s="9" t="inlineStr">
        <is>
          <t>Security</t>
        </is>
      </c>
      <c r="F22" s="9" t="inlineStr">
        <is>
          <t>Kiểm tra dữ liệu cá nhân hoá (Order History) không bị rò rỉ chéo giữa các tài khoản khách hàng.</t>
        </is>
      </c>
      <c r="G22" s="9" t="n"/>
      <c r="H22" s="9" t="inlineStr">
        <is>
          <t>2 tài khoản test khác nhau, mỗi tài khoản có lịch sử mua hàng riêng biệt.</t>
        </is>
      </c>
      <c r="I22" s="9" t="inlineStr">
        <is>
          <t>Gọi API "Thường mua" với token của tài khoản A tuyệt đối không trả về dữ liệu của tài khoản B, ngay cả khi 2 request gửi gần như đồng thời.</t>
        </is>
      </c>
      <c r="J22" s="9" t="n"/>
      <c r="K22" s="10" t="n"/>
      <c r="L22" s="10" t="n"/>
      <c r="M22" s="10" t="n"/>
      <c r="N22" s="9" t="n"/>
    </row>
  </sheetData>
  <mergeCells count="1">
    <mergeCell ref="A1:N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Q31"/>
  <sheetViews>
    <sheetView showGridLines="0" zoomScaleNormal="100" workbookViewId="0">
      <pane ySplit="2" topLeftCell="A3" activePane="bottomLeft" state="frozen"/>
      <selection pane="bottomLeft" activeCell="C9" sqref="C9"/>
    </sheetView>
  </sheetViews>
  <sheetFormatPr baseColWidth="8" defaultColWidth="8.7109375" defaultRowHeight="15"/>
  <cols>
    <col width="16" customWidth="1" min="1" max="2"/>
    <col width="26" customWidth="1" min="3" max="3"/>
    <col width="20" customWidth="1" min="4" max="4"/>
    <col width="12" customWidth="1" min="5" max="5"/>
    <col width="34" customWidth="1" min="6" max="6"/>
    <col width="24" customWidth="1" min="7" max="7"/>
    <col width="44" customWidth="1" min="8" max="8"/>
    <col width="26" customWidth="1" min="9" max="9"/>
    <col width="42" customWidth="1" min="10" max="10"/>
    <col width="10" customWidth="1" min="11" max="11"/>
    <col width="14" customWidth="1" min="12" max="13"/>
    <col width="10" customWidth="1" min="14" max="14"/>
    <col width="12" customWidth="1" min="15" max="15"/>
    <col width="10" customWidth="1" min="16" max="16"/>
    <col width="40" customWidth="1" min="17" max="17"/>
  </cols>
  <sheetData>
    <row r="1" ht="21.75" customHeight="1">
      <c r="A1" s="2" t="inlineStr">
        <is>
          <t>Functional/Integration — Detailed Test Cases</t>
        </is>
      </c>
    </row>
    <row r="2" ht="25.5" customHeight="1">
      <c r="A2" s="12" t="inlineStr">
        <is>
          <t>Test Case ID</t>
        </is>
      </c>
      <c r="B2" s="12" t="inlineStr">
        <is>
          <t>Parent Scenario ID</t>
        </is>
      </c>
      <c r="C2" s="12" t="inlineStr">
        <is>
          <t>Module</t>
        </is>
      </c>
      <c r="D2" s="12" t="inlineStr">
        <is>
          <t>REQ ID</t>
        </is>
      </c>
      <c r="E2" s="12" t="inlineStr">
        <is>
          <t>Test Case Type</t>
        </is>
      </c>
      <c r="F2" s="12" t="inlineStr">
        <is>
          <t>Test Case Title</t>
        </is>
      </c>
      <c r="G2" s="12" t="inlineStr">
        <is>
          <t>Preconditions</t>
        </is>
      </c>
      <c r="H2" s="12" t="inlineStr">
        <is>
          <t>Test Steps</t>
        </is>
      </c>
      <c r="I2" s="12" t="inlineStr">
        <is>
          <t>Test Data</t>
        </is>
      </c>
      <c r="J2" s="12" t="inlineStr">
        <is>
          <t>Expected Result</t>
        </is>
      </c>
      <c r="K2" s="12" t="inlineStr">
        <is>
          <t>Priority</t>
        </is>
      </c>
      <c r="L2" s="12" t="inlineStr">
        <is>
          <t>Actual Result</t>
        </is>
      </c>
      <c r="M2" s="12" t="inlineStr">
        <is>
          <t>Pass/Fail Status</t>
        </is>
      </c>
      <c r="N2" s="12" t="inlineStr">
        <is>
          <t>Tester</t>
        </is>
      </c>
      <c r="O2" s="12" t="inlineStr">
        <is>
          <t>Test Date</t>
        </is>
      </c>
      <c r="P2" s="12" t="inlineStr">
        <is>
          <t>QnA Ref</t>
        </is>
      </c>
      <c r="Q2" s="12" t="inlineStr">
        <is>
          <t>Comments</t>
        </is>
      </c>
    </row>
    <row r="3" ht="51" customHeight="1">
      <c r="A3" s="9" t="inlineStr">
        <is>
          <t>INT-01-SC1-TC1</t>
        </is>
      </c>
      <c r="B3" s="9" t="inlineStr">
        <is>
          <t>INT-01-SC1</t>
        </is>
      </c>
      <c r="C3" s="9" t="inlineStr">
        <is>
          <t>Công cụ xếp hạng tìm kiếm (Search Ranking Engine)</t>
        </is>
      </c>
      <c r="D3" s="9" t="inlineStr">
        <is>
          <t>FR-PR-01, FR-PR-02, FR-PR-03, FR-PR-04</t>
        </is>
      </c>
      <c r="E3" s="9" t="inlineStr">
        <is>
          <t>Functional</t>
        </is>
      </c>
      <c r="F3" s="9" t="inlineStr">
        <is>
          <t>Out-of-stock override luôn thắng các tầng ưu tiên khác</t>
        </is>
      </c>
      <c r="G3" s="9" t="inlineStr">
        <is>
          <t>Tập kết quả có SKU hết hàng, SKU được boost kinh doanh, và có lịch sử cá nhân hoá của khách.</t>
        </is>
      </c>
      <c r="H3" s="9" t="inlineStr">
        <is>
          <t>1. Chuẩn bị 1 SKU hết hàng có relevance score cao nhất + được boost kinh doanh.
2. Gọi API tìm kiếm với từ khoá khớp SKU này.
3. Kiểm tra vị trí SKU trong response.</t>
        </is>
      </c>
      <c r="I3" s="9" t="inlineStr">
        <is>
          <t>SKU-X: stock=0, relevance=0.98, business_boost=true</t>
        </is>
      </c>
      <c r="J3" s="9" t="inlineStr">
        <is>
          <t>SKU-X bị xếp xuống dưới TOÀN BỘ SKU còn hàng trong response, bất kể relevance score hay boost kinh doanh cao đến đâu — xác nhận Out-of-stock override là tầng ưu tiên cao nhất.</t>
        </is>
      </c>
      <c r="K3" s="9" t="inlineStr">
        <is>
          <t>High</t>
        </is>
      </c>
      <c r="L3" s="10" t="n"/>
      <c r="M3" s="10" t="inlineStr">
        <is>
          <t>Not Run</t>
        </is>
      </c>
      <c r="N3" s="10" t="n"/>
      <c r="O3" s="10" t="n"/>
      <c r="P3" s="9" t="n"/>
      <c r="Q3" s="9" t="n"/>
    </row>
    <row r="4" ht="63.75" customHeight="1">
      <c r="A4" s="9" t="inlineStr">
        <is>
          <t>INT-01-SC1-TC2</t>
        </is>
      </c>
      <c r="B4" s="9" t="inlineStr">
        <is>
          <t>INT-01-SC1</t>
        </is>
      </c>
      <c r="C4" s="9" t="inlineStr">
        <is>
          <t>Công cụ xếp hạng tìm kiếm (Search Ranking Engine)</t>
        </is>
      </c>
      <c r="D4" s="9" t="inlineStr">
        <is>
          <t>FR-PR-01, FR-PR-02, FR-PR-03, FR-PR-04</t>
        </is>
      </c>
      <c r="E4" s="9" t="inlineStr">
        <is>
          <t>Functional</t>
        </is>
      </c>
      <c r="F4" s="9" t="inlineStr">
        <is>
          <t>Business rule (boost/bury) áp dụng trước Relevance thuần trong nhóm còn hàng</t>
        </is>
      </c>
      <c r="G4" s="9" t="inlineStr">
        <is>
          <t>Tập kết quả có SKU hết hàng, SKU được boost kinh doanh, và có lịch sử cá nhân hoá của khách.</t>
        </is>
      </c>
      <c r="H4" s="9" t="inlineStr">
        <is>
          <t>1. Chuẩn bị 2 SKU cùng còn hàng: SKU-A relevance=0.70 nhưng có boost kinh doanh; SKU-B relevance=0.90 không có boost.
2. Gọi API tìm kiếm khớp cả 2 SKU.
3. So sánh vị trí SKU-A và SKU-B.</t>
        </is>
      </c>
      <c r="I4" s="9" t="inlineStr">
        <is>
          <t>SKU-A: relevance=0.70, boosted; SKU-B: relevance=0.90, không boost</t>
        </is>
      </c>
      <c r="J4" s="9" t="inlineStr">
        <is>
          <t>SKU-A (được boost) xếp trước SKU-B dù relevance thấp hơn — xác nhận thứ tự tầng: Business rule &gt; Relevance thuần.</t>
        </is>
      </c>
      <c r="K4" s="9" t="inlineStr">
        <is>
          <t>High</t>
        </is>
      </c>
      <c r="L4" s="10" t="n"/>
      <c r="M4" s="10" t="inlineStr">
        <is>
          <t>Not Run</t>
        </is>
      </c>
      <c r="N4" s="10" t="n"/>
      <c r="O4" s="10" t="n"/>
      <c r="P4" s="9" t="n"/>
      <c r="Q4" s="9" t="n"/>
    </row>
    <row r="5" ht="89.25" customHeight="1">
      <c r="A5" s="9" t="inlineStr">
        <is>
          <t>INT-01-SC2-TC1</t>
        </is>
      </c>
      <c r="B5" s="9" t="inlineStr">
        <is>
          <t>INT-01-SC2</t>
        </is>
      </c>
      <c r="C5" s="9" t="inlineStr">
        <is>
          <t>Công cụ xếp hạng tìm kiếm (Search Ranking Engine)</t>
        </is>
      </c>
      <c r="D5" s="9" t="inlineStr">
        <is>
          <t>FR-PR-01, FR-PR-02, FR-PR-03, FR-PR-04</t>
        </is>
      </c>
      <c r="E5" s="9" t="inlineStr">
        <is>
          <t>Boundary</t>
        </is>
      </c>
      <c r="F5" s="9" t="inlineStr">
        <is>
          <t>Tie-break khi 2 SKU có relevance score bằng nhau tuyệt đối</t>
        </is>
      </c>
      <c r="G5" s="9" t="inlineStr">
        <is>
          <t>2 SKU cùng relevance score, cùng stock&gt;0, không SKU nào được boost/cá nhân hoá.</t>
        </is>
      </c>
      <c r="H5" s="9" t="inlineStr">
        <is>
          <t>1. Chuẩn bị 2 SKU có relevance score = 0.75 (giống hệt nhau), stock&gt;0, không boost/cá nhân hoá.
2. Gọi API tìm kiếm nhiều lần (≥5 lần) với cùng điều kiện.
3. Kiểm tra thứ tự 2 SKU có nhất quán qua các lần gọi không.</t>
        </is>
      </c>
      <c r="I5" s="9" t="inlineStr">
        <is>
          <t>SKU-A và SKU-B: relevance=0.75 (bằng nhau)</t>
        </is>
      </c>
      <c r="J5" s="9" t="inlineStr">
        <is>
          <t>Thứ tự giữa SKU-A và SKU-B phải NHẤT QUÁN qua mọi lần gọi API (không random đảo lộn thứ tự mỗi lần) — xác nhận có quy tắc tie-break xác định (deterministic), không phụ thuộc vào thứ tự trả về ngẫu nhiên của database.</t>
        </is>
      </c>
      <c r="K5" s="9" t="inlineStr">
        <is>
          <t>Medium</t>
        </is>
      </c>
      <c r="L5" s="10" t="n"/>
      <c r="M5" s="10" t="inlineStr">
        <is>
          <t>Not Run</t>
        </is>
      </c>
      <c r="N5" s="10" t="n"/>
      <c r="O5" s="10" t="n"/>
      <c r="P5" s="9" t="n"/>
      <c r="Q5" s="9" t="n"/>
    </row>
    <row r="6" ht="63.75" customHeight="1">
      <c r="A6" s="9" t="inlineStr">
        <is>
          <t>INT-02-SC1-TC1</t>
        </is>
      </c>
      <c r="B6" s="9" t="inlineStr">
        <is>
          <t>INT-02-SC1</t>
        </is>
      </c>
      <c r="C6" s="9" t="inlineStr">
        <is>
          <t>Hiểu truy vấn — Đồng nghĩa &amp; Đa ngôn ngữ (Query Understanding)</t>
        </is>
      </c>
      <c r="D6" s="9" t="inlineStr">
        <is>
          <t>FR-SM-01, FR-SM-02, FR-SM-03, FR-SM-04, FR-SM-06</t>
        </is>
      </c>
      <c r="E6" s="9" t="inlineStr">
        <is>
          <t>Functional</t>
        </is>
      </c>
      <c r="F6" s="9" t="inlineStr">
        <is>
          <t>API tìm kiếm trả đúng kết quả khi dùng từ đồng nghĩa tiếng Anh</t>
        </is>
      </c>
      <c r="G6" s="9" t="inlineStr">
        <is>
          <t>Từ điển đồng nghĩa đã cấu hình "yogurt" = "sữa chua".</t>
        </is>
      </c>
      <c r="H6" s="9" t="inlineStr">
        <is>
          <t>1. Gọi API tìm kiếm với query="yogurt".
2. Kiểm tra response có chứa các SKU thuộc category "Sữa chua" hay không.
3. So sánh tập kết quả với khi gọi API bằng query="sữa chua".</t>
        </is>
      </c>
      <c r="I6" s="9" t="inlineStr">
        <is>
          <t>query="yogurt" vs query="sữa chua"</t>
        </is>
      </c>
      <c r="J6" s="9" t="inlineStr">
        <is>
          <t>Tập kết quả của 2 truy vấn phải trùng nhau (hoặc chồng lấn đáng kể) — xác nhận cơ chế mở rộng đồng nghĩa backend hoạt động đúng theo FR-SM-04.</t>
        </is>
      </c>
      <c r="K6" s="9" t="inlineStr">
        <is>
          <t>High</t>
        </is>
      </c>
      <c r="L6" s="10" t="n"/>
      <c r="M6" s="10" t="inlineStr">
        <is>
          <t>Not Run</t>
        </is>
      </c>
      <c r="N6" s="10" t="n"/>
      <c r="O6" s="10" t="n"/>
      <c r="P6" s="9" t="n"/>
      <c r="Q6" s="9" t="n"/>
    </row>
    <row r="7" ht="63.75" customHeight="1">
      <c r="A7" s="9" t="inlineStr">
        <is>
          <t>INT-02-SC2-TC1</t>
        </is>
      </c>
      <c r="B7" s="9" t="inlineStr">
        <is>
          <t>INT-02-SC2</t>
        </is>
      </c>
      <c r="C7" s="9" t="inlineStr">
        <is>
          <t>Hiểu truy vấn — Đồng nghĩa &amp; Đa ngôn ngữ (Query Understanding)</t>
        </is>
      </c>
      <c r="D7" s="9" t="inlineStr">
        <is>
          <t>FR-SM-01, FR-SM-02, FR-SM-03, FR-SM-04, FR-SM-06</t>
        </is>
      </c>
      <c r="E7" s="9" t="inlineStr">
        <is>
          <t>Functional</t>
        </is>
      </c>
      <c r="F7" s="9" t="inlineStr">
        <is>
          <t>Truy vấn không dấu trả về đúng kết quả như có dấu</t>
        </is>
      </c>
      <c r="G7" s="9" t="inlineStr">
        <is>
          <t>Index đã bật chuẩn hoá bỏ dấu.</t>
        </is>
      </c>
      <c r="H7" s="9" t="inlineStr">
        <is>
          <t>1. Gọi API tìm kiếm với query="sua tuoi" (không dấu).
2. Gọi API tìm kiếm với query="sữa tươi" (có dấu).
3. So sánh 2 tập kết quả (danh sách Product_ID).</t>
        </is>
      </c>
      <c r="I7" s="9" t="inlineStr">
        <is>
          <t>query="sua tuoi" vs query="sữa tươi"</t>
        </is>
      </c>
      <c r="J7" s="9" t="inlineStr">
        <is>
          <t>2 tập kết quả trùng khớp hoàn toàn (cùng danh sách Product_ID, có thể khác thứ tự do relevance score) — xác nhận chuẩn hoá dấu hoạt động đúng theo FR-SM-06.</t>
        </is>
      </c>
      <c r="K7" s="9" t="inlineStr">
        <is>
          <t>High</t>
        </is>
      </c>
      <c r="L7" s="10" t="n"/>
      <c r="M7" s="10" t="inlineStr">
        <is>
          <t>Not Run</t>
        </is>
      </c>
      <c r="N7" s="10" t="n"/>
      <c r="O7" s="10" t="n"/>
      <c r="P7" s="9" t="n"/>
      <c r="Q7" s="9" t="n"/>
    </row>
    <row r="8" ht="63.75" customHeight="1">
      <c r="A8" s="9" t="inlineStr">
        <is>
          <t>INT-03-SC1-TC1</t>
        </is>
      </c>
      <c r="B8" s="9" t="inlineStr">
        <is>
          <t>INT-03-SC1</t>
        </is>
      </c>
      <c r="C8" s="9" t="inlineStr">
        <is>
          <t>Autocomplete &amp; Sửa lỗi chính tả — Backend</t>
        </is>
      </c>
      <c r="D8" s="9" t="inlineStr">
        <is>
          <t>FR-SP-01, FR-AC-01, FR-AC-03</t>
        </is>
      </c>
      <c r="E8" s="9" t="inlineStr">
        <is>
          <t>Performance</t>
        </is>
      </c>
      <c r="F8" s="9" t="inlineStr">
        <is>
          <t>P95 độ trễ API autocomplete &lt; 300ms</t>
        </is>
      </c>
      <c r="G8" s="9" t="inlineStr">
        <is>
          <t>Endpoint autocomplete hoạt động bình thường, tải thông thường.</t>
        </is>
      </c>
      <c r="H8" s="9" t="inlineStr">
        <is>
          <t>1. Gọi API autocomplete 50 lần với các query khác nhau (2-4 ký tự), điều kiện tải bình thường.
2. Đo thời gian phản hồi từng request (server-side, không tính debounce).
3. Tính p95 của tập số liệu.</t>
        </is>
      </c>
      <c r="I8" s="9" t="inlineStr">
        <is>
          <t>50 request, query 2-4 ký tự</t>
        </is>
      </c>
      <c r="J8" s="9" t="inlineStr">
        <is>
          <t>p95 độ trễ &lt; 300ms — đạt NFR-002.</t>
        </is>
      </c>
      <c r="K8" s="9" t="inlineStr">
        <is>
          <t>High</t>
        </is>
      </c>
      <c r="L8" s="10" t="n"/>
      <c r="M8" s="10" t="inlineStr">
        <is>
          <t>Not Run</t>
        </is>
      </c>
      <c r="N8" s="10" t="n"/>
      <c r="O8" s="10" t="n"/>
      <c r="P8" s="9" t="n"/>
      <c r="Q8" s="9" t="n"/>
    </row>
    <row r="9" ht="76.5" customHeight="1">
      <c r="A9" s="11" t="inlineStr">
        <is>
          <t>INT-03-SC2-TC1</t>
        </is>
      </c>
      <c r="B9" s="11" t="inlineStr">
        <is>
          <t>INT-03-SC2</t>
        </is>
      </c>
      <c r="C9" s="11" t="inlineStr">
        <is>
          <t>Autocomplete &amp; Sửa lỗi chính tả — Backend</t>
        </is>
      </c>
      <c r="D9" s="11" t="inlineStr">
        <is>
          <t>FR-SP-01, FR-AC-01, FR-AC-03</t>
        </is>
      </c>
      <c r="E9" s="11" t="inlineStr">
        <is>
          <t>Behavior</t>
        </is>
      </c>
      <c r="F9" s="11" t="inlineStr">
        <is>
          <t>Ngưỡng kích hoạt fuzzy-match — chưa chốt số cụ thể</t>
        </is>
      </c>
      <c r="G9" s="11" t="inlineStr">
        <is>
          <t>Từ điển catalogue đã index đầy đủ.</t>
        </is>
      </c>
      <c r="H9" s="11" t="inlineStr">
        <is>
          <t>1. Gọi API kiểm tra chính tả với các query lệch 1, 2, 3 ký tự so với từ hợp lệ "sữa tươi".
2. Ghi nhận query nào kích hoạt banner sửa lỗi, query nào không.</t>
        </is>
      </c>
      <c r="I9" s="11" t="inlineStr">
        <is>
          <t>"sua toui" (lệch 2) / "sabc tuoi" (lệch nhiều hơn)</t>
        </is>
      </c>
      <c r="J9" s="11" t="inlineStr">
        <is>
          <t>TBD — ngưỡng khoảng cách chính xác (số ký tự lệch tối đa) để kích hoạt banner sửa lỗi chưa được TD chốt. Yêu cầu tối thiểu: hệ thống phải nhất quán (cùng 1 khoảng cách lệch luôn cho kết quả giống nhau qua nhiều lần gọi). Xem QnA-04.</t>
        </is>
      </c>
      <c r="K9" s="11" t="inlineStr">
        <is>
          <t>Medium</t>
        </is>
      </c>
      <c r="L9" s="10" t="n"/>
      <c r="M9" s="10" t="inlineStr">
        <is>
          <t>N/A</t>
        </is>
      </c>
      <c r="N9" s="10" t="n"/>
      <c r="O9" s="10" t="n"/>
      <c r="P9" s="11" t="inlineStr">
        <is>
          <t>QnA-04</t>
        </is>
      </c>
      <c r="Q9" s="11" t="n"/>
    </row>
    <row r="10" ht="89.25" customHeight="1">
      <c r="A10" s="9" t="inlineStr">
        <is>
          <t>INT-04-SC1-TC1</t>
        </is>
      </c>
      <c r="B10" s="9" t="inlineStr">
        <is>
          <t>INT-04-SC1</t>
        </is>
      </c>
      <c r="C10" s="9" t="inlineStr">
        <is>
          <t>Cá nhân hoá — Tích hợp OMS (Order History)</t>
        </is>
      </c>
      <c r="D10" s="9" t="inlineStr">
        <is>
          <t>FR-PS-03</t>
        </is>
      </c>
      <c r="E10" s="9" t="inlineStr">
        <is>
          <t>Integration</t>
        </is>
      </c>
      <c r="F10" s="9" t="inlineStr">
        <is>
          <t>Search Service gọi đúng OMS API và lọc đúng điều kiện 90 ngày / COMPLETED</t>
        </is>
      </c>
      <c r="G10" s="9" t="inlineStr">
        <is>
          <t>OMS có API trả lịch sử đơn hàng COMPLETED trong 90 ngày gần nhất.</t>
        </is>
      </c>
      <c r="H10" s="9" t="inlineStr">
        <is>
          <t>1. Chuẩn bị dữ liệu OMS: 1 đơn CANCELLED trong 90 ngày, 1 đơn COMPLETED trong 90 ngày, 1 đơn COMPLETED cách đây 100 ngày (ngoài khung).
2. Gọi API "Thường mua" cho tài khoản test.
3. Kiểm tra response chỉ tính đơn COMPLETED trong đúng 90 ngày.</t>
        </is>
      </c>
      <c r="I10" s="9" t="inlineStr">
        <is>
          <t>3 đơn hàng: CANCELLED/90 ngày, COMPLETED/90 ngày, COMPLETED/100 ngày</t>
        </is>
      </c>
      <c r="J10" s="9" t="inlineStr">
        <is>
          <t>Chỉ đơn COMPLETED trong 90 ngày được tính vào Order Count; đơn CANCELLED và đơn ngoài khung 90 ngày bị loại trừ.</t>
        </is>
      </c>
      <c r="K10" s="9" t="inlineStr">
        <is>
          <t>High</t>
        </is>
      </c>
      <c r="L10" s="10" t="n"/>
      <c r="M10" s="10" t="inlineStr">
        <is>
          <t>Not Run</t>
        </is>
      </c>
      <c r="N10" s="10" t="n"/>
      <c r="O10" s="10" t="n"/>
      <c r="P10" s="9" t="n"/>
      <c r="Q10" s="9" t="n"/>
    </row>
    <row r="11" ht="51" customHeight="1">
      <c r="A11" s="9" t="inlineStr">
        <is>
          <t>INT-04-SC1-TC2</t>
        </is>
      </c>
      <c r="B11" s="9" t="inlineStr">
        <is>
          <t>INT-04-SC1</t>
        </is>
      </c>
      <c r="C11" s="9" t="inlineStr">
        <is>
          <t>Cá nhân hoá — Tích hợp OMS (Order History)</t>
        </is>
      </c>
      <c r="D11" s="9" t="inlineStr">
        <is>
          <t>FR-PS-03</t>
        </is>
      </c>
      <c r="E11" s="9" t="inlineStr">
        <is>
          <t>Integration</t>
        </is>
      </c>
      <c r="F11" s="9" t="inlineStr">
        <is>
          <t>Timeout/lỗi từ OMS API — Search Service phải xử lý mềm dẻo (graceful degradation)</t>
        </is>
      </c>
      <c r="G11" s="9" t="inlineStr">
        <is>
          <t>OMS có API trả lịch sử đơn hàng COMPLETED trong 90 ngày gần nhất.</t>
        </is>
      </c>
      <c r="H11" s="9" t="inlineStr">
        <is>
          <t>1. Giả lập OMS API trả lỗi 5xx hoặc timeout.
2. Gọi API "Thường mua" cho tài khoản test.
3. Quan sát response từ Search Service.</t>
        </is>
      </c>
      <c r="I11" s="9" t="inlineStr">
        <is>
          <t>OMS API lỗi 5xx/timeout</t>
        </is>
      </c>
      <c r="J11" s="9" t="inlineStr">
        <is>
          <t>Search Service KHÔNG lỗi 5xx theo, trả về response hợp lệ (VD: mảng rỗng hoặc fallback sang Best-seller) thay vì để lỗi OMS lan ra làm hỏng toàn bộ trang Pre-search.</t>
        </is>
      </c>
      <c r="K11" s="9" t="inlineStr">
        <is>
          <t>High</t>
        </is>
      </c>
      <c r="L11" s="10" t="n"/>
      <c r="M11" s="10" t="inlineStr">
        <is>
          <t>Not Run</t>
        </is>
      </c>
      <c r="N11" s="10" t="n"/>
      <c r="O11" s="10" t="n"/>
      <c r="P11" s="9" t="n"/>
      <c r="Q11" s="9" t="n"/>
    </row>
    <row r="12" ht="63.75" customHeight="1">
      <c r="A12" s="9" t="inlineStr">
        <is>
          <t>INT-05-SC1-TC1</t>
        </is>
      </c>
      <c r="B12" s="9" t="inlineStr">
        <is>
          <t>INT-05-SC1</t>
        </is>
      </c>
      <c r="C12" s="9" t="inlineStr">
        <is>
          <t>Sponsored Ads — Tích hợp Retail Media</t>
        </is>
      </c>
      <c r="D12" s="9" t="inlineStr">
        <is>
          <t>FR-PR-05</t>
        </is>
      </c>
      <c r="E12" s="9" t="inlineStr">
        <is>
          <t>Integration</t>
        </is>
      </c>
      <c r="F12" s="9" t="inlineStr">
        <is>
          <t>Tích hợp đúng luồng request/response với Retail Media Platform</t>
        </is>
      </c>
      <c r="G12" s="9" t="inlineStr">
        <is>
          <t>Retail Media Platform có ≥1 chiến dịch active cho từ khoá test.</t>
        </is>
      </c>
      <c r="H12" s="9" t="inlineStr">
        <is>
          <t>1. Thiết lập 1 chiến dịch Sponsored active cho từ khoá "sữa chua".
2. Gọi API tìm kiếm với query="sữa chua".
3. Kiểm tra response có field is_sponsored=true cho đúng SKU đã cấu hình chiến dịch.</t>
        </is>
      </c>
      <c r="I12" s="9" t="inlineStr">
        <is>
          <t>Chiến dịch Sponsored cho "sữa chua"</t>
        </is>
      </c>
      <c r="J12" s="9" t="inlineStr">
        <is>
          <t>Response API trả đúng SKU tài trợ với cờ is_sponsored=true; SKU không thuộc chiến dịch nào có is_sponsored=false hoặc không có field này.</t>
        </is>
      </c>
      <c r="K12" s="9" t="inlineStr">
        <is>
          <t>High</t>
        </is>
      </c>
      <c r="L12" s="10" t="n"/>
      <c r="M12" s="10" t="inlineStr">
        <is>
          <t>Not Run</t>
        </is>
      </c>
      <c r="N12" s="10" t="n"/>
      <c r="O12" s="10" t="n"/>
      <c r="P12" s="9" t="n"/>
      <c r="Q12" s="9" t="n"/>
    </row>
    <row r="13" ht="63.75" customHeight="1">
      <c r="A13" s="9" t="inlineStr">
        <is>
          <t>INT-05-SC1-TC2</t>
        </is>
      </c>
      <c r="B13" s="9" t="inlineStr">
        <is>
          <t>INT-05-SC1</t>
        </is>
      </c>
      <c r="C13" s="9" t="inlineStr">
        <is>
          <t>Sponsored Ads — Tích hợp Retail Media</t>
        </is>
      </c>
      <c r="D13" s="9" t="inlineStr">
        <is>
          <t>FR-PR-05</t>
        </is>
      </c>
      <c r="E13" s="9" t="inlineStr">
        <is>
          <t>Integration</t>
        </is>
      </c>
      <c r="F13" s="9" t="inlineStr">
        <is>
          <t>Retail Media Platform timeout — Search Service vẫn trả kết quả tự nhiên (organic)</t>
        </is>
      </c>
      <c r="G13" s="9" t="inlineStr">
        <is>
          <t>Retail Media Platform có ≥1 chiến dịch active cho từ khoá test.</t>
        </is>
      </c>
      <c r="H13" s="9" t="inlineStr">
        <is>
          <t>1. Giả lập Retail Media Platform timeout.
2. Gọi API tìm kiếm với query có chiến dịch sponsored đang chạy.
3. Quan sát response.</t>
        </is>
      </c>
      <c r="I13" s="9" t="inlineStr">
        <is>
          <t>Retail Media timeout</t>
        </is>
      </c>
      <c r="J13" s="9" t="inlineStr">
        <is>
          <t>Search Service vẫn trả về đầy đủ kết quả tự nhiên (organic results) đúng hạn, không bị chặn/timeout theo lỗi của Retail Media — xác nhận cơ chế circuit-breaker/timeout riêng biệt giữa 2 service.</t>
        </is>
      </c>
      <c r="K13" s="9" t="inlineStr">
        <is>
          <t>High</t>
        </is>
      </c>
      <c r="L13" s="10" t="n"/>
      <c r="M13" s="10" t="inlineStr">
        <is>
          <t>Not Run</t>
        </is>
      </c>
      <c r="N13" s="10" t="n"/>
      <c r="O13" s="10" t="n"/>
      <c r="P13" s="9" t="n"/>
      <c r="Q13" s="9" t="n"/>
    </row>
    <row r="14" ht="63.75" customHeight="1">
      <c r="A14" s="9" t="inlineStr">
        <is>
          <t>INT-06-SC1-TC1</t>
        </is>
      </c>
      <c r="B14" s="9" t="inlineStr">
        <is>
          <t>INT-06-SC1</t>
        </is>
      </c>
      <c r="C14" s="9" t="inlineStr">
        <is>
          <t>Tìm bằng ảnh — Tích hợp Computer Vision Service</t>
        </is>
      </c>
      <c r="D14" s="9" t="inlineStr">
        <is>
          <t>FR-IS-01, FR-IS-03, FR-IS-05, FR-IS-07</t>
        </is>
      </c>
      <c r="E14" s="9" t="inlineStr">
        <is>
          <t>Integration</t>
        </is>
      </c>
      <c r="F14" s="9" t="inlineStr">
        <is>
          <t>Ánh xạ kết quả CV Service sang đúng Product_ID trong catalogue</t>
        </is>
      </c>
      <c r="G14" s="9" t="inlineStr">
        <is>
          <t>CV Service hoạt động bình thường, đã train trên catalogue LOTTE Mart.</t>
        </is>
      </c>
      <c r="H14" s="9" t="inlineStr">
        <is>
          <t>1. Gửi ảnh hộp sữa TH True Milk tới API tìm bằng ảnh.
2. Kiểm tra CV Service trả về nhãn/embedding gì.
3. Kiểm tra Search Service map đúng sang Product_ID thực tế đang bán trên MART.</t>
        </is>
      </c>
      <c r="I14" s="9" t="inlineStr">
        <is>
          <t>Ảnh hộp sữa TH True Milk</t>
        </is>
      </c>
      <c r="J14" s="9" t="inlineStr">
        <is>
          <t>Danh sách Product_ID trả về đều tồn tại thực tế trong catalogue đang bán (is_active=true), không có Product_ID rác/không tồn tại/ngừng bán.</t>
        </is>
      </c>
      <c r="K14" s="9" t="inlineStr">
        <is>
          <t>High</t>
        </is>
      </c>
      <c r="L14" s="10" t="n"/>
      <c r="M14" s="10" t="inlineStr">
        <is>
          <t>Not Run</t>
        </is>
      </c>
      <c r="N14" s="10" t="n"/>
      <c r="O14" s="10" t="n"/>
      <c r="P14" s="9" t="n"/>
      <c r="Q14" s="9" t="n"/>
    </row>
    <row r="15" ht="51" customHeight="1">
      <c r="A15" s="9" t="inlineStr">
        <is>
          <t>INT-06-SC1-TC2</t>
        </is>
      </c>
      <c r="B15" s="9" t="inlineStr">
        <is>
          <t>INT-06-SC1</t>
        </is>
      </c>
      <c r="C15" s="9" t="inlineStr">
        <is>
          <t>Tìm bằng ảnh — Tích hợp Computer Vision Service</t>
        </is>
      </c>
      <c r="D15" s="9" t="inlineStr">
        <is>
          <t>FR-IS-01, FR-IS-03, FR-IS-05, FR-IS-07</t>
        </is>
      </c>
      <c r="E15" s="9" t="inlineStr">
        <is>
          <t>Integration</t>
        </is>
      </c>
      <c r="F15" s="9" t="inlineStr">
        <is>
          <t>CV Service trả lỗi/timeout — Search Service chuyển đúng sang luồng lỗi nhận diện</t>
        </is>
      </c>
      <c r="G15" s="9" t="inlineStr">
        <is>
          <t>CV Service hoạt động bình thường, đã train trên catalogue LOTTE Mart.</t>
        </is>
      </c>
      <c r="H15" s="9" t="inlineStr">
        <is>
          <t>1. Giả lập CV Service trả lỗi 5xx hoặc timeout khi xử lý ảnh.
2. Gửi ảnh hợp lệ qua API tìm bằng ảnh.
3. Quan sát response/mã lỗi trả về cho client.</t>
        </is>
      </c>
      <c r="I15" s="9" t="inlineStr">
        <is>
          <t>CV Service lỗi 5xx/timeout</t>
        </is>
      </c>
      <c r="J15" s="9" t="inlineStr">
        <is>
          <t>Search Service trả về mã lỗi/response rõ ràng để client hiển thị đúng màn "Không nhận diện được" (SS-SCR-016), không để lỗi hệ thống (5xx thô) lộ ra client hoặc làm crash app.</t>
        </is>
      </c>
      <c r="K15" s="9" t="inlineStr">
        <is>
          <t>High</t>
        </is>
      </c>
      <c r="L15" s="10" t="n"/>
      <c r="M15" s="10" t="inlineStr">
        <is>
          <t>Not Run</t>
        </is>
      </c>
      <c r="N15" s="10" t="n"/>
      <c r="O15" s="10" t="n"/>
      <c r="P15" s="9" t="n"/>
      <c r="Q15" s="9" t="n"/>
    </row>
    <row r="16" ht="63.75" customHeight="1">
      <c r="A16" s="9" t="inlineStr">
        <is>
          <t>INT-06-SC1-TC3</t>
        </is>
      </c>
      <c r="B16" s="9" t="inlineStr">
        <is>
          <t>INT-06-SC1</t>
        </is>
      </c>
      <c r="C16" s="9" t="inlineStr">
        <is>
          <t>Tìm bằng ảnh — Tích hợp Computer Vision Service</t>
        </is>
      </c>
      <c r="D16" s="9" t="inlineStr">
        <is>
          <t>FR-IS-01, FR-IS-03, FR-IS-05, FR-IS-07</t>
        </is>
      </c>
      <c r="E16" s="9" t="inlineStr">
        <is>
          <t>Performance</t>
        </is>
      </c>
      <c r="F16" s="9" t="inlineStr">
        <is>
          <t>P95 thời gian xử lý ảnh đầu-cuối (upload → CV Service → mapping → response) &lt; 3.000ms</t>
        </is>
      </c>
      <c r="G16" s="9" t="inlineStr">
        <is>
          <t>CV Service hoạt động bình thường, đã train trên catalogue LOTTE Mart.</t>
        </is>
      </c>
      <c r="H16" s="9" t="inlineStr">
        <is>
          <t>1. Gửi 30+ ảnh chuẩn qua API tìm bằng ảnh trong điều kiện tải bình thường.
2. Đo thời gian từ lúc server nhận ảnh tới lúc trả response (không tính thời gian upload từ client).
3. Tính p95.</t>
        </is>
      </c>
      <c r="I16" s="9" t="inlineStr">
        <is>
          <t>30+ ảnh chuẩn</t>
        </is>
      </c>
      <c r="J16" s="9" t="inlineStr">
        <is>
          <t>p95 thời gian xử lý server-side &lt; 3.000ms — đạt FR-IS-07.</t>
        </is>
      </c>
      <c r="K16" s="9" t="inlineStr">
        <is>
          <t>High</t>
        </is>
      </c>
      <c r="L16" s="10" t="n"/>
      <c r="M16" s="10" t="inlineStr">
        <is>
          <t>Not Run</t>
        </is>
      </c>
      <c r="N16" s="10" t="n"/>
      <c r="O16" s="10" t="n"/>
      <c r="P16" s="9" t="n"/>
      <c r="Q16" s="9" t="n"/>
    </row>
    <row r="17" ht="76.5" customHeight="1">
      <c r="A17" s="9" t="inlineStr">
        <is>
          <t>INT-07-SC1-TC1</t>
        </is>
      </c>
      <c r="B17" s="9" t="inlineStr">
        <is>
          <t>INT-07-SC1</t>
        </is>
      </c>
      <c r="C17" s="9" t="inlineStr">
        <is>
          <t>Tìm bằng giọng nói — Tích hợp Speech-to-Text Service</t>
        </is>
      </c>
      <c r="D17" s="9" t="inlineStr">
        <is>
          <t>FR-VS-01, FR-VS-04, FR-VS-06</t>
        </is>
      </c>
      <c r="E17" s="9" t="inlineStr">
        <is>
          <t>Integration</t>
        </is>
      </c>
      <c r="F17" s="9" t="inlineStr">
        <is>
          <t>Transcript từ STT Service được xử lý qua đúng pipeline Query Understanding như Text Search</t>
        </is>
      </c>
      <c r="G17" s="9" t="inlineStr">
        <is>
          <t>STT Service hỗ trợ tiếng Việt, đang hoạt động bình thường.</t>
        </is>
      </c>
      <c r="H17" s="9" t="inlineStr">
        <is>
          <t>1. Gửi audio nói "sua tuoi" (giọng địa phương, không dấu rõ) qua API voice search.
2. Kiểm tra transcript STT Service trả về.
3. Kiểm tra kết quả tìm kiếm cuối cùng có áp dụng đúng chuẩn hoá dấu/đồng nghĩa như Text Search không.</t>
        </is>
      </c>
      <c r="I17" s="9" t="inlineStr">
        <is>
          <t>Audio: "sua tuoi" (giọng địa phương)</t>
        </is>
      </c>
      <c r="J17" s="9" t="inlineStr">
        <is>
          <t>Kết quả tìm kiếm từ giọng nói phải tương đương với khi gõ tay cùng transcript đó vào Text Search — xác nhận dùng chung 1 pipeline xử lý truy vấn.</t>
        </is>
      </c>
      <c r="K17" s="9" t="inlineStr">
        <is>
          <t>High</t>
        </is>
      </c>
      <c r="L17" s="10" t="n"/>
      <c r="M17" s="10" t="inlineStr">
        <is>
          <t>Not Run</t>
        </is>
      </c>
      <c r="N17" s="10" t="n"/>
      <c r="O17" s="10" t="n"/>
      <c r="P17" s="9" t="n"/>
      <c r="Q17" s="9" t="n"/>
    </row>
    <row r="18" ht="63.75" customHeight="1">
      <c r="A18" s="11" t="inlineStr">
        <is>
          <t>INT-07-SC1-TC2</t>
        </is>
      </c>
      <c r="B18" s="11" t="inlineStr">
        <is>
          <t>INT-07-SC1</t>
        </is>
      </c>
      <c r="C18" s="11" t="inlineStr">
        <is>
          <t>Tìm bằng giọng nói — Tích hợp Speech-to-Text Service</t>
        </is>
      </c>
      <c r="D18" s="11" t="inlineStr">
        <is>
          <t>FR-VS-01, FR-VS-04, FR-VS-06</t>
        </is>
      </c>
      <c r="E18" s="11" t="inlineStr">
        <is>
          <t>Behavior</t>
        </is>
      </c>
      <c r="F18" s="11" t="inlineStr">
        <is>
          <t>STT confidence thấp — hệ thống xử lý số đếm/đơn vị chưa được chốt</t>
        </is>
      </c>
      <c r="G18" s="11" t="inlineStr">
        <is>
          <t>STT Service hỗ trợ tiếng Việt, đang hoạt động bình thường.</t>
        </is>
      </c>
      <c r="H18" s="11" t="inlineStr">
        <is>
          <t>1. Gửi audio "sữa tươi hai lít".
2. Kiểm tra transcript STT trả về (giữ nguyên chữ số hay chuyển "hai" thành "2"?).
3. Kiểm tra truy vấn cuối cùng gửi vào Search Engine.</t>
        </is>
      </c>
      <c r="I18" s="11" t="inlineStr">
        <is>
          <t>Audio: "sữa tươi hai lít"</t>
        </is>
      </c>
      <c r="J18" s="11" t="inlineStr">
        <is>
          <t>TBD — chưa chốt cách chuẩn hoá số đếm/đơn vị trước khi đưa vào Search Engine. Yêu cầu tối thiểu: không lỗi hệ thống, truy vấn cuối cùng vẫn chứa "sữa tươi". Xem QnA-22.</t>
        </is>
      </c>
      <c r="K18" s="11" t="inlineStr">
        <is>
          <t>Medium</t>
        </is>
      </c>
      <c r="L18" s="10" t="n"/>
      <c r="M18" s="10" t="inlineStr">
        <is>
          <t>N/A</t>
        </is>
      </c>
      <c r="N18" s="10" t="n"/>
      <c r="O18" s="10" t="n"/>
      <c r="P18" s="11" t="inlineStr">
        <is>
          <t>QnA-22</t>
        </is>
      </c>
      <c r="Q18" s="11" t="n"/>
    </row>
    <row r="19" ht="63.75" customHeight="1">
      <c r="A19" s="9" t="inlineStr">
        <is>
          <t>INT-08-SC1-TC1</t>
        </is>
      </c>
      <c r="B19" s="9" t="inlineStr">
        <is>
          <t>INT-08-SC1</t>
        </is>
      </c>
      <c r="C19" s="9" t="inlineStr">
        <is>
          <t>Thêm giỏ hàng — Tích hợp Cart/OMS Transactional</t>
        </is>
      </c>
      <c r="D19" s="9" t="inlineStr">
        <is>
          <t>Không có FR ID rõ ràng — xem QnA-10</t>
        </is>
      </c>
      <c r="E19" s="9" t="inlineStr">
        <is>
          <t>Integration</t>
        </is>
      </c>
      <c r="F19" s="9" t="inlineStr">
        <is>
          <t>Xử lý đồng thời (concurrency) khi nhiều khách cùng thêm giỏ 1 SKU sắp hết hàng</t>
        </is>
      </c>
      <c r="G19" s="9" t="inlineStr">
        <is>
          <t>1 SKU có tồn kho giới hạn (VD: 5 sản phẩm).</t>
        </is>
      </c>
      <c r="H19" s="9" t="inlineStr">
        <is>
          <t>1. Thiết lập 1 SKU tồn kho = 5.
2. Gửi đồng thời 10 request thêm giỏ (mỗi request thêm 1 đơn vị) từ 10 phiên khác nhau.
3. Kiểm tra tổng số lượng thực tế được thêm thành công vào các giỏ hàng.</t>
        </is>
      </c>
      <c r="I19" s="9" t="inlineStr">
        <is>
          <t>Tồn kho=5, 10 request đồng thời</t>
        </is>
      </c>
      <c r="J19" s="9" t="inlineStr">
        <is>
          <t>Tổng số lượng thêm giỏ thành công KHÔNG vượt quá 5 (tồn kho thực tế); các request vượt quá tồn kho phải trả về lỗi rõ ràng (VD: "Sản phẩm đã hết hàng") thay vì thêm giỏ thành công gây âm kho.</t>
        </is>
      </c>
      <c r="K19" s="9" t="inlineStr">
        <is>
          <t>High</t>
        </is>
      </c>
      <c r="L19" s="10" t="n"/>
      <c r="M19" s="10" t="inlineStr">
        <is>
          <t>Not Run</t>
        </is>
      </c>
      <c r="N19" s="10" t="n"/>
      <c r="O19" s="10" t="n"/>
      <c r="P19" s="9" t="n"/>
      <c r="Q19" s="9" t="n"/>
    </row>
    <row r="20" ht="51" customHeight="1">
      <c r="A20" s="9" t="inlineStr">
        <is>
          <t>INT-08-SC1-TC2</t>
        </is>
      </c>
      <c r="B20" s="9" t="inlineStr">
        <is>
          <t>INT-08-SC1</t>
        </is>
      </c>
      <c r="C20" s="9" t="inlineStr">
        <is>
          <t>Thêm giỏ hàng — Tích hợp Cart/OMS Transactional</t>
        </is>
      </c>
      <c r="D20" s="9" t="inlineStr">
        <is>
          <t>Không có FR ID rõ ràng — xem QnA-10</t>
        </is>
      </c>
      <c r="E20" s="9" t="inlineStr">
        <is>
          <t>Integration</t>
        </is>
      </c>
      <c r="F20" s="9" t="inlineStr">
        <is>
          <t>Optimistic UI update đồng bộ đúng với trạng thái giỏ hàng thực tế trên OMS</t>
        </is>
      </c>
      <c r="G20" s="9" t="inlineStr">
        <is>
          <t>1 SKU có tồn kho giới hạn (VD: 5 sản phẩm).</t>
        </is>
      </c>
      <c r="H20" s="9" t="inlineStr">
        <is>
          <t>1. Thêm 1 sản phẩm vào giỏ qua API.
2. Gọi API lấy trạng thái giỏ hàng hiện tại từ OMS.
3. So sánh với optimistic update đã hiển thị ở client.</t>
        </is>
      </c>
      <c r="I20" s="9" t="inlineStr">
        <is>
          <t>1 SKU thêm giỏ</t>
        </is>
      </c>
      <c r="J20" s="9" t="inlineStr">
        <is>
          <t>Trạng thái giỏ hàng trả về từ OMS khớp chính xác với optimistic update đã hiển thị (không lệch số lượng/giá).</t>
        </is>
      </c>
      <c r="K20" s="9" t="inlineStr">
        <is>
          <t>Medium</t>
        </is>
      </c>
      <c r="L20" s="10" t="n"/>
      <c r="M20" s="10" t="inlineStr">
        <is>
          <t>Not Run</t>
        </is>
      </c>
      <c r="N20" s="10" t="n"/>
      <c r="O20" s="10" t="n"/>
      <c r="P20" s="9" t="n"/>
      <c r="Q20" s="9" t="n"/>
    </row>
    <row r="21" ht="89.25" customHeight="1">
      <c r="A21" s="11" t="inlineStr">
        <is>
          <t>INT-09-SC1-TC1</t>
        </is>
      </c>
      <c r="B21" s="11" t="inlineStr">
        <is>
          <t>INT-09-SC1</t>
        </is>
      </c>
      <c r="C21" s="11" t="inlineStr">
        <is>
          <t>Catalog &amp; Inventory — Đồng bộ tồn kho thời gian thực</t>
        </is>
      </c>
      <c r="D21" s="11" t="inlineStr">
        <is>
          <t>Liên quan FR-PR-01 (Out-of-stock override)</t>
        </is>
      </c>
      <c r="E21" s="11" t="inlineStr">
        <is>
          <t>Integration</t>
        </is>
      </c>
      <c r="F21" s="11" t="inlineStr">
        <is>
          <t>Độ trễ đồng bộ tồn kho từ Inventory Service sang Search Index</t>
        </is>
      </c>
      <c r="G21" s="11" t="inlineStr">
        <is>
          <t>1 SKU đang còn hàng (stock=10) trong Search Index.</t>
        </is>
      </c>
      <c r="H21" s="11" t="inlineStr">
        <is>
          <t>1. Xác nhận SKU-X đang stock=10 trong Search Index (còn hàng khi tìm kiếm).
2. Cập nhật Inventory Service: SKU-X → stock=0.
3. Đo thời gian từ lúc cập nhật tới khi Search Index phản ánh đúng SKU-X hết hàng (out-of-stock override có hiệu lực).</t>
        </is>
      </c>
      <c r="I21" s="11" t="inlineStr">
        <is>
          <t>SKU-X: 10 → 0</t>
        </is>
      </c>
      <c r="J21" s="11" t="inlineStr">
        <is>
          <t>TBD — SLA đồng bộ cụ thể (VD: &lt;30s, &lt;5 phút, hay near-realtime qua event streaming) chưa được TD xác nhận trong BRD hiện tại. Yêu cầu tối thiểu: có đồng bộ (không phải batch job chạy 1 lần/ngày), tránh trường hợp khách đặt được SKU đã hết hàng thực tế. Xem QnA-04.</t>
        </is>
      </c>
      <c r="K21" s="11" t="inlineStr">
        <is>
          <t>High</t>
        </is>
      </c>
      <c r="L21" s="10" t="n"/>
      <c r="M21" s="10" t="inlineStr">
        <is>
          <t>N/A</t>
        </is>
      </c>
      <c r="N21" s="10" t="n"/>
      <c r="O21" s="10" t="n"/>
      <c r="P21" s="11" t="inlineStr">
        <is>
          <t>QnA-04</t>
        </is>
      </c>
      <c r="Q21" s="11" t="n"/>
    </row>
    <row r="22" ht="76.5" customHeight="1">
      <c r="A22" s="9" t="inlineStr">
        <is>
          <t>INT-10-SC1-TC1</t>
        </is>
      </c>
      <c r="B22" s="9" t="inlineStr">
        <is>
          <t>INT-10-SC1</t>
        </is>
      </c>
      <c r="C22" s="9" t="inlineStr">
        <is>
          <t>Zero-Result Fallback Engine — Thuật toán gợi ý thay thế</t>
        </is>
      </c>
      <c r="D22" s="9" t="inlineStr">
        <is>
          <t>FR-ZR-01, FR-ZR-02, FR-SM-07</t>
        </is>
      </c>
      <c r="E22" s="9" t="inlineStr">
        <is>
          <t>Functional</t>
        </is>
      </c>
      <c r="F22" s="9" t="inlineStr">
        <is>
          <t>Substitute engine trả đúng SKU tương đồng nhất, còn hàng, sắp theo similarity</t>
        </is>
      </c>
      <c r="G22" s="9" t="inlineStr">
        <is>
          <t>SKU gốc hết hàng, có ≥3 SKU cùng category với vector embedding gần.</t>
        </is>
      </c>
      <c r="H22" s="9" t="inlineStr">
        <is>
          <t>1. Chuẩn bị SKU gốc "Bia Corona" (hết hàng) và 5 SKU bia khác cùng category còn hàng với similarity score khác nhau.
2. Gọi API Substitute cho SKU gốc.
3. Kiểm tra danh sách trả về có đúng thứ tự similarity giảm dần và toàn bộ còn hàng không.</t>
        </is>
      </c>
      <c r="I22" s="9" t="inlineStr">
        <is>
          <t>SKU gốc hết hàng + 5 SKU cùng category</t>
        </is>
      </c>
      <c r="J22" s="9" t="inlineStr">
        <is>
          <t>Danh sách trả về chỉ gồm SKU còn hàng, sắp theo similarity score giảm dần; SKU có similarity thấp nhất trong nhóm ứng viên (nếu dưới ngưỡng tối thiểu) không được đưa vào danh sách.</t>
        </is>
      </c>
      <c r="K22" s="9" t="inlineStr">
        <is>
          <t>High</t>
        </is>
      </c>
      <c r="L22" s="10" t="n"/>
      <c r="M22" s="10" t="inlineStr">
        <is>
          <t>Not Run</t>
        </is>
      </c>
      <c r="N22" s="10" t="n"/>
      <c r="O22" s="10" t="n"/>
      <c r="P22" s="9" t="n"/>
      <c r="Q22" s="9" t="n"/>
    </row>
    <row r="23" ht="63.75" customHeight="1">
      <c r="A23" s="9" t="inlineStr">
        <is>
          <t>INT-10-SC2-TC1</t>
        </is>
      </c>
      <c r="B23" s="9" t="inlineStr">
        <is>
          <t>INT-10-SC2</t>
        </is>
      </c>
      <c r="C23" s="9" t="inlineStr">
        <is>
          <t>Zero-Result Fallback Engine — Thuật toán gợi ý thay thế</t>
        </is>
      </c>
      <c r="D23" s="9" t="inlineStr">
        <is>
          <t>FR-ZR-01, FR-ZR-02, FR-SM-07</t>
        </is>
      </c>
      <c r="E23" s="9" t="inlineStr">
        <is>
          <t>Functional</t>
        </is>
      </c>
      <c r="F23" s="9" t="inlineStr">
        <is>
          <t>Cross-sell engine trả đúng sản phẩm có association rule mạnh nhất</t>
        </is>
      </c>
      <c r="G23" s="9" t="inlineStr">
        <is>
          <t>Có dữ liệu lịch sử đơn hàng đủ lớn để tính association rule (VD: Bia + Đậu phộng thường mua cùng nhau).</t>
        </is>
      </c>
      <c r="H23" s="9" t="inlineStr">
        <is>
          <t>1. Chuẩn bị dữ liệu lịch sử: "Bia Corona" thường được mua cùng "Đậu phộng rang" (confidence cao) và "Nước ngọt" (confidence thấp hơn).
2. Gọi API Cross-sell cho "Bia Corona".
3. Kiểm tra thứ tự sản phẩm trả về.</t>
        </is>
      </c>
      <c r="I23" s="9" t="inlineStr">
        <is>
          <t>Association rule: Bia+Đậu phộng (confidence cao), Bia+Nước ngọt (confidence thấp)</t>
        </is>
      </c>
      <c r="J23" s="9" t="inlineStr">
        <is>
          <t>"Đậu phộng rang" xếp trước "Nước ngọt" trong danh sách Cross-sell, đúng theo confidence score của association rule.</t>
        </is>
      </c>
      <c r="K23" s="9" t="inlineStr">
        <is>
          <t>Medium</t>
        </is>
      </c>
      <c r="L23" s="10" t="n"/>
      <c r="M23" s="10" t="inlineStr">
        <is>
          <t>Not Run</t>
        </is>
      </c>
      <c r="N23" s="10" t="n"/>
      <c r="O23" s="10" t="n"/>
      <c r="P23" s="9" t="n"/>
      <c r="Q23" s="9" t="n"/>
    </row>
    <row r="24" ht="63.75" customHeight="1">
      <c r="A24" s="9" t="inlineStr">
        <is>
          <t>INT-10-SC3-TC1</t>
        </is>
      </c>
      <c r="B24" s="9" t="inlineStr">
        <is>
          <t>INT-10-SC3</t>
        </is>
      </c>
      <c r="C24" s="9" t="inlineStr">
        <is>
          <t>Zero-Result Fallback Engine — Thuật toán gợi ý thay thế</t>
        </is>
      </c>
      <c r="D24" s="9" t="inlineStr">
        <is>
          <t>FR-ZR-01, FR-ZR-02, FR-SM-07</t>
        </is>
      </c>
      <c r="E24" s="9" t="inlineStr">
        <is>
          <t>Boundary</t>
        </is>
      </c>
      <c r="F24" s="9" t="inlineStr">
        <is>
          <t>Fallback về Best-seller khi không có Substitute/Cross-sell — không bao giờ trả rỗng</t>
        </is>
      </c>
      <c r="G24" s="9" t="inlineStr">
        <is>
          <t>Từ khoá hoàn toàn ngoài domain catalogue (không có SKU tương đồng, không có association rule nào).</t>
        </is>
      </c>
      <c r="H24" s="9" t="inlineStr">
        <is>
          <t>1. Gọi API Zero-Result Fallback với 1 từ khoá hoàn toàn ngoài domain, không có SKU tương đồng/association rule nào.
2. Kiểm tra response.</t>
        </is>
      </c>
      <c r="I24" s="9" t="inlineStr">
        <is>
          <t>Từ khoá ngoài domain catalogue</t>
        </is>
      </c>
      <c r="J24" s="9" t="inlineStr">
        <is>
          <t>Response trả về tối thiểu 10 SKU Best-seller của toàn hệ thống, KHÔNG BAO GIỜ trả về mảng rỗng — đúng nguyên tắc "không bao giờ để trang trắng" (FR-SM-07).</t>
        </is>
      </c>
      <c r="K24" s="9" t="inlineStr">
        <is>
          <t>High</t>
        </is>
      </c>
      <c r="L24" s="10" t="n"/>
      <c r="M24" s="10" t="inlineStr">
        <is>
          <t>Not Run</t>
        </is>
      </c>
      <c r="N24" s="10" t="n"/>
      <c r="O24" s="10" t="n"/>
      <c r="P24" s="9" t="n"/>
      <c r="Q24" s="9" t="n"/>
    </row>
    <row r="25" ht="76.5" customHeight="1">
      <c r="A25" s="11" t="inlineStr">
        <is>
          <t>INT-11-SC1-TC1</t>
        </is>
      </c>
      <c r="B25" s="11" t="inlineStr">
        <is>
          <t>INT-11-SC1</t>
        </is>
      </c>
      <c r="C25" s="11" t="inlineStr">
        <is>
          <t>Auth &amp; Session — Guest vs Member</t>
        </is>
      </c>
      <c r="D25" s="11" t="inlineStr">
        <is>
          <t>Liên quan FR-PS-03, FR-PS-01</t>
        </is>
      </c>
      <c r="E25" s="11" t="inlineStr">
        <is>
          <t>Behavior</t>
        </is>
      </c>
      <c r="F25" s="11" t="inlineStr">
        <is>
          <t>Token hết hạn giữa lúc gọi API cá nhân hoá — hành vi API chưa được tài liệu hoá đầy đủ</t>
        </is>
      </c>
      <c r="G25" s="11" t="inlineStr">
        <is>
          <t>Token JWT của khách sắp hết hạn (còn &lt;5 giây).</t>
        </is>
      </c>
      <c r="H25" s="11" t="inlineStr">
        <is>
          <t>1. Lấy token JWT sắp hết hạn (&lt;5s).
2. Gọi API "Thường mua" (yêu cầu xác thực) đúng lúc token hết hạn.
3. Kiểm tra mã lỗi HTTP trả về.</t>
        </is>
      </c>
      <c r="I25" s="11" t="inlineStr">
        <is>
          <t>Token JWT hết hạn giữa request</t>
        </is>
      </c>
      <c r="J25" s="11" t="inlineStr">
        <is>
          <t>TBD — BRD chưa mô tả rõ hành vi API khi token hết hạn giữa chừng (tự động refresh, trả 401, hay coi như Guest). Yêu cầu tối thiểu: KHÔNG được trả lỗi 500 hoặc dữ liệu sai lệch của tài khoản khác; phải trả mã lỗi rõ ràng (401) để client xử lý đúng. Xem QnA-20.</t>
        </is>
      </c>
      <c r="K25" s="11" t="inlineStr">
        <is>
          <t>High</t>
        </is>
      </c>
      <c r="L25" s="10" t="n"/>
      <c r="M25" s="10" t="inlineStr">
        <is>
          <t>N/A</t>
        </is>
      </c>
      <c r="N25" s="10" t="n"/>
      <c r="O25" s="10" t="n"/>
      <c r="P25" s="11" t="inlineStr">
        <is>
          <t>QnA-20</t>
        </is>
      </c>
      <c r="Q25" s="11" t="n"/>
    </row>
    <row r="26" ht="76.5" customHeight="1">
      <c r="A26" s="9" t="inlineStr">
        <is>
          <t>INT-11-SC2-TC1</t>
        </is>
      </c>
      <c r="B26" s="9" t="inlineStr">
        <is>
          <t>INT-11-SC2</t>
        </is>
      </c>
      <c r="C26" s="9" t="inlineStr">
        <is>
          <t>Auth &amp; Session — Guest vs Member</t>
        </is>
      </c>
      <c r="D26" s="9" t="inlineStr">
        <is>
          <t>Liên quan FR-PS-03, FR-PS-01</t>
        </is>
      </c>
      <c r="E26" s="9" t="inlineStr">
        <is>
          <t>Functional</t>
        </is>
      </c>
      <c r="F26" s="9" t="inlineStr">
        <is>
          <t>Chuyển từ Guest sang Member cập nhật đúng khối cá nhân hoá không cần reload thủ công</t>
        </is>
      </c>
      <c r="G26" s="9" t="inlineStr">
        <is>
          <t>Khách đang ở chế độ Guest, sau đó đăng nhập thành công.</t>
        </is>
      </c>
      <c r="H26" s="9" t="inlineStr">
        <is>
          <t>1. Mở app ở chế độ Guest, vào Pre-search Screen, quan sát khối "Thường mua".
2. Đăng nhập vào 1 tài khoản có lịch sử mua hàng.
3. Quay lại Pre-search Screen (không force-reload app), quan sát khối "Thường mua".</t>
        </is>
      </c>
      <c r="I26" s="9" t="inlineStr">
        <is>
          <t>Tài khoản có lịch sử mua hàng</t>
        </is>
      </c>
      <c r="J26" s="9" t="inlineStr">
        <is>
          <t>Sau khi đăng nhập, khối "Thường mua" tự động cập nhật đúng dữ liệu cá nhân hoá của tài khoản, không còn ở trạng thái Guest cũ, không cần khách phải đóng/mở lại app.</t>
        </is>
      </c>
      <c r="K26" s="9" t="inlineStr">
        <is>
          <t>Medium</t>
        </is>
      </c>
      <c r="L26" s="10" t="n"/>
      <c r="M26" s="10" t="inlineStr">
        <is>
          <t>Not Run</t>
        </is>
      </c>
      <c r="N26" s="10" t="n"/>
      <c r="O26" s="10" t="n"/>
      <c r="P26" s="9" t="n"/>
      <c r="Q26" s="9" t="n"/>
    </row>
    <row r="27" ht="63.75" customHeight="1">
      <c r="A27" s="9" t="inlineStr">
        <is>
          <t>INT-12-SC1-TC1</t>
        </is>
      </c>
      <c r="B27" s="9" t="inlineStr">
        <is>
          <t>INT-12-SC1</t>
        </is>
      </c>
      <c r="C27" s="9" t="inlineStr">
        <is>
          <t>Analytics &amp; Event Logging</t>
        </is>
      </c>
      <c r="D27" s="9" t="inlineStr">
        <is>
          <t>Liên quan FR-PS-02 (Trending), NFR tracking</t>
        </is>
      </c>
      <c r="E27" s="9" t="inlineStr">
        <is>
          <t>Integration</t>
        </is>
      </c>
      <c r="F27" s="9" t="inlineStr">
        <is>
          <t>Sự kiện tìm kiếm được ghi log đầy đủ và chính xác</t>
        </is>
      </c>
      <c r="G27" s="9" t="inlineStr">
        <is>
          <t>Analytics pipeline hoạt động bình thường.</t>
        </is>
      </c>
      <c r="H27" s="9" t="inlineStr">
        <is>
          <t>1. Thực hiện 1 lượt tìm kiếm "sữa" (có kết quả &gt;0).
2. Kiểm tra event log trong Analytics pipeline.
3. Đối chiếu các trường: query text, timestamp, user segment, số kết quả.</t>
        </is>
      </c>
      <c r="I27" s="9" t="inlineStr">
        <is>
          <t>query="sữa"</t>
        </is>
      </c>
      <c r="J27" s="9" t="inlineStr">
        <is>
          <t>Event log ghi đúng và đầy đủ: query="sữa", timestamp chính xác (±1s so với thời điểm thực tế), user segment đúng, số kết quả trả về khớp với response API.</t>
        </is>
      </c>
      <c r="K27" s="9" t="inlineStr">
        <is>
          <t>Medium</t>
        </is>
      </c>
      <c r="L27" s="10" t="n"/>
      <c r="M27" s="10" t="inlineStr">
        <is>
          <t>Not Run</t>
        </is>
      </c>
      <c r="N27" s="10" t="n"/>
      <c r="O27" s="10" t="n"/>
      <c r="P27" s="9" t="n"/>
      <c r="Q27" s="9" t="n"/>
    </row>
    <row r="28" ht="51" customHeight="1">
      <c r="A28" s="9" t="inlineStr">
        <is>
          <t>INT-12-SC1-TC2</t>
        </is>
      </c>
      <c r="B28" s="9" t="inlineStr">
        <is>
          <t>INT-12-SC1</t>
        </is>
      </c>
      <c r="C28" s="9" t="inlineStr">
        <is>
          <t>Analytics &amp; Event Logging</t>
        </is>
      </c>
      <c r="D28" s="9" t="inlineStr">
        <is>
          <t>Liên quan FR-PS-02 (Trending), NFR tracking</t>
        </is>
      </c>
      <c r="E28" s="9" t="inlineStr">
        <is>
          <t>Negative</t>
        </is>
      </c>
      <c r="F28" s="9" t="inlineStr">
        <is>
          <t>Truy vấn 0-kết-quả KHÔNG được tính vào Trending Score</t>
        </is>
      </c>
      <c r="G28" s="9" t="inlineStr">
        <is>
          <t>Analytics pipeline hoạt động bình thường.</t>
        </is>
      </c>
      <c r="H28" s="9" t="inlineStr">
        <is>
          <t>1. Thực hiện 1 lượt tìm kiếm với từ khoá chắc chắn 0 kết quả.
2. Kiểm tra event log và thuật toán tính Trending Score có tính từ khoá này không.</t>
        </is>
      </c>
      <c r="I28" s="9" t="inlineStr">
        <is>
          <t>Từ khoá 0-kết-quả</t>
        </is>
      </c>
      <c r="J28" s="9" t="inlineStr">
        <is>
          <t>Từ khoá 0-kết-quả không được đưa vào tập tính Trending Score, đúng logic FR-PS-02 ("chỉ hiển thị/tính từ khoá có kết quả &gt; 0").</t>
        </is>
      </c>
      <c r="K28" s="9" t="inlineStr">
        <is>
          <t>Medium</t>
        </is>
      </c>
      <c r="L28" s="10" t="n"/>
      <c r="M28" s="10" t="inlineStr">
        <is>
          <t>Not Run</t>
        </is>
      </c>
      <c r="N28" s="10" t="n"/>
      <c r="O28" s="10" t="n"/>
      <c r="P28" s="9" t="n"/>
      <c r="Q28" s="9" t="n"/>
    </row>
    <row r="29" ht="76.5" customHeight="1">
      <c r="A29" s="9" t="inlineStr">
        <is>
          <t>INT-13-SC1-TC1</t>
        </is>
      </c>
      <c r="B29" s="9" t="inlineStr">
        <is>
          <t>INT-13-SC1</t>
        </is>
      </c>
      <c r="C29" s="9" t="inlineStr">
        <is>
          <t>Hiệu năng &amp; Khả năng chịu tải (Performance/NFR)</t>
        </is>
      </c>
      <c r="D29" s="9" t="inlineStr">
        <is>
          <t>NFR-001 đến NFR-005 (Search/Autocomplete/Image response time)</t>
        </is>
      </c>
      <c r="E29" s="9" t="inlineStr">
        <is>
          <t>Performance</t>
        </is>
      </c>
      <c r="F29" s="9" t="inlineStr">
        <is>
          <t>P95 thời gian phản hồi tìm kiếm ở tải đỉnh (peak load) vẫn trong SLA</t>
        </is>
      </c>
      <c r="G29" s="9" t="inlineStr">
        <is>
          <t>Môi trường load-test đã cấu hình mô phỏng traffic thực tế.</t>
        </is>
      </c>
      <c r="H29" s="9" t="inlineStr">
        <is>
          <t>1. Chạy load test mô phỏng tải gấp 5 lần tải trung bình hằng ngày trong 15 phút.
2. Đo P95 thời gian phản hồi API tìm kiếm trong suốt thời gian test.
3. Đo tỷ lệ lỗi (error rate) trong cùng khoảng thời gian.</t>
        </is>
      </c>
      <c r="I29" s="9" t="inlineStr">
        <is>
          <t>Tải = 5x trung bình, 15 phút</t>
        </is>
      </c>
      <c r="J29" s="9" t="inlineStr">
        <is>
          <t>P95 thời gian phản hồi ≤1.000ms (ngưỡng ngày cao điểm); error rate không vượt quá ngưỡng SLA đã thống nhất với team hạ tầng (thường ≤0.1-1%).</t>
        </is>
      </c>
      <c r="K29" s="9" t="inlineStr">
        <is>
          <t>High</t>
        </is>
      </c>
      <c r="L29" s="10" t="n"/>
      <c r="M29" s="10" t="inlineStr">
        <is>
          <t>Not Run</t>
        </is>
      </c>
      <c r="N29" s="10" t="n"/>
      <c r="O29" s="10" t="n"/>
      <c r="P29" s="9" t="n"/>
      <c r="Q29" s="9" t="n"/>
    </row>
    <row r="30" ht="102" customHeight="1">
      <c r="A30" s="9" t="inlineStr">
        <is>
          <t>INT-14-SC1-TC1</t>
        </is>
      </c>
      <c r="B30" s="9" t="inlineStr">
        <is>
          <t>INT-14-SC1</t>
        </is>
      </c>
      <c r="C30" s="9" t="inlineStr">
        <is>
          <t>Bảo mật &amp; Quyền riêng tư dữ liệu (Security/PDPL)</t>
        </is>
      </c>
      <c r="D30" s="9" t="inlineStr">
        <is>
          <t>RSK-05, DEP-08 (PDPL dependency)</t>
        </is>
      </c>
      <c r="E30" s="9" t="inlineStr">
        <is>
          <t>Security</t>
        </is>
      </c>
      <c r="F30" s="9" t="inlineStr">
        <is>
          <t>Không rò rỉ dữ liệu cá nhân hoá chéo giữa các tài khoản (data isolation)</t>
        </is>
      </c>
      <c r="G30" s="9" t="inlineStr">
        <is>
          <t>2 tài khoản test khác nhau, mỗi tài khoản có lịch sử mua hàng riêng biệt.</t>
        </is>
      </c>
      <c r="H30" s="9" t="inlineStr">
        <is>
          <t>1. Đăng nhập tài khoản A, gọi API "Thường mua", ghi lại danh sách SKU trả về.
2. Đăng nhập tài khoản B (khác hẳn lịch sử mua), gọi API "Thường mua", ghi lại danh sách SKU trả về.
3. Gửi đồng thời 2 request (A và B) và kiểm tra mỗi response có đúng khớp với tài khoản tương ứng không.</t>
        </is>
      </c>
      <c r="I30" s="9" t="inlineStr">
        <is>
          <t>Tài khoản A và B, lịch sử mua khác nhau hoàn toàn</t>
        </is>
      </c>
      <c r="J30" s="9" t="inlineStr">
        <is>
          <t>Response của tài khoản A chỉ chứa dữ liệu của A, response của B chỉ chứa dữ liệu của B — không có bất kỳ sự trộn lẫn/rò rỉ chéo nào, kể cả khi gọi đồng thời.</t>
        </is>
      </c>
      <c r="K30" s="9" t="inlineStr">
        <is>
          <t>High</t>
        </is>
      </c>
      <c r="L30" s="10" t="n"/>
      <c r="M30" s="10" t="inlineStr">
        <is>
          <t>Not Run</t>
        </is>
      </c>
      <c r="N30" s="10" t="n"/>
      <c r="O30" s="10" t="n"/>
      <c r="P30" s="9" t="n"/>
      <c r="Q30" s="9" t="n"/>
    </row>
    <row r="31" ht="102" customHeight="1">
      <c r="A31" s="9" t="inlineStr">
        <is>
          <t>INT-14-SC1-TC2</t>
        </is>
      </c>
      <c r="B31" s="9" t="inlineStr">
        <is>
          <t>INT-14-SC1</t>
        </is>
      </c>
      <c r="C31" s="9" t="inlineStr">
        <is>
          <t>Bảo mật &amp; Quyền riêng tư dữ liệu (Security/PDPL)</t>
        </is>
      </c>
      <c r="D31" s="9" t="inlineStr">
        <is>
          <t>RSK-05, DEP-08 (PDPL dependency)</t>
        </is>
      </c>
      <c r="E31" s="9" t="inlineStr">
        <is>
          <t>Security</t>
        </is>
      </c>
      <c r="F31" s="9" t="inlineStr">
        <is>
          <t>Phụ thuộc pháp lý PDPL (RSK-05/DEP-08) chặn go-live tính năng cá nhân hoá — chưa được giải quyết</t>
        </is>
      </c>
      <c r="G31" s="9" t="inlineStr">
        <is>
          <t>2 tài khoản test khác nhau, mỗi tài khoản có lịch sử mua hàng riêng biệt.</t>
        </is>
      </c>
      <c r="H31" s="9" t="inlineStr">
        <is>
          <t>1. Kiểm tra tài liệu pháp lý/compliance hiện tại về việc sử dụng Order History cho mục đích cá nhân hoá kết quả tìm kiếm.
2. Xác nhận đã có sự đồng ý (consent) hợp lệ từ khách hàng cho mục đích này chưa.</t>
        </is>
      </c>
      <c r="I31" s="9" t="inlineStr">
        <is>
          <t>N/A</t>
        </is>
      </c>
      <c r="J31" s="9" t="inlineStr">
        <is>
          <t>TBD — theo BRD, đây là RSK-05/DEP-08: phụ thuộc pháp lý PDPL (Personal Data Protection Law) CHƯA được giải quyết, có khả năng chặn go-live của toàn bộ tính năng cá nhân hoá ("Thường mua", ranking cá nhân hoá). Không chấm Pass/Fail cho tới khi Compliance/Legal xác nhận. Đây là rủi ro cấp cao nhất trong toàn bộ phạm vi test này.</t>
        </is>
      </c>
      <c r="K31" s="9" t="inlineStr">
        <is>
          <t>High</t>
        </is>
      </c>
      <c r="L31" s="10" t="n"/>
      <c r="M31" s="10" t="inlineStr">
        <is>
          <t>Not Run</t>
        </is>
      </c>
      <c r="N31" s="10" t="n"/>
      <c r="O31" s="10" t="n"/>
      <c r="P31" s="9" t="n"/>
      <c r="Q31" s="9" t="inlineStr">
        <is>
          <t>Rủi ro pháp lý đã được BA ghi nhận trong BRD (RSK-05/DEP-08) — không phải QC tự phát hiện, nhưng cần nhắc lại ở đây vì ảnh hưởng trực tiếp tới nhiều module tích hợp (INT-04, INT-11).</t>
        </is>
      </c>
    </row>
  </sheetData>
  <mergeCells count="1">
    <mergeCell ref="A1:Q1"/>
  </mergeCells>
  <dataValidations count="1">
    <dataValidation sqref="M3:M31" showDropDown="0" showInputMessage="0" showErrorMessage="0" allowBlank="1" type="list">
      <formula1>"Pass,Fail,Blocked,N/A,Not Run"</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82"/>
  <sheetViews>
    <sheetView showGridLines="0" zoomScaleNormal="100" workbookViewId="0">
      <selection activeCell="A1" sqref="A1"/>
    </sheetView>
  </sheetViews>
  <sheetFormatPr baseColWidth="8" defaultColWidth="8.7109375" defaultRowHeight="15"/>
  <cols>
    <col width="34" customWidth="1" min="1" max="1"/>
    <col width="16" customWidth="1" min="2" max="2"/>
    <col width="4" customWidth="1" min="3" max="3"/>
    <col width="34" customWidth="1" min="4" max="4"/>
    <col width="16" customWidth="1" min="5" max="5"/>
  </cols>
  <sheetData>
    <row r="1" ht="21.75" customHeight="1">
      <c r="A1" s="3" t="inlineStr">
        <is>
          <t>Aggregate Summary — Combined Test Suite (UI + Functional/Integration)</t>
        </is>
      </c>
    </row>
    <row r="3">
      <c r="A3" s="6" t="inlineStr">
        <is>
          <t>Overall Totals</t>
        </is>
      </c>
    </row>
    <row r="4">
      <c r="A4" s="6" t="inlineStr">
        <is>
          <t>Total Scenarios (UI + Functional)</t>
        </is>
      </c>
      <c r="B4" s="13">
        <f>COUNTA('UI Test Scenarios'!$B$3:$B$70)+COUNTA('Integration Test Scenarios'!$B$3:$B$22)</f>
        <v/>
      </c>
    </row>
    <row r="5">
      <c r="A5" s="6" t="inlineStr">
        <is>
          <t>Total Test Cases (UI + Functional)</t>
        </is>
      </c>
      <c r="B5" s="13">
        <f>COUNTA('UI Test Cases'!$A$3:$A$114)+COUNTA('Integration Test Cases'!$A$3:$A$31)</f>
        <v/>
      </c>
    </row>
    <row r="7">
      <c r="A7" s="6" t="inlineStr">
        <is>
          <t>UI Test Cases — By Test Result</t>
        </is>
      </c>
      <c r="D7" s="6" t="inlineStr">
        <is>
          <t>Functional Test Cases — By Test Result</t>
        </is>
      </c>
    </row>
    <row r="8">
      <c r="A8" s="13" t="inlineStr">
        <is>
          <t>Pass</t>
        </is>
      </c>
      <c r="B8" s="13">
        <f>COUNTIF('UI Test Cases'!$M$3:$M$114,"Pass")</f>
        <v/>
      </c>
      <c r="D8" s="13" t="inlineStr">
        <is>
          <t>Pass</t>
        </is>
      </c>
      <c r="E8" s="13">
        <f>COUNTIF('Integration Test Cases'!$M$3:$M$31,"Pass")</f>
        <v/>
      </c>
    </row>
    <row r="9">
      <c r="A9" s="13" t="inlineStr">
        <is>
          <t>Fail</t>
        </is>
      </c>
      <c r="B9" s="13">
        <f>COUNTIF('UI Test Cases'!$M$3:$M$114,"Fail")</f>
        <v/>
      </c>
      <c r="D9" s="13" t="inlineStr">
        <is>
          <t>Fail</t>
        </is>
      </c>
      <c r="E9" s="13">
        <f>COUNTIF('Integration Test Cases'!$M$3:$M$31,"Fail")</f>
        <v/>
      </c>
    </row>
    <row r="10">
      <c r="A10" s="13" t="inlineStr">
        <is>
          <t>Blocked</t>
        </is>
      </c>
      <c r="B10" s="13">
        <f>COUNTIF('UI Test Cases'!$M$3:$M$114,"Blocked")</f>
        <v/>
      </c>
      <c r="D10" s="13" t="inlineStr">
        <is>
          <t>Blocked</t>
        </is>
      </c>
      <c r="E10" s="13">
        <f>COUNTIF('Integration Test Cases'!$M$3:$M$31,"Blocked")</f>
        <v/>
      </c>
    </row>
    <row r="11">
      <c r="A11" s="13" t="inlineStr">
        <is>
          <t>N/A</t>
        </is>
      </c>
      <c r="B11" s="13">
        <f>COUNTIF('UI Test Cases'!$M$3:$M$114,"N/A")</f>
        <v/>
      </c>
      <c r="D11" s="13" t="inlineStr">
        <is>
          <t>N/A</t>
        </is>
      </c>
      <c r="E11" s="13">
        <f>COUNTIF('Integration Test Cases'!$M$3:$M$31,"N/A")</f>
        <v/>
      </c>
    </row>
    <row r="12">
      <c r="A12" s="13" t="inlineStr">
        <is>
          <t>Not Run</t>
        </is>
      </c>
      <c r="B12" s="13">
        <f>COUNTIF('UI Test Cases'!$M$3:$M$114,"Not Run")</f>
        <v/>
      </c>
      <c r="D12" s="13" t="inlineStr">
        <is>
          <t>Not Run</t>
        </is>
      </c>
      <c r="E12" s="13">
        <f>COUNTIF('Integration Test Cases'!$M$3:$M$31,"Not Run")</f>
        <v/>
      </c>
    </row>
    <row r="13">
      <c r="A13" s="6" t="inlineStr">
        <is>
          <t>Total</t>
        </is>
      </c>
      <c r="B13" s="6">
        <f>SUM(B8:B12)</f>
        <v/>
      </c>
      <c r="D13" s="6" t="inlineStr">
        <is>
          <t>Total</t>
        </is>
      </c>
      <c r="E13" s="6">
        <f>SUM(E8:E12)</f>
        <v/>
      </c>
    </row>
    <row r="14">
      <c r="A14" s="6" t="inlineStr">
        <is>
          <t>Total Scenarios</t>
        </is>
      </c>
      <c r="B14" s="13">
        <f>COUNTA('UI Test Scenarios'!$B$3:$B$70)</f>
        <v/>
      </c>
      <c r="D14" s="6" t="inlineStr">
        <is>
          <t>Total Scenarios</t>
        </is>
      </c>
      <c r="E14" s="13">
        <f>COUNTA('Integration Test Scenarios'!$B$3:$B$22)</f>
        <v/>
      </c>
    </row>
    <row r="15">
      <c r="A15" s="6" t="inlineStr">
        <is>
          <t>Total Test Cases</t>
        </is>
      </c>
      <c r="B15" s="13">
        <f>COUNTA('UI Test Cases'!$A$3:$A$114)</f>
        <v/>
      </c>
      <c r="D15" s="6" t="inlineStr">
        <is>
          <t>Total Test Cases</t>
        </is>
      </c>
      <c r="E15" s="13">
        <f>COUNTA('Integration Test Cases'!$A$3:$A$31)</f>
        <v/>
      </c>
    </row>
    <row r="16">
      <c r="A16" s="6" t="inlineStr">
        <is>
          <t>Linked to an Open QnA item</t>
        </is>
      </c>
      <c r="B16" s="13">
        <f>COUNTIF('UI Test Cases'!$P$3:$P$114,"QnA*")</f>
        <v/>
      </c>
      <c r="D16" s="6" t="inlineStr">
        <is>
          <t>Linked to an Open QnA item</t>
        </is>
      </c>
      <c r="E16" s="13">
        <f>COUNTIF('Integration Test Cases'!$P$3:$P$31,"QnA*")</f>
        <v/>
      </c>
    </row>
    <row r="18">
      <c r="A18" s="6" t="inlineStr">
        <is>
          <t>UI — By Capability Area</t>
        </is>
      </c>
    </row>
    <row r="19">
      <c r="A19" s="13" t="inlineStr">
        <is>
          <t>A. Search Bar &amp; Pre-search</t>
        </is>
      </c>
      <c r="B19" s="13">
        <f>COUNTIF('UI Test Scenarios'!$D$3:$D$70,"A. Search Bar &amp; Pre-search")</f>
        <v/>
      </c>
    </row>
    <row r="20">
      <c r="A20" s="13" t="inlineStr">
        <is>
          <t>B. Autocomplete</t>
        </is>
      </c>
      <c r="B20" s="13">
        <f>COUNTIF('UI Test Scenarios'!$D$3:$D$70,"B. Autocomplete")</f>
        <v/>
      </c>
    </row>
    <row r="21">
      <c r="A21" s="13" t="inlineStr">
        <is>
          <t>C. Auto-Correct Banner</t>
        </is>
      </c>
      <c r="B21" s="13">
        <f>COUNTIF('UI Test Scenarios'!$D$3:$D$70,"C. Auto-Correct Banner")</f>
        <v/>
      </c>
    </row>
    <row r="22">
      <c r="A22" s="13" t="inlineStr">
        <is>
          <t>D. Search Processing / Loading</t>
        </is>
      </c>
      <c r="B22" s="13">
        <f>COUNTIF('UI Test Scenarios'!$D$3:$D$70,"D. Search Processing / Loading")</f>
        <v/>
      </c>
    </row>
    <row r="23">
      <c r="A23" s="13" t="inlineStr">
        <is>
          <t>E. Search Results — Grid</t>
        </is>
      </c>
      <c r="B23" s="13">
        <f>COUNTIF('UI Test Scenarios'!$D$3:$D$70,"E. Search Results — Grid")</f>
        <v/>
      </c>
    </row>
    <row r="24">
      <c r="A24" s="13" t="inlineStr">
        <is>
          <t>F. Search Results — List</t>
        </is>
      </c>
      <c r="B24" s="13">
        <f>COUNTIF('UI Test Scenarios'!$D$3:$D$70,"F. Search Results — List")</f>
        <v/>
      </c>
    </row>
    <row r="25">
      <c r="A25" s="13" t="inlineStr">
        <is>
          <t>G. Sort</t>
        </is>
      </c>
      <c r="B25" s="13">
        <f>COUNTIF('UI Test Scenarios'!$D$3:$D$70,"G. Sort")</f>
        <v/>
      </c>
    </row>
    <row r="26">
      <c r="A26" s="13" t="inlineStr">
        <is>
          <t>H. Smart Filter / Detailed Filter</t>
        </is>
      </c>
      <c r="B26" s="13">
        <f>COUNTIF('UI Test Scenarios'!$D$3:$D$70,"H. Smart Filter / Detailed Filter")</f>
        <v/>
      </c>
    </row>
    <row r="27">
      <c r="A27" s="13" t="inlineStr">
        <is>
          <t>I. Filter Applied State</t>
        </is>
      </c>
      <c r="B27" s="13">
        <f>COUNTIF('UI Test Scenarios'!$D$3:$D$70,"I. Filter Applied State")</f>
        <v/>
      </c>
    </row>
    <row r="28">
      <c r="A28" s="13" t="inlineStr">
        <is>
          <t>J. Add to Cart</t>
        </is>
      </c>
      <c r="B28" s="13">
        <f>COUNTIF('UI Test Scenarios'!$D$3:$D$70,"J. Add to Cart")</f>
        <v/>
      </c>
    </row>
    <row r="29">
      <c r="A29" s="13" t="inlineStr">
        <is>
          <t>K. Zero-Result Recovery</t>
        </is>
      </c>
      <c r="B29" s="13">
        <f>COUNTIF('UI Test Scenarios'!$D$3:$D$70,"K. Zero-Result Recovery")</f>
        <v/>
      </c>
    </row>
    <row r="30">
      <c r="A30" s="13" t="inlineStr">
        <is>
          <t>L. Image Search — Camera</t>
        </is>
      </c>
      <c r="B30" s="13">
        <f>COUNTIF('UI Test Scenarios'!$D$3:$D$70,"L. Image Search — Camera")</f>
        <v/>
      </c>
    </row>
    <row r="31">
      <c r="A31" s="13" t="inlineStr">
        <is>
          <t>M. Image Search — Gallery</t>
        </is>
      </c>
      <c r="B31" s="13">
        <f>COUNTIF('UI Test Scenarios'!$D$3:$D$70,"M. Image Search — Gallery")</f>
        <v/>
      </c>
    </row>
    <row r="32">
      <c r="A32" s="13" t="inlineStr">
        <is>
          <t>N. Image Search — Recognition Result</t>
        </is>
      </c>
      <c r="B32" s="13">
        <f>COUNTIF('UI Test Scenarios'!$D$3:$D$70,"N. Image Search — Recognition Result")</f>
        <v/>
      </c>
    </row>
    <row r="33">
      <c r="A33" s="13" t="inlineStr">
        <is>
          <t>O. Image Search — Fail</t>
        </is>
      </c>
      <c r="B33" s="13">
        <f>COUNTIF('UI Test Scenarios'!$D$3:$D$70,"O. Image Search — Fail")</f>
        <v/>
      </c>
    </row>
    <row r="34">
      <c r="A34" s="13" t="inlineStr">
        <is>
          <t>P. Voice Search — Listening</t>
        </is>
      </c>
      <c r="B34" s="13">
        <f>COUNTIF('UI Test Scenarios'!$D$3:$D$70,"P. Voice Search — Listening")</f>
        <v/>
      </c>
    </row>
    <row r="35">
      <c r="A35" s="13" t="inlineStr">
        <is>
          <t>Q. Voice Search — Result</t>
        </is>
      </c>
      <c r="B35" s="13">
        <f>COUNTIF('UI Test Scenarios'!$D$3:$D$70,"Q. Voice Search — Result")</f>
        <v/>
      </c>
    </row>
    <row r="36">
      <c r="A36" s="13" t="inlineStr">
        <is>
          <t>R. Voice Search — Fail</t>
        </is>
      </c>
      <c r="B36" s="13">
        <f>COUNTIF('UI Test Scenarios'!$D$3:$D$70,"R. Voice Search — Fail")</f>
        <v/>
      </c>
    </row>
    <row r="37">
      <c r="A37" s="6" t="inlineStr">
        <is>
          <t>Total</t>
        </is>
      </c>
      <c r="B37" s="6">
        <f>SUM(B19:B36)</f>
        <v/>
      </c>
    </row>
    <row r="39">
      <c r="A39" s="6" t="inlineStr">
        <is>
          <t>Functional — By Module</t>
        </is>
      </c>
    </row>
    <row r="40">
      <c r="A40" s="13" t="inlineStr">
        <is>
          <t>INT-01 — Công cụ xếp hạng tìm kiếm (Search Ranking Engine)</t>
        </is>
      </c>
      <c r="B40" s="13">
        <f>COUNTIF('Integration Test Scenarios'!$C$3:$C$22,"Công cụ xếp hạng tìm kiếm (Search Ranking Engine)")</f>
        <v/>
      </c>
    </row>
    <row r="41">
      <c r="A41" s="13" t="inlineStr">
        <is>
          <t>INT-02 — Hiểu truy vấn — Đồng nghĩa &amp; Đa ngôn ngữ (Query Understanding)</t>
        </is>
      </c>
      <c r="B41" s="13">
        <f>COUNTIF('Integration Test Scenarios'!$C$3:$C$22,"Hiểu truy vấn — Đồng nghĩa &amp; Đa ngôn ngữ (Query Understanding)")</f>
        <v/>
      </c>
    </row>
    <row r="42">
      <c r="A42" s="13" t="inlineStr">
        <is>
          <t>INT-03 — Autocomplete &amp; Sửa lỗi chính tả — Backend</t>
        </is>
      </c>
      <c r="B42" s="13">
        <f>COUNTIF('Integration Test Scenarios'!$C$3:$C$22,"Autocomplete &amp; Sửa lỗi chính tả — Backend")</f>
        <v/>
      </c>
    </row>
    <row r="43">
      <c r="A43" s="13" t="inlineStr">
        <is>
          <t>INT-04 — Cá nhân hoá — Tích hợp OMS (Order History)</t>
        </is>
      </c>
      <c r="B43" s="13">
        <f>COUNTIF('Integration Test Scenarios'!$C$3:$C$22,"Cá nhân hoá — Tích hợp OMS (Order History)")</f>
        <v/>
      </c>
    </row>
    <row r="44">
      <c r="A44" s="13" t="inlineStr">
        <is>
          <t>INT-05 — Sponsored Ads — Tích hợp Retail Media</t>
        </is>
      </c>
      <c r="B44" s="13">
        <f>COUNTIF('Integration Test Scenarios'!$C$3:$C$22,"Sponsored Ads — Tích hợp Retail Media")</f>
        <v/>
      </c>
    </row>
    <row r="45">
      <c r="A45" s="13" t="inlineStr">
        <is>
          <t>INT-06 — Tìm bằng ảnh — Tích hợp Computer Vision Service</t>
        </is>
      </c>
      <c r="B45" s="13">
        <f>COUNTIF('Integration Test Scenarios'!$C$3:$C$22,"Tìm bằng ảnh — Tích hợp Computer Vision Service")</f>
        <v/>
      </c>
    </row>
    <row r="46">
      <c r="A46" s="13" t="inlineStr">
        <is>
          <t>INT-07 — Tìm bằng giọng nói — Tích hợp Speech-to-Text Service</t>
        </is>
      </c>
      <c r="B46" s="13">
        <f>COUNTIF('Integration Test Scenarios'!$C$3:$C$22,"Tìm bằng giọng nói — Tích hợp Speech-to-Text Service")</f>
        <v/>
      </c>
    </row>
    <row r="47">
      <c r="A47" s="13" t="inlineStr">
        <is>
          <t>INT-08 — Thêm giỏ hàng — Tích hợp Cart/OMS Transactional</t>
        </is>
      </c>
      <c r="B47" s="13">
        <f>COUNTIF('Integration Test Scenarios'!$C$3:$C$22,"Thêm giỏ hàng — Tích hợp Cart/OMS Transactional")</f>
        <v/>
      </c>
    </row>
    <row r="48">
      <c r="A48" s="13" t="inlineStr">
        <is>
          <t>INT-09 — Catalog &amp; Inventory — Đồng bộ tồn kho thời gian thực</t>
        </is>
      </c>
      <c r="B48" s="13">
        <f>COUNTIF('Integration Test Scenarios'!$C$3:$C$22,"Catalog &amp; Inventory — Đồng bộ tồn kho thời gian thực")</f>
        <v/>
      </c>
    </row>
    <row r="49">
      <c r="A49" s="13" t="inlineStr">
        <is>
          <t>INT-10 — Zero-Result Fallback Engine — Thuật toán gợi ý thay thế</t>
        </is>
      </c>
      <c r="B49" s="13">
        <f>COUNTIF('Integration Test Scenarios'!$C$3:$C$22,"Zero-Result Fallback Engine — Thuật toán gợi ý thay thế")</f>
        <v/>
      </c>
    </row>
    <row r="50">
      <c r="A50" s="13" t="inlineStr">
        <is>
          <t>INT-11 — Auth &amp; Session — Guest vs Member</t>
        </is>
      </c>
      <c r="B50" s="13">
        <f>COUNTIF('Integration Test Scenarios'!$C$3:$C$22,"Auth &amp; Session — Guest vs Member")</f>
        <v/>
      </c>
    </row>
    <row r="51">
      <c r="A51" s="13" t="inlineStr">
        <is>
          <t>INT-12 — Analytics &amp; Event Logging</t>
        </is>
      </c>
      <c r="B51" s="13">
        <f>COUNTIF('Integration Test Scenarios'!$C$3:$C$22,"Analytics &amp; Event Logging")</f>
        <v/>
      </c>
    </row>
    <row r="52">
      <c r="A52" s="13" t="inlineStr">
        <is>
          <t>INT-13 — Hiệu năng &amp; Khả năng chịu tải (Performance/NFR)</t>
        </is>
      </c>
      <c r="B52" s="13">
        <f>COUNTIF('Integration Test Scenarios'!$C$3:$C$22,"Hiệu năng &amp; Khả năng chịu tải (Performance/NFR)")</f>
        <v/>
      </c>
    </row>
    <row r="53">
      <c r="A53" s="13" t="inlineStr">
        <is>
          <t>INT-14 — Bảo mật &amp; Quyền riêng tư dữ liệu (Security/PDPL)</t>
        </is>
      </c>
      <c r="B53" s="13">
        <f>COUNTIF('Integration Test Scenarios'!$C$3:$C$22,"Bảo mật &amp; Quyền riêng tư dữ liệu (Security/PDPL)")</f>
        <v/>
      </c>
    </row>
    <row r="54">
      <c r="A54" s="6" t="inlineStr">
        <is>
          <t>Total</t>
        </is>
      </c>
      <c r="B54" s="6">
        <f>SUM(B40:B53)</f>
        <v/>
      </c>
    </row>
    <row r="56">
      <c r="A56" s="6" t="inlineStr">
        <is>
          <t>UI — By Test Case Type</t>
        </is>
      </c>
    </row>
    <row r="57">
      <c r="A57" s="13" t="inlineStr">
        <is>
          <t>Normal</t>
        </is>
      </c>
      <c r="B57" s="13">
        <f>COUNTIF('UI Test Cases'!$E$3:$E$114,"Normal")</f>
        <v/>
      </c>
    </row>
    <row r="58">
      <c r="A58" s="13" t="inlineStr">
        <is>
          <t>Functional</t>
        </is>
      </c>
      <c r="B58" s="13">
        <f>COUNTIF('UI Test Cases'!$E$3:$E$114,"Functional")</f>
        <v/>
      </c>
    </row>
    <row r="59">
      <c r="A59" s="13" t="inlineStr">
        <is>
          <t>Validation</t>
        </is>
      </c>
      <c r="B59" s="13">
        <f>COUNTIF('UI Test Cases'!$E$3:$E$114,"Validation")</f>
        <v/>
      </c>
    </row>
    <row r="60">
      <c r="A60" s="13" t="inlineStr">
        <is>
          <t>Negative</t>
        </is>
      </c>
      <c r="B60" s="13">
        <f>COUNTIF('UI Test Cases'!$E$3:$E$114,"Negative")</f>
        <v/>
      </c>
    </row>
    <row r="61">
      <c r="A61" s="13" t="inlineStr">
        <is>
          <t>Boundary</t>
        </is>
      </c>
      <c r="B61" s="13">
        <f>COUNTIF('UI Test Cases'!$E$3:$E$114,"Boundary")</f>
        <v/>
      </c>
    </row>
    <row r="62">
      <c r="A62" s="13" t="inlineStr">
        <is>
          <t>Edge</t>
        </is>
      </c>
      <c r="B62" s="13">
        <f>COUNTIF('UI Test Cases'!$E$3:$E$114,"Edge")</f>
        <v/>
      </c>
    </row>
    <row r="63">
      <c r="A63" s="13" t="inlineStr">
        <is>
          <t>Exception</t>
        </is>
      </c>
      <c r="B63" s="13">
        <f>COUNTIF('UI Test Cases'!$E$3:$E$114,"Exception")</f>
        <v/>
      </c>
    </row>
    <row r="64">
      <c r="A64" s="13" t="inlineStr">
        <is>
          <t>Integration</t>
        </is>
      </c>
      <c r="B64" s="13">
        <f>COUNTIF('UI Test Cases'!$E$3:$E$114,"Integration")</f>
        <v/>
      </c>
    </row>
    <row r="65">
      <c r="A65" s="13" t="inlineStr">
        <is>
          <t>Performance</t>
        </is>
      </c>
      <c r="B65" s="13">
        <f>COUNTIF('UI Test Cases'!$E$3:$E$114,"Performance")</f>
        <v/>
      </c>
    </row>
    <row r="66">
      <c r="A66" s="13" t="inlineStr">
        <is>
          <t>Sponsored</t>
        </is>
      </c>
      <c r="B66" s="13">
        <f>COUNTIF('UI Test Cases'!$E$3:$E$114,"Sponsored")</f>
        <v/>
      </c>
    </row>
    <row r="67">
      <c r="A67" s="13" t="inlineStr">
        <is>
          <t>Ranking</t>
        </is>
      </c>
      <c r="B67" s="13">
        <f>COUNTIF('UI Test Cases'!$E$3:$E$114,"Ranking")</f>
        <v/>
      </c>
    </row>
    <row r="68">
      <c r="A68" s="13" t="inlineStr">
        <is>
          <t>No-result</t>
        </is>
      </c>
      <c r="B68" s="13">
        <f>COUNTIF('UI Test Cases'!$E$3:$E$114,"No-result")</f>
        <v/>
      </c>
    </row>
    <row r="69">
      <c r="A69" s="13" t="inlineStr">
        <is>
          <t>Typo</t>
        </is>
      </c>
      <c r="B69" s="13">
        <f>COUNTIF('UI Test Cases'!$E$3:$E$114,"Typo")</f>
        <v/>
      </c>
    </row>
    <row r="70">
      <c r="A70" s="13" t="inlineStr">
        <is>
          <t>Sort</t>
        </is>
      </c>
      <c r="B70" s="13">
        <f>COUNTIF('UI Test Cases'!$E$3:$E$114,"Sort")</f>
        <v/>
      </c>
    </row>
    <row r="71">
      <c r="A71" s="13" t="inlineStr">
        <is>
          <t>Filter</t>
        </is>
      </c>
      <c r="B71" s="13">
        <f>COUNTIF('UI Test Cases'!$E$3:$E$114,"Filter")</f>
        <v/>
      </c>
    </row>
    <row r="72">
      <c r="A72" s="6" t="inlineStr">
        <is>
          <t>Total</t>
        </is>
      </c>
      <c r="B72" s="6">
        <f>SUM(B57:B71)</f>
        <v/>
      </c>
    </row>
    <row r="74">
      <c r="A74" s="6" t="inlineStr">
        <is>
          <t>Functional — By Test Case Type</t>
        </is>
      </c>
    </row>
    <row r="75">
      <c r="A75" s="13" t="inlineStr">
        <is>
          <t>Functional</t>
        </is>
      </c>
      <c r="B75" s="13">
        <f>COUNTIF('Integration Test Cases'!$E$3:$E$31,"Functional")</f>
        <v/>
      </c>
    </row>
    <row r="76">
      <c r="A76" s="13" t="inlineStr">
        <is>
          <t>Behavior</t>
        </is>
      </c>
      <c r="B76" s="13">
        <f>COUNTIF('Integration Test Cases'!$E$3:$E$31,"Behavior")</f>
        <v/>
      </c>
    </row>
    <row r="77">
      <c r="A77" s="13" t="inlineStr">
        <is>
          <t>Integration</t>
        </is>
      </c>
      <c r="B77" s="13">
        <f>COUNTIF('Integration Test Cases'!$E$3:$E$31,"Integration")</f>
        <v/>
      </c>
    </row>
    <row r="78">
      <c r="A78" s="13" t="inlineStr">
        <is>
          <t>Boundary</t>
        </is>
      </c>
      <c r="B78" s="13">
        <f>COUNTIF('Integration Test Cases'!$E$3:$E$31,"Boundary")</f>
        <v/>
      </c>
    </row>
    <row r="79">
      <c r="A79" s="13" t="inlineStr">
        <is>
          <t>Negative</t>
        </is>
      </c>
      <c r="B79" s="13">
        <f>COUNTIF('Integration Test Cases'!$E$3:$E$31,"Negative")</f>
        <v/>
      </c>
    </row>
    <row r="80">
      <c r="A80" s="13" t="inlineStr">
        <is>
          <t>Performance</t>
        </is>
      </c>
      <c r="B80" s="13">
        <f>COUNTIF('Integration Test Cases'!$E$3:$E$31,"Performance")</f>
        <v/>
      </c>
    </row>
    <row r="81">
      <c r="A81" s="13" t="inlineStr">
        <is>
          <t>Security</t>
        </is>
      </c>
      <c r="B81" s="13">
        <f>COUNTIF('Integration Test Cases'!$E$3:$E$31,"Security")</f>
        <v/>
      </c>
    </row>
    <row r="82">
      <c r="A82" s="6" t="inlineStr">
        <is>
          <t>Total</t>
        </is>
      </c>
      <c r="B82" s="6">
        <f>SUM(B75:B81)</f>
        <v/>
      </c>
    </row>
  </sheetData>
  <mergeCells count="1">
    <mergeCell ref="A1:E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C12"/>
  <sheetViews>
    <sheetView showGridLines="0" zoomScaleNormal="100" workbookViewId="0">
      <selection activeCell="B27" sqref="B27"/>
    </sheetView>
  </sheetViews>
  <sheetFormatPr baseColWidth="8" defaultColWidth="8.7109375" defaultRowHeight="15"/>
  <cols>
    <col width="28" customWidth="1" min="1" max="1"/>
    <col width="60" customWidth="1" min="2" max="2"/>
    <col width="20" customWidth="1" min="3" max="3"/>
  </cols>
  <sheetData>
    <row r="1" ht="21.75" customHeight="1">
      <c r="A1" s="2" t="inlineStr">
        <is>
          <t>Integration Points Reference</t>
        </is>
      </c>
    </row>
    <row r="3">
      <c r="A3" s="12" t="inlineStr">
        <is>
          <t>System/Service</t>
        </is>
      </c>
      <c r="B3" s="12" t="inlineStr">
        <is>
          <t>Role in Smart Search</t>
        </is>
      </c>
      <c r="C3" s="12" t="inlineStr">
        <is>
          <t>Modules Using It</t>
        </is>
      </c>
    </row>
    <row r="4" ht="25.5" customHeight="1">
      <c r="A4" s="9" t="inlineStr">
        <is>
          <t>Search Service (core)</t>
        </is>
      </c>
      <c r="B4" s="9" t="inlineStr">
        <is>
          <t>Nhận truy vấn, chạy Query Understanding, gọi Ranking Engine, tổng hợp response cuối cùng.</t>
        </is>
      </c>
      <c r="C4" s="9" t="inlineStr">
        <is>
          <t>INT-01, INT-02, INT-03</t>
        </is>
      </c>
    </row>
    <row r="5" ht="25.5" customHeight="1">
      <c r="A5" s="9" t="inlineStr">
        <is>
          <t>OMS (Order Management System)</t>
        </is>
      </c>
      <c r="B5" s="9" t="inlineStr">
        <is>
          <t>Cung cấp Order History để tính "Thường mua" và trạng thái giỏ hàng.</t>
        </is>
      </c>
      <c r="C5" s="9" t="inlineStr">
        <is>
          <t>INT-04, INT-08</t>
        </is>
      </c>
    </row>
    <row r="6" ht="25.5" customHeight="1">
      <c r="A6" s="9" t="inlineStr">
        <is>
          <t>Retail Media Platform</t>
        </is>
      </c>
      <c r="B6" s="9" t="inlineStr">
        <is>
          <t>Cung cấp danh sách sản phẩm Sponsored theo chiến dịch quảng cáo đang chạy.</t>
        </is>
      </c>
      <c r="C6" s="9" t="inlineStr">
        <is>
          <t>INT-05</t>
        </is>
      </c>
    </row>
    <row r="7">
      <c r="A7" s="9" t="inlineStr">
        <is>
          <t>Computer Vision (CV) Service</t>
        </is>
      </c>
      <c r="B7" s="9" t="inlineStr">
        <is>
          <t>Nhận diện sản phẩm từ ảnh, trả về nhãn/embedding kèm độ tin cậy.</t>
        </is>
      </c>
      <c r="C7" s="9" t="inlineStr">
        <is>
          <t>INT-06</t>
        </is>
      </c>
    </row>
    <row r="8">
      <c r="A8" s="9" t="inlineStr">
        <is>
          <t>Speech-to-Text (STT) Service</t>
        </is>
      </c>
      <c r="B8" s="9" t="inlineStr">
        <is>
          <t>Chuyển giọng nói thành văn bản (transcript) kèm độ tin cậy.</t>
        </is>
      </c>
      <c r="C8" s="9" t="inlineStr">
        <is>
          <t>INT-07</t>
        </is>
      </c>
    </row>
    <row r="9">
      <c r="A9" s="9" t="inlineStr">
        <is>
          <t>Inventory Service</t>
        </is>
      </c>
      <c r="B9" s="9" t="inlineStr">
        <is>
          <t>Cung cấp trạng thái tồn kho thời gian thực cho Search Index.</t>
        </is>
      </c>
      <c r="C9" s="9" t="inlineStr">
        <is>
          <t>INT-09</t>
        </is>
      </c>
    </row>
    <row r="10" ht="25.5" customHeight="1">
      <c r="A10" s="9" t="inlineStr">
        <is>
          <t>Zero-Result Fallback Engine</t>
        </is>
      </c>
      <c r="B10" s="9" t="inlineStr">
        <is>
          <t>Tính Substitute (vector similarity) và Cross-sell (basket analysis) khi 0 kết quả.</t>
        </is>
      </c>
      <c r="C10" s="9" t="inlineStr">
        <is>
          <t>INT-10</t>
        </is>
      </c>
    </row>
    <row r="11">
      <c r="A11" s="9" t="inlineStr">
        <is>
          <t>Auth/Membership Service</t>
        </is>
      </c>
      <c r="B11" s="9" t="inlineStr">
        <is>
          <t>Xác thực Token, phân biệt Guest/Member.</t>
        </is>
      </c>
      <c r="C11" s="9" t="inlineStr">
        <is>
          <t>INT-11</t>
        </is>
      </c>
    </row>
    <row r="12">
      <c r="A12" s="9" t="inlineStr">
        <is>
          <t>Analytics Pipeline</t>
        </is>
      </c>
      <c r="B12" s="9" t="inlineStr">
        <is>
          <t>Ghi nhận sự kiện tìm kiếm để tính Trending Score và báo cáo.</t>
        </is>
      </c>
      <c r="C12" s="9" t="inlineStr">
        <is>
          <t>INT-12</t>
        </is>
      </c>
    </row>
  </sheetData>
  <mergeCells count="1">
    <mergeCell ref="A1:C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J47"/>
  <sheetViews>
    <sheetView showGridLines="0" zoomScaleNormal="100" workbookViewId="0">
      <selection activeCell="A1" sqref="A1:J1"/>
    </sheetView>
  </sheetViews>
  <sheetFormatPr baseColWidth="8" defaultColWidth="8.7109375" defaultRowHeight="15"/>
  <cols>
    <col width="16" customWidth="1" min="1" max="1"/>
    <col width="40" customWidth="1" min="2" max="2"/>
    <col width="26" customWidth="1" min="3" max="3"/>
    <col width="24" customWidth="1" min="4" max="4"/>
    <col width="18" customWidth="1" min="5" max="5"/>
    <col width="30" customWidth="1" min="6" max="6"/>
    <col width="24" customWidth="1" min="7" max="7"/>
    <col width="20" customWidth="1" min="8" max="8"/>
    <col width="30" customWidth="1" min="9" max="9"/>
    <col width="34" customWidth="1" min="10" max="10"/>
  </cols>
  <sheetData>
    <row r="1" ht="21.75" customHeight="1">
      <c r="A1" s="3" t="inlineStr">
        <is>
          <t>Test Data — Smart Search (khung chờ dữ liệu sản phẩm thật)</t>
        </is>
      </c>
    </row>
    <row r="2" ht="45.75" customHeight="1">
      <c r="A2" s="1" t="inlineStr">
        <is>
          <t>LƯU Ý: Sheet này là KHUNG (template) chờ team Merchandising/OMS cung cấp dữ liệu sản phẩm thật (SKU, tên, danh mục, giá, tồn kho, hình ảnh...). Các test case ở sheet 'UI Test Cases' và 'Functional Test Cases' hiện dùng dữ liệu mẫu minh hoạ trong ngoặc kép (VD: "sữa", "sua toui", "Bia Corona") lấy trực tiếp từ BRD/Storyboard — cần thay bằng SKU ID / Product ID thật khi có dữ liệu, để test case thực thi được trên môi trường UAT.</t>
        </is>
      </c>
    </row>
    <row r="4">
      <c r="A4" s="6" t="inlineStr">
        <is>
          <t>1) Bộ từ khoá test (Search Keywords)</t>
        </is>
      </c>
    </row>
    <row r="5">
      <c r="A5" s="8" t="inlineStr">
        <is>
          <t>Keyword ID</t>
        </is>
      </c>
      <c r="B5" s="8" t="inlineStr">
        <is>
          <t>Từ khoá / Input</t>
        </is>
      </c>
      <c r="C5" s="8" t="inlineStr">
        <is>
          <t>Mục đích sử dụng</t>
        </is>
      </c>
      <c r="D5" s="8" t="inlineStr">
        <is>
          <t>Test Case ID liên quan</t>
        </is>
      </c>
      <c r="E5" s="8" t="inlineStr">
        <is>
          <t>Ngôn ngữ</t>
        </is>
      </c>
      <c r="F5" s="8" t="inlineStr">
        <is>
          <t>Kỳ vọng số kết quả (đã biết)</t>
        </is>
      </c>
    </row>
    <row r="6" ht="25.5" customHeight="1">
      <c r="A6" s="9" t="inlineStr">
        <is>
          <t>KW-01</t>
        </is>
      </c>
      <c r="B6" s="9" t="inlineStr">
        <is>
          <t>sữa</t>
        </is>
      </c>
      <c r="C6" s="9" t="inlineStr">
        <is>
          <t>Autocomplete / Filter / Sort — happy path</t>
        </is>
      </c>
      <c r="D6" s="9" t="inlineStr">
        <is>
          <t>SS-SCR-002-SC1-TC1, SS-SCR-005-SC1-TC1</t>
        </is>
      </c>
      <c r="E6" s="9" t="inlineStr">
        <is>
          <t>VI</t>
        </is>
      </c>
      <c r="F6" s="9" t="inlineStr">
        <is>
          <t>TBD — chờ dữ liệu catalogue thật</t>
        </is>
      </c>
    </row>
    <row r="7" ht="25.5" customHeight="1">
      <c r="A7" s="9" t="inlineStr">
        <is>
          <t>KW-02</t>
        </is>
      </c>
      <c r="B7" s="9" t="inlineStr">
        <is>
          <t>sua toui</t>
        </is>
      </c>
      <c r="C7" s="9" t="inlineStr">
        <is>
          <t>Test Auto-correct (không dấu + sai chính tả)</t>
        </is>
      </c>
      <c r="D7" s="9" t="inlineStr">
        <is>
          <t>SS-SCR-003-SC1-TC1</t>
        </is>
      </c>
      <c r="E7" s="9" t="inlineStr">
        <is>
          <t>VI (không dấu)</t>
        </is>
      </c>
      <c r="F7" s="9" t="inlineStr">
        <is>
          <t>TBD</t>
        </is>
      </c>
    </row>
    <row r="8" ht="25.5" customHeight="1">
      <c r="A8" s="9" t="inlineStr">
        <is>
          <t>KW-03</t>
        </is>
      </c>
      <c r="B8" s="9" t="inlineStr">
        <is>
          <t>Milo</t>
        </is>
      </c>
      <c r="C8" s="9" t="inlineStr">
        <is>
          <t>Test KHÔNG auto-correct (brand hợp lệ)</t>
        </is>
      </c>
      <c r="D8" s="9" t="inlineStr">
        <is>
          <t>SS-SCR-003-SC2-TC1</t>
        </is>
      </c>
      <c r="E8" s="9" t="inlineStr">
        <is>
          <t>EN/VI (brand)</t>
        </is>
      </c>
      <c r="F8" s="9" t="inlineStr">
        <is>
          <t>TBD</t>
        </is>
      </c>
    </row>
    <row r="9">
      <c r="A9" s="9" t="inlineStr">
        <is>
          <t>KW-04</t>
        </is>
      </c>
      <c r="B9" s="9" t="inlineStr">
        <is>
          <t>xịt muỗi Tesla</t>
        </is>
      </c>
      <c r="C9" s="9" t="inlineStr">
        <is>
          <t>Zero Result</t>
        </is>
      </c>
      <c r="D9" s="9" t="inlineStr">
        <is>
          <t>SS-SCR-012-SC1-TC1</t>
        </is>
      </c>
      <c r="E9" s="9" t="inlineStr">
        <is>
          <t>VI</t>
        </is>
      </c>
      <c r="F9" s="9" t="inlineStr">
        <is>
          <t>0 (kỳ vọng zero-result)</t>
        </is>
      </c>
    </row>
    <row r="10" ht="51" customHeight="1">
      <c r="A10" s="9" t="inlineStr">
        <is>
          <t>KW-05</t>
        </is>
      </c>
      <c r="B10" s="9" t="inlineStr">
        <is>
          <t>Bia Corona</t>
        </is>
      </c>
      <c r="C10" s="9" t="inlineStr">
        <is>
          <t>Zero Result — Substitute/Cross-sell (SKU cần thiết lập hết hàng); dùng chung cho INT-10</t>
        </is>
      </c>
      <c r="D10" s="9" t="inlineStr">
        <is>
          <t>SS-SCR-012-SC1-TC2, INT-10-SC1-TC1</t>
        </is>
      </c>
      <c r="E10" s="9" t="inlineStr">
        <is>
          <t>VI</t>
        </is>
      </c>
      <c r="F10" s="9" t="inlineStr">
        <is>
          <t>0 trực tiếp, có Substitute</t>
        </is>
      </c>
    </row>
    <row r="11">
      <c r="A11" s="9" t="inlineStr">
        <is>
          <t>KW-06</t>
        </is>
      </c>
      <c r="B11" s="9" t="inlineStr">
        <is>
          <t>x</t>
        </is>
      </c>
      <c r="C11" s="9" t="inlineStr">
        <is>
          <t>Autocomplete — API rỗng</t>
        </is>
      </c>
      <c r="D11" s="9" t="inlineStr">
        <is>
          <t>SS-SCR-002-SC2-TC1</t>
        </is>
      </c>
      <c r="E11" s="9" t="inlineStr">
        <is>
          <t>VI</t>
        </is>
      </c>
      <c r="F11" s="9" t="inlineStr">
        <is>
          <t>0 gợi ý</t>
        </is>
      </c>
    </row>
    <row r="12" ht="25.5" customHeight="1">
      <c r="A12" s="9" t="inlineStr">
        <is>
          <t>KW-07</t>
        </is>
      </c>
      <c r="B12" s="9" t="inlineStr">
        <is>
          <t>sữa chua</t>
        </is>
      </c>
      <c r="C12" s="9" t="inlineStr">
        <is>
          <t>Sponsored label test; dùng chung cho INT-05</t>
        </is>
      </c>
      <c r="D12" s="9" t="inlineStr">
        <is>
          <t>SS-SCR-005-SC2-TC1, INT-05-SC1-TC1</t>
        </is>
      </c>
      <c r="E12" s="9" t="inlineStr">
        <is>
          <t>VI</t>
        </is>
      </c>
      <c r="F12" s="9" t="inlineStr">
        <is>
          <t>TBD — cần ≥1 SKU sponsored</t>
        </is>
      </c>
    </row>
    <row r="13" ht="25.5" customHeight="1">
      <c r="A13" s="9" t="inlineStr">
        <is>
          <t>KW-08</t>
        </is>
      </c>
      <c r="B13" s="9" t="inlineStr">
        <is>
          <t>yogurt</t>
        </is>
      </c>
      <c r="C13" s="9" t="inlineStr">
        <is>
          <t>Đồng nghĩa tiếng Anh — dùng cho INT-02</t>
        </is>
      </c>
      <c r="D13" s="9" t="inlineStr">
        <is>
          <t>INT-02-SC1-TC1</t>
        </is>
      </c>
      <c r="E13" s="9" t="inlineStr">
        <is>
          <t>EN</t>
        </is>
      </c>
      <c r="F13" s="9" t="inlineStr">
        <is>
          <t>TBD</t>
        </is>
      </c>
    </row>
    <row r="15">
      <c r="A15" s="6" t="inlineStr">
        <is>
          <t>2) Khung dữ liệu SKU test (chờ team cung cấp)</t>
        </is>
      </c>
    </row>
    <row r="16">
      <c r="A16" s="8" t="inlineStr">
        <is>
          <t>SKU ID</t>
        </is>
      </c>
      <c r="B16" s="8" t="inlineStr">
        <is>
          <t>Product Name</t>
        </is>
      </c>
      <c r="C16" s="8" t="inlineStr">
        <is>
          <t>Category</t>
        </is>
      </c>
      <c r="D16" s="8" t="inlineStr">
        <is>
          <t>Price (VND)</t>
        </is>
      </c>
      <c r="E16" s="8" t="inlineStr">
        <is>
          <t>Stock</t>
        </is>
      </c>
      <c r="F16" s="8" t="inlineStr">
        <is>
          <t>Sponsored? (Y/N)</t>
        </is>
      </c>
      <c r="G16" s="8" t="inlineStr">
        <is>
          <t>Image URL/Asset</t>
        </is>
      </c>
      <c r="H16" s="8" t="inlineStr">
        <is>
          <t>Tags (Nhãn)</t>
        </is>
      </c>
      <c r="I16" s="8" t="inlineStr">
        <is>
          <t>Dùng cho Test Case</t>
        </is>
      </c>
      <c r="J16" s="8" t="inlineStr">
        <is>
          <t>Ghi chú</t>
        </is>
      </c>
    </row>
    <row r="17" ht="38.25" customHeight="1">
      <c r="A17" s="14" t="inlineStr">
        <is>
          <t>&lt;SKU mẫu — thay bằng SKU thật&gt;</t>
        </is>
      </c>
      <c r="B17" s="14" t="inlineStr">
        <is>
          <t>Sữa tươi TH True Milk không đường 1L</t>
        </is>
      </c>
      <c r="C17" s="14" t="inlineStr">
        <is>
          <t>Sữa &amp; Sản phẩm từ sữa</t>
        </is>
      </c>
      <c r="D17" s="14" t="n">
        <v>32900</v>
      </c>
      <c r="E17" s="14" t="n">
        <v>25</v>
      </c>
      <c r="F17" s="14" t="inlineStr">
        <is>
          <t>N</t>
        </is>
      </c>
      <c r="G17" s="14" t="inlineStr">
        <is>
          <t>&lt;link ảnh sản phẩm&gt;</t>
        </is>
      </c>
      <c r="H17" s="14" t="inlineStr">
        <is>
          <t>Không đường</t>
        </is>
      </c>
      <c r="I17" s="14" t="inlineStr">
        <is>
          <t>SS-SCR-005-SC1-TC1, INT-01-SC1-TC1</t>
        </is>
      </c>
      <c r="J17" s="14" t="inlineStr">
        <is>
          <t>Hàng ví dụ minh hoạ — KHÔNG dùng để chấm Pass/Fail thật</t>
        </is>
      </c>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3">
      <c r="A33" s="6" t="inlineStr">
        <is>
          <t>3) Ảnh test cho Image Search (chờ team cung cấp)</t>
        </is>
      </c>
    </row>
    <row r="34">
      <c r="A34" s="8" t="inlineStr">
        <is>
          <t>Image ID</t>
        </is>
      </c>
      <c r="B34" s="8" t="inlineStr">
        <is>
          <t>Mô tả ảnh</t>
        </is>
      </c>
      <c r="C34" s="8" t="inlineStr">
        <is>
          <t>Định dạng</t>
        </is>
      </c>
      <c r="D34" s="8" t="inlineStr">
        <is>
          <t>Dung lượng (MB)</t>
        </is>
      </c>
      <c r="E34" s="8" t="inlineStr">
        <is>
          <t>Kết quả kỳ vọng</t>
        </is>
      </c>
      <c r="F34" s="8" t="inlineStr">
        <is>
          <t>Dùng cho Test Case</t>
        </is>
      </c>
    </row>
    <row r="35" ht="38.25" customHeight="1">
      <c r="A35" s="9" t="inlineStr">
        <is>
          <t>IMG-01</t>
        </is>
      </c>
      <c r="B35" s="9" t="inlineStr">
        <is>
          <t>Ảnh rõ nét hộp sữa TH True Milk</t>
        </is>
      </c>
      <c r="C35" s="9" t="inlineStr">
        <is>
          <t>JPEG</t>
        </is>
      </c>
      <c r="D35" s="9" t="n">
        <v>2.1</v>
      </c>
      <c r="E35" s="9" t="inlineStr">
        <is>
          <t>Nhận diện đúng, trả về SKU sữa liên quan</t>
        </is>
      </c>
      <c r="F35" s="9" t="inlineStr">
        <is>
          <t>SS-SCR-013-SC1-TC1, SS-SCR-015-SC1-TC1, INT-06-SC1-TC1</t>
        </is>
      </c>
    </row>
    <row r="36">
      <c r="A36" s="9" t="inlineStr">
        <is>
          <t>IMG-02</t>
        </is>
      </c>
      <c r="B36" s="9" t="inlineStr">
        <is>
          <t>Ảnh đúng ngưỡng 5.0MB</t>
        </is>
      </c>
      <c r="C36" s="9" t="inlineStr">
        <is>
          <t>JPEG</t>
        </is>
      </c>
      <c r="D36" s="9" t="n">
        <v>5</v>
      </c>
      <c r="E36" s="9" t="inlineStr">
        <is>
          <t>Chấp nhận upload</t>
        </is>
      </c>
      <c r="F36" s="9" t="inlineStr">
        <is>
          <t>SS-SCR-014-SC1-TC1</t>
        </is>
      </c>
    </row>
    <row r="37" ht="25.5" customHeight="1">
      <c r="A37" s="9" t="inlineStr">
        <is>
          <t>IMG-03</t>
        </is>
      </c>
      <c r="B37" s="9" t="inlineStr">
        <is>
          <t>Ảnh vượt ngưỡng 5.1MB</t>
        </is>
      </c>
      <c r="C37" s="9" t="inlineStr">
        <is>
          <t>JPEG</t>
        </is>
      </c>
      <c r="D37" s="9" t="n">
        <v>5.1</v>
      </c>
      <c r="E37" s="9" t="inlineStr">
        <is>
          <t>Từ chối kèm Toast lỗi</t>
        </is>
      </c>
      <c r="F37" s="9" t="inlineStr">
        <is>
          <t>SS-SCR-014-SC1-TC1</t>
        </is>
      </c>
    </row>
    <row r="38" ht="25.5" customHeight="1">
      <c r="A38" s="9" t="inlineStr">
        <is>
          <t>IMG-04</t>
        </is>
      </c>
      <c r="B38" s="9" t="inlineStr">
        <is>
          <t>Ảnh định dạng GIF</t>
        </is>
      </c>
      <c r="C38" s="9" t="inlineStr">
        <is>
          <t>GIF</t>
        </is>
      </c>
      <c r="D38" s="9" t="n">
        <v>1</v>
      </c>
      <c r="E38" s="9" t="inlineStr">
        <is>
          <t>Từ chối — định dạng không hỗ trợ</t>
        </is>
      </c>
      <c r="F38" s="9" t="inlineStr">
        <is>
          <t>SS-SCR-014-SC1-TC2</t>
        </is>
      </c>
    </row>
    <row r="39" ht="38.25" customHeight="1">
      <c r="A39" s="9" t="inlineStr">
        <is>
          <t>IMG-05</t>
        </is>
      </c>
      <c r="B39" s="9" t="inlineStr">
        <is>
          <t>Ảnh mờ/out-of-focus</t>
        </is>
      </c>
      <c r="C39" s="9" t="inlineStr">
        <is>
          <t>JPEG</t>
        </is>
      </c>
      <c r="D39" s="9" t="n">
        <v>1.5</v>
      </c>
      <c r="E39" s="9" t="inlineStr">
        <is>
          <t>Chuyển màn 'Không nhận diện được'</t>
        </is>
      </c>
      <c r="F39" s="9" t="inlineStr">
        <is>
          <t>SS-SCR-016-SC1-TC1, INT-06-SC1-TC2</t>
        </is>
      </c>
    </row>
    <row r="40" ht="51" customHeight="1">
      <c r="A40" s="9" t="inlineStr">
        <is>
          <t>IMG-06</t>
        </is>
      </c>
      <c r="B40" s="9" t="inlineStr">
        <is>
          <t>Ảnh phong cảnh (không sản phẩm)</t>
        </is>
      </c>
      <c r="C40" s="9" t="inlineStr">
        <is>
          <t>JPEG</t>
        </is>
      </c>
      <c r="D40" s="9" t="n">
        <v>1.8</v>
      </c>
      <c r="E40" s="9" t="inlineStr">
        <is>
          <t>Chuyển màn 'Không nhận diện được', không ép kết quả sai</t>
        </is>
      </c>
      <c r="F40" s="9" t="inlineStr">
        <is>
          <t>SS-SCR-016-SC1-TC2</t>
        </is>
      </c>
    </row>
    <row r="42">
      <c r="A42" s="6" t="inlineStr">
        <is>
          <t>4) Câu lệnh giọng nói test cho Voice Search</t>
        </is>
      </c>
    </row>
    <row r="43">
      <c r="A43" s="8" t="inlineStr">
        <is>
          <t>Voice ID</t>
        </is>
      </c>
      <c r="B43" s="8" t="inlineStr">
        <is>
          <t>Nội dung câu nói</t>
        </is>
      </c>
      <c r="C43" s="8" t="inlineStr">
        <is>
          <t>Ngôn ngữ</t>
        </is>
      </c>
      <c r="D43" s="8" t="inlineStr">
        <is>
          <t>Điều kiện thu âm</t>
        </is>
      </c>
      <c r="E43" s="8" t="inlineStr">
        <is>
          <t>Kết quả kỳ vọng</t>
        </is>
      </c>
      <c r="F43" s="8" t="inlineStr">
        <is>
          <t>Dùng cho Test Case</t>
        </is>
      </c>
    </row>
    <row r="44" ht="38.25" customHeight="1">
      <c r="A44" s="9" t="inlineStr">
        <is>
          <t>VOI-01</t>
        </is>
      </c>
      <c r="B44" s="9" t="inlineStr">
        <is>
          <t>"sữa tươi không đường"</t>
        </is>
      </c>
      <c r="C44" s="9" t="inlineStr">
        <is>
          <t>VI</t>
        </is>
      </c>
      <c r="D44" s="9" t="inlineStr">
        <is>
          <t>Phòng yên tĩnh, giọng rõ</t>
        </is>
      </c>
      <c r="E44" s="9" t="inlineStr">
        <is>
          <t>Transcribe đúng, chuyển thẳng sang kết quả</t>
        </is>
      </c>
      <c r="F44" s="9" t="inlineStr">
        <is>
          <t>SS-SCR-018-SC1-TC1, INT-07-SC1-TC1</t>
        </is>
      </c>
    </row>
    <row r="45" ht="25.5" customHeight="1">
      <c r="A45" s="9" t="inlineStr">
        <is>
          <t>VOI-02</t>
        </is>
      </c>
      <c r="B45" s="9" t="inlineStr">
        <is>
          <t>"Ba quả chuối 60.000"</t>
        </is>
      </c>
      <c r="C45" s="9" t="inlineStr">
        <is>
          <t>VI</t>
        </is>
      </c>
      <c r="D45" s="9" t="inlineStr">
        <is>
          <t>Phòng yên tĩnh, giọng rõ</t>
        </is>
      </c>
      <c r="E45" s="9" t="inlineStr">
        <is>
          <t>Transcript hiển thị realtime</t>
        </is>
      </c>
      <c r="F45" s="9" t="inlineStr">
        <is>
          <t>SS-SCR-017-SC1-TC1</t>
        </is>
      </c>
    </row>
    <row r="46" ht="38.25" customHeight="1">
      <c r="A46" s="9" t="inlineStr">
        <is>
          <t>VOI-03</t>
        </is>
      </c>
      <c r="B46" s="9" t="inlineStr">
        <is>
          <t>(tiếng ồn nền, không lời)</t>
        </is>
      </c>
      <c r="C46" s="9" t="inlineStr">
        <is>
          <t>N/A</t>
        </is>
      </c>
      <c r="D46" s="9" t="inlineStr">
        <is>
          <t>Ồn/không rõ giọng</t>
        </is>
      </c>
      <c r="E46" s="9" t="inlineStr">
        <is>
          <t>Chuyển màn 'Không nhận diện được'</t>
        </is>
      </c>
      <c r="F46" s="9" t="inlineStr">
        <is>
          <t>SS-SCR-019-SC1-TC1</t>
        </is>
      </c>
    </row>
    <row r="47" ht="38.25" customHeight="1">
      <c r="A47" s="9" t="inlineStr">
        <is>
          <t>VOI-04</t>
        </is>
      </c>
      <c r="B47" s="9" t="inlineStr">
        <is>
          <t>"sữa tươi hai lít"</t>
        </is>
      </c>
      <c r="C47" s="9" t="inlineStr">
        <is>
          <t>VI</t>
        </is>
      </c>
      <c r="D47" s="9" t="inlineStr">
        <is>
          <t>Phòng yên tĩnh, giọng rõ</t>
        </is>
      </c>
      <c r="E47" s="9" t="inlineStr">
        <is>
          <t>Xử lý số đếm/đơn vị — TBD, xem QnA-22</t>
        </is>
      </c>
      <c r="F47" s="9" t="inlineStr">
        <is>
          <t>SS-SCR-017-SC2-TC1, INT-07-SC2-TC1</t>
        </is>
      </c>
    </row>
  </sheetData>
  <mergeCells count="2">
    <mergeCell ref="A1:J1"/>
    <mergeCell ref="A2:J2"/>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2026-08-18T03:03:26Z</dcterms:created>
  <dcterms:modified xmlns:dcterms="http://purl.org/dc/terms/" xmlns:xsi="http://www.w3.org/2001/XMLSchema-instance" xsi:type="dcterms:W3CDTF">2026-08-18T10:37:07Z</dcterms:modified>
  <cp:lastModifiedBy>License Lotte</cp:lastModifiedBy>
  <cp:revision>0</cp:revision>
</cp:coreProperties>
</file>