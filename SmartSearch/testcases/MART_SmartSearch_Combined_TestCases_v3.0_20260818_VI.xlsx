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0" windowWidth="14610" windowHeight="15585" tabRatio="500" firstSheet="1" activeTab="1" autoFilterDateGrouping="1"/>
  </bookViews>
  <sheets>
    <sheet xmlns:r="http://schemas.openxmlformats.org/officeDocument/2006/relationships" name="Cover" sheetId="1" state="visible" r:id="rId1"/>
    <sheet xmlns:r="http://schemas.openxmlformats.org/officeDocument/2006/relationships" name="Functional Test Scenarios" sheetId="2" state="visible" r:id="rId2"/>
    <sheet xmlns:r="http://schemas.openxmlformats.org/officeDocument/2006/relationships" name="Functional Test Cases" sheetId="3" state="visible" r:id="rId3"/>
    <sheet xmlns:r="http://schemas.openxmlformats.org/officeDocument/2006/relationships" name="Integration Test Scenarios" sheetId="4" state="visible" r:id="rId4"/>
    <sheet xmlns:r="http://schemas.openxmlformats.org/officeDocument/2006/relationships" name="Integration Test Cases" sheetId="5" state="visible" r:id="rId5"/>
    <sheet xmlns:r="http://schemas.openxmlformats.org/officeDocument/2006/relationships" name="Summary" sheetId="6" state="visible" r:id="rId6"/>
    <sheet xmlns:r="http://schemas.openxmlformats.org/officeDocument/2006/relationships" name="Integration Points" sheetId="7" state="visible" r:id="rId7"/>
  </sheets>
  <definedNames>
    <definedName name="_xlnm._FilterDatabase" localSheetId="1" hidden="1">'Functional Test Scenarios'!$A$2:$P$86</definedName>
    <definedName name="_xlnm._FilterDatabase" localSheetId="2" hidden="1">'Functional Test Cases'!$A$2:$Q$187</definedName>
  </definedNames>
  <calcPr calcId="191029" fullCalcOnLoad="1" iterateDelta="0.0001"/>
</workbook>
</file>

<file path=xl/styles.xml><?xml version="1.0" encoding="utf-8"?>
<styleSheet xmlns="http://schemas.openxmlformats.org/spreadsheetml/2006/main">
  <numFmts count="0"/>
  <fonts count="11">
    <font>
      <name val="Calibri"/>
      <charset val="1"/>
      <family val="2"/>
      <color theme="1"/>
      <sz val="11"/>
    </font>
    <font>
      <name val="Arial"/>
      <family val="2"/>
      <sz val="10"/>
    </font>
    <font>
      <name val="Arial"/>
      <family val="2"/>
      <b val="1"/>
      <color rgb="FFFFFFFF"/>
      <sz val="14"/>
    </font>
    <font>
      <name val="Arial"/>
      <family val="2"/>
      <b val="1"/>
      <sz val="12"/>
    </font>
    <font>
      <name val="Arial"/>
      <family val="2"/>
      <i val="1"/>
      <sz val="10"/>
    </font>
    <font>
      <name val="Arial"/>
      <family val="2"/>
      <b val="1"/>
      <sz val="10"/>
    </font>
    <font>
      <name val="Arial"/>
      <family val="2"/>
      <sz val="10"/>
    </font>
    <font>
      <name val="Noto Sans CJK SC"/>
      <family val="2"/>
      <sz val="10"/>
    </font>
    <font>
      <name val="Arial"/>
      <family val="2"/>
      <b val="1"/>
      <color rgb="FFFFFFFF"/>
      <sz val="10"/>
    </font>
    <font>
      <name val="Arial"/>
      <family val="2"/>
      <i val="1"/>
      <color rgb="FFC00000"/>
      <sz val="10"/>
    </font>
    <font>
      <name val="Arial"/>
      <family val="2"/>
      <i val="1"/>
      <color rgb="FF808080"/>
      <sz val="10"/>
    </font>
  </fonts>
  <fills count="8">
    <fill>
      <patternFill/>
    </fill>
    <fill>
      <patternFill patternType="gray125"/>
    </fill>
    <fill>
      <patternFill patternType="solid">
        <fgColor rgb="FF1F4E78"/>
        <bgColor rgb="FF2E5E4E"/>
      </patternFill>
    </fill>
    <fill>
      <patternFill patternType="solid">
        <fgColor rgb="FFFFF2CC"/>
        <bgColor rgb="FFFCE4D6"/>
      </patternFill>
    </fill>
    <fill>
      <patternFill patternType="solid">
        <fgColor rgb="FFFCE4D6"/>
        <bgColor rgb="FFFFF2CC"/>
      </patternFill>
    </fill>
    <fill>
      <patternFill patternType="solid">
        <fgColor rgb="FF2E5E4E"/>
        <bgColor rgb="FF1F4E78"/>
      </patternFill>
    </fill>
    <fill>
      <patternFill patternType="solid">
        <fgColor rgb="FFFCE4D6"/>
        <bgColor rgb="FFFCE4D6"/>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pivotButton="0" quotePrefix="0" xfId="0"/>
    <xf numFmtId="0" fontId="9" fillId="0" borderId="0" applyAlignment="1" pivotButton="0" quotePrefix="0" xfId="0">
      <alignment vertical="top" wrapText="1"/>
    </xf>
    <xf numFmtId="0" fontId="2" fillId="5" borderId="0" applyAlignment="1" pivotButton="0" quotePrefix="0" xfId="0">
      <alignment vertical="top" wrapText="1"/>
    </xf>
    <xf numFmtId="0" fontId="2" fillId="2"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8" fillId="2" borderId="1" applyAlignment="1" pivotButton="0" quotePrefix="0" xfId="0">
      <alignment horizontal="center" vertical="center" wrapText="1"/>
    </xf>
    <xf numFmtId="0" fontId="6"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8" fillId="5" borderId="1" applyAlignment="1" pivotButton="0" quotePrefix="0" xfId="0">
      <alignment horizontal="center" vertical="center" wrapText="1"/>
    </xf>
    <xf numFmtId="0" fontId="6" fillId="0" borderId="0" pivotButton="0" quotePrefix="0" xfId="0"/>
    <xf numFmtId="0" fontId="10" fillId="0" borderId="1" applyAlignment="1" pivotButton="0" quotePrefix="0" xfId="0">
      <alignment vertical="top" wrapText="1"/>
    </xf>
    <xf numFmtId="0" fontId="0" fillId="3" borderId="1" pivotButton="0" quotePrefix="0" xfId="0"/>
    <xf numFmtId="0" fontId="1" fillId="0" borderId="1" applyAlignment="1" pivotButton="0" quotePrefix="0" xfId="0">
      <alignment vertical="top" wrapText="1"/>
    </xf>
    <xf numFmtId="0" fontId="1" fillId="4"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2E5E4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showGridLines="0" zoomScaleNormal="100" workbookViewId="0">
      <selection activeCell="A1" sqref="A1:B1"/>
    </sheetView>
  </sheetViews>
  <sheetFormatPr baseColWidth="8" defaultColWidth="8.7109375" defaultRowHeight="15"/>
  <cols>
    <col width="26" customWidth="1" min="1" max="1"/>
    <col width="100" customWidth="1" min="2" max="2"/>
  </cols>
  <sheetData>
    <row r="1" ht="24" customHeight="1">
      <c r="A1" s="3" t="inlineStr">
        <is>
          <t>MART VN ONLINE RENEWAL 2026 PROJECT</t>
        </is>
      </c>
    </row>
    <row r="3" ht="15.75" customHeight="1">
      <c r="A3" s="4" t="inlineStr">
        <is>
          <t>Smart Search — Functional &amp; System Integration</t>
        </is>
      </c>
    </row>
    <row r="4">
      <c r="A4" s="5" t="n"/>
    </row>
    <row r="6">
      <c r="A6" s="6" t="inlineStr">
        <is>
          <t>Document</t>
        </is>
      </c>
      <c r="B6" s="7" t="inlineStr">
        <is>
          <t>MART-AI-SmartSearch Combined Test Suite — v3.0 — 20260818</t>
        </is>
      </c>
    </row>
    <row r="7">
      <c r="A7" s="6" t="inlineStr">
        <is>
          <t>Prepared for</t>
        </is>
      </c>
      <c r="B7" s="7" t="inlineStr">
        <is>
          <t>Mart Online Division</t>
        </is>
      </c>
    </row>
    <row r="8">
      <c r="A8" s="6" t="inlineStr">
        <is>
          <t>Prepared by</t>
        </is>
      </c>
      <c r="B8" s="7" t="inlineStr">
        <is>
          <t>QC/BA Team</t>
        </is>
      </c>
    </row>
    <row r="9">
      <c r="A9" s="6" t="inlineStr">
        <is>
          <t>Date</t>
        </is>
      </c>
      <c r="B9" s="7" t="inlineStr">
        <is>
          <t>18 August 2026</t>
        </is>
      </c>
    </row>
    <row r="10">
      <c r="A10" s="6" t="inlineStr">
        <is>
          <t>Source — REQ</t>
        </is>
      </c>
      <c r="B10" s="7" t="inlineStr">
        <is>
          <t>BRD_AI_Search_VI_v0.0.3_20260812.docx + MART-DE03-Smart Search Storyboard-Mobile App-v0.1-20260819.pptx + ảnh Figma thực tế (Text Search.png, Image Search.png, Voice Search.png)</t>
        </is>
      </c>
    </row>
    <row r="11" ht="25.5" customHeight="1">
      <c r="A11" s="6" t="inlineStr">
        <is>
          <t>Structure</t>
        </is>
      </c>
      <c r="B11" s="7" t="inlineStr">
        <is>
          <t>4 sheet test case: 'Functional Test Scenarios', 'Functional Test Cases' (kiểm thử giao diện, theo từng màn hình Figma) và 'Integration Test Scenarios', 'Integration Test Cases' (kiểm thử logic nghiệp vụ backend &amp; tích hợp hệ thống: OMS, Retail Media, Computer Vision, Speech-to-Text, Cart, Analytics, Security). Sheet 'Summary' tổng hợp cả 2 bộ. Sheet 'Integration Points' hỗ trợ thực thi.</t>
        </is>
      </c>
    </row>
    <row r="12" ht="51" customHeight="1">
      <c r="A12" s="6" t="inlineStr">
        <is>
          <t>Related file — QnA Log</t>
        </is>
      </c>
      <c r="B12" s="7" t="inlineStr">
        <is>
          <t>MART_SmartSearch_QnA_Log_v1.1_20260817.xlsx (26 mục — dùng chung cho cả 2 bộ Functional và Integration, không gộp vào file này để tránh trùng lặp khi nhiều BA/Dev cùng cập nhật).</t>
        </is>
      </c>
    </row>
    <row r="13" ht="25.5" customHeight="1"/>
    <row r="14">
      <c r="A14" s="6" t="inlineStr">
        <is>
          <t>Legend</t>
        </is>
      </c>
    </row>
    <row r="15">
      <c r="A15" s="6" t="inlineStr">
        <is>
          <t>Functional Scenario/Test Case Type</t>
        </is>
      </c>
      <c r="B15" s="7" t="inlineStr">
        <is>
          <t>Normal · Boundary · Edge · Exception · No-result · Typo · Ranking · Sort · Filter · Sponsored · Functional · Performance</t>
        </is>
      </c>
    </row>
    <row r="16">
      <c r="A16" s="6" t="inlineStr">
        <is>
          <t>Integration Test Case Type</t>
        </is>
      </c>
      <c r="B16" s="7" t="inlineStr">
        <is>
          <t>Functional · Behavior · Integration · Boundary · Negative · Performance · Security</t>
        </is>
      </c>
    </row>
    <row r="17" ht="25.5" customHeight="1">
      <c r="A17" s="6" t="inlineStr">
        <is>
          <t>Test Result (Summary sheet)</t>
        </is>
      </c>
      <c r="B17" s="7" t="inlineStr">
        <is>
          <t>Pass / Fail / Blocked / N/A</t>
        </is>
      </c>
    </row>
    <row r="18">
      <c r="A18" s="6" t="inlineStr">
        <is>
          <t>Yellow columns</t>
        </is>
      </c>
      <c r="B18" s="7" t="inlineStr">
        <is>
          <t>Trường theo dõi thực thi để QA điền (Actual Result, Pass/Fail Status, Tester, Test Date)</t>
        </is>
      </c>
    </row>
    <row r="19">
      <c r="A19" s="6" t="inlineStr">
        <is>
          <t>QnA Ref column</t>
        </is>
      </c>
      <c r="B19" s="7" t="inlineStr">
        <is>
          <t>Mã tham chiếu tới file QnA log khi test case liên quan tới điểm chưa chốt (Expected Result có thể ghi TBD).</t>
        </is>
      </c>
    </row>
    <row r="21">
      <c r="A21" s="6" t="inlineStr">
        <is>
          <t>Revision Note (v3.0)</t>
        </is>
      </c>
      <c r="B21" s="7" t="inlineStr">
        <is>
          <t>v3.0 (18-Aug-2026): Gộp MART_SmartSearch_UI_TestCases_v2.2 và MART_SmartSearch_Functional_Integration_TestCases_v1.0 thành 1 workbook duy nhất theo yêu cầu, để QC/BA/PM chỉ cần quản lý 1 file cho toàn bộ phạm vi kiểm thử Smart Search (UI + Backend/Integration). Nội dung từng bộ giữ nguyên không đổi so với bản gốc — chỉ thay đổi cách tổ chức file. Sheet Summary được viết lại để tổng hợp số liệu của cả 2 bộ.</t>
        </is>
      </c>
    </row>
    <row r="23" ht="90" customHeight="1">
      <c r="A23" s="6" t="inlineStr">
        <is>
          <t>Change History</t>
        </is>
      </c>
    </row>
    <row r="24">
      <c r="A24" t="inlineStr">
        <is>
          <t>Version</t>
        </is>
      </c>
      <c r="B24" t="inlineStr">
        <is>
          <t>Date</t>
        </is>
      </c>
      <c r="C24" t="inlineStr">
        <is>
          <t>Author</t>
        </is>
      </c>
      <c r="D24" t="inlineStr">
        <is>
          <t>Change</t>
        </is>
      </c>
    </row>
    <row r="25">
      <c r="A25" s="7" t="inlineStr">
        <is>
          <t>v1.0</t>
        </is>
      </c>
      <c r="B25" s="7" t="inlineStr">
        <is>
          <t>20 August 2026</t>
        </is>
      </c>
      <c r="C25" s="7" t="inlineStr">
        <is>
          <t>Hien Nguyen</t>
        </is>
      </c>
      <c r="D25" s="7" t="inlineStr">
        <is>
          <t>Tạo lần đầu</t>
        </is>
      </c>
    </row>
    <row r="27" ht="165.75" customHeight="1"/>
    <row r="28" ht="229.5" customHeight="1"/>
    <row r="29" ht="165.75" customHeight="1"/>
    <row r="30" ht="153" customHeight="1"/>
  </sheetData>
  <mergeCells count="1">
    <mergeCell ref="A1:B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filterMode="1">
    <outlinePr summaryBelow="1" summaryRight="1"/>
    <pageSetUpPr/>
  </sheetPr>
  <dimension ref="A1:M86"/>
  <sheetViews>
    <sheetView showGridLines="0" tabSelected="1" topLeftCell="D1" zoomScale="90" zoomScaleNormal="90" workbookViewId="0">
      <pane ySplit="2" topLeftCell="A3" activePane="bottomLeft" state="frozen"/>
      <selection pane="bottomLeft" activeCell="D5" sqref="A5:XFD5"/>
    </sheetView>
  </sheetViews>
  <sheetFormatPr baseColWidth="8" defaultColWidth="8.7109375" defaultRowHeight="15"/>
  <cols>
    <col width="5" customWidth="1" min="1" max="1"/>
    <col width="16" customWidth="1" min="2" max="2"/>
    <col width="12" customWidth="1" min="3" max="3"/>
    <col width="26" customWidth="1" min="4" max="5"/>
    <col width="12" customWidth="1" min="6" max="6"/>
    <col width="30" customWidth="1" min="7" max="7"/>
    <col width="22" customWidth="1" min="8" max="8"/>
    <col width="24" customWidth="1" min="9" max="9"/>
    <col width="40" customWidth="1" min="10" max="10"/>
    <col width="34" customWidth="1" min="11" max="11"/>
    <col width="10" customWidth="1" min="12" max="14"/>
    <col width="12" customWidth="1" min="15" max="15"/>
    <col width="42" customWidth="1" min="16" max="16"/>
  </cols>
  <sheetData>
    <row r="1" ht="21.75" customHeight="1">
      <c r="A1" s="3" t="inlineStr">
        <is>
          <t>Smart Search — Functional Test Scenario Register</t>
        </is>
      </c>
    </row>
    <row r="2" ht="25.5" customHeight="1">
      <c r="A2" s="8" t="inlineStr">
        <is>
          <t>No</t>
        </is>
      </c>
      <c r="B2" s="8" t="inlineStr">
        <is>
          <t>Scenario ID</t>
        </is>
      </c>
      <c r="C2" s="8" t="inlineStr">
        <is>
          <t>Screen ID</t>
        </is>
      </c>
      <c r="D2" s="8" t="inlineStr">
        <is>
          <t>Capability Area</t>
        </is>
      </c>
      <c r="E2" s="8" t="inlineStr">
        <is>
          <t>REQ ID (BRD/Storyboard)</t>
        </is>
      </c>
      <c r="F2" s="8" t="inlineStr">
        <is>
          <t>Scenario Type</t>
        </is>
      </c>
      <c r="G2" s="8" t="inlineStr">
        <is>
          <t>User Action</t>
        </is>
      </c>
      <c r="H2" s="8" t="inlineStr">
        <is>
          <t>Input</t>
        </is>
      </c>
      <c r="I2" s="8" t="inlineStr">
        <is>
          <t>Preconditions</t>
        </is>
      </c>
      <c r="J2" s="8" t="inlineStr">
        <is>
          <t>Expected Output</t>
        </is>
      </c>
      <c r="K2" s="8" t="inlineStr">
        <is>
          <t>Acceptance Criteria</t>
        </is>
      </c>
      <c r="L2" s="8" t="inlineStr">
        <is>
          <t>QnA Ref</t>
        </is>
      </c>
      <c r="M2" s="8" t="inlineStr">
        <is>
          <t>Comments</t>
        </is>
      </c>
    </row>
    <row r="3" ht="63.75" customHeight="1">
      <c r="A3" s="9" t="n">
        <v>1</v>
      </c>
      <c r="B3" s="9" t="inlineStr">
        <is>
          <t>SS-SCR-001-SC1</t>
        </is>
      </c>
      <c r="C3" s="9" t="inlineStr">
        <is>
          <t>SS-SCR-001</t>
        </is>
      </c>
      <c r="D3" s="9" t="inlineStr">
        <is>
          <t>A. Search Bar &amp; Pre-search</t>
        </is>
      </c>
      <c r="E3" s="9" t="inlineStr">
        <is>
          <t>FR-IS-02, FR-VS-02, FR-PS-01, FR-PS-02, FR-PS-03, FR-PS-04</t>
        </is>
      </c>
      <c r="F3" s="9" t="inlineStr">
        <is>
          <t>Normal</t>
        </is>
      </c>
      <c r="G3" s="9" t="inlineStr">
        <is>
          <t>Mở app, chạm vào Search Bar / icon Mic / icon Camera / icon Giỏ hàng trên Global Header.</t>
        </is>
      </c>
      <c r="H3" s="9" t="inlineStr">
        <is>
          <t>Chạm lần lượt: Search Bar, Mic, Camera, Cart</t>
        </is>
      </c>
      <c r="I3" s="9" t="inlineStr">
        <is>
          <t>App đã mở, ở bất kỳ màn hình nào có Global Header.</t>
        </is>
      </c>
      <c r="J3" s="9" t="inlineStr">
        <is>
          <t>Chạm Search Bar mở Autocomplete (SS-SCR-002); chạm Mic mở Voice Listening (SS-SCR-017); chạm Camera mở Camera Capture (SS-SCR-013); chạm Cart mở trang Giỏ hàng, badge hiển thị đúng số lượng.</t>
        </is>
      </c>
      <c r="K3" s="9" t="inlineStr">
        <is>
          <t>Cả 4 điểm chạm điều hướng đúng màn hình đích, không có độ trễ &gt; 300ms.</t>
        </is>
      </c>
      <c r="L3" s="9" t="n"/>
      <c r="M3" s="9" t="n"/>
    </row>
    <row r="4" ht="63.75" customHeight="1">
      <c r="A4" s="9" t="n">
        <v>2</v>
      </c>
      <c r="B4" s="9" t="inlineStr">
        <is>
          <t>SS-SCR-001-SC2</t>
        </is>
      </c>
      <c r="C4" s="9" t="inlineStr">
        <is>
          <t>SS-SCR-001</t>
        </is>
      </c>
      <c r="D4" s="9" t="inlineStr">
        <is>
          <t>A. Search Bar &amp; Pre-search</t>
        </is>
      </c>
      <c r="E4" s="9" t="inlineStr">
        <is>
          <t>FR-IS-02, FR-VS-02, FR-PS-01, FR-PS-02, FR-PS-03, FR-PS-04</t>
        </is>
      </c>
      <c r="F4" s="9" t="inlineStr">
        <is>
          <t>Boundary</t>
        </is>
      </c>
      <c r="G4" s="9" t="inlineStr">
        <is>
          <t>Kiểm tra khối "Tìm kiếm gần đây" ở các mức số lượng từ khoá khác nhau.</t>
        </is>
      </c>
      <c r="H4" s="9" t="inlineStr">
        <is>
          <t>0 từ khoá / 10 từ khoá / 11 từ khoá (thêm mới)</t>
        </is>
      </c>
      <c r="I4" s="9" t="inlineStr">
        <is>
          <t>Local Storage của thiết bị chứa lịch sử tìm kiếm.</t>
        </is>
      </c>
      <c r="J4" s="9" t="inlineStr">
        <is>
          <t>0 từ khoá → ẩn toàn bộ khối (kể cả header); 10 từ khoá → hiển thị đủ 10, mới nhất đứng đầu; thêm từ khoá thứ 11 → từ khoá cũ nhất (FIFO) bị loại khỏi danh sách, tổng vẫn giữ 10.</t>
        </is>
      </c>
      <c r="K4" s="9" t="inlineStr">
        <is>
          <t>Danh sách luôn ≤10 phần tử, thứ tự mới nhất → cũ nhất, cơ chế FIFO đúng khi vượt ngưỡng.</t>
        </is>
      </c>
      <c r="L4" s="9" t="n"/>
      <c r="M4" s="9" t="n"/>
    </row>
    <row r="5" ht="63.75" customHeight="1">
      <c r="A5" s="9" t="n">
        <v>3</v>
      </c>
      <c r="B5" s="9" t="inlineStr">
        <is>
          <t>SS-SCR-001-SC3</t>
        </is>
      </c>
      <c r="C5" s="9" t="inlineStr">
        <is>
          <t>SS-SCR-001</t>
        </is>
      </c>
      <c r="D5" s="9" t="inlineStr">
        <is>
          <t>A. Search Bar &amp; Pre-search</t>
        </is>
      </c>
      <c r="E5" s="9" t="inlineStr">
        <is>
          <t>FR-IS-02, FR-VS-02, FR-PS-01, FR-PS-02, FR-PS-03, FR-PS-04</t>
        </is>
      </c>
      <c r="F5" s="9" t="inlineStr">
        <is>
          <t>Normal</t>
        </is>
      </c>
      <c r="G5" s="9" t="inlineStr">
        <is>
          <t>Kiểm tra khối "Xu hướng tìm kiếm" (Trending).</t>
        </is>
      </c>
      <c r="H5" s="9" t="inlineStr">
        <is>
          <t>Hệ thống truy vấn Top 10 từ khoá trending; hiển thị Top 5</t>
        </is>
      </c>
      <c r="I5" s="9" t="inlineStr">
        <is>
          <t>Dữ liệu truy vấn 7 ngày gần nhất có sẵn; có từ khoá vi phạm profanity filter trong tập thô.</t>
        </is>
      </c>
      <c r="J5" s="9" t="inlineStr">
        <is>
          <t>Danh sách hiển thị đúng Top 5 (đã xác nhận qua QnA-17), #1–#3 có icon 🔥 màu đỏ, #4–#5 icon xu hướng màu xám; không có từ khoá nào trả về 0 kết quả; không có từ khoá vi phạm profanity filter. Hệ thống vẫn truy vấn Top 10 nội bộ — 5 từ khoá còn lại (#6–#10) dùng làm nguồn cho placeholder xoay vòng của Search Bar (FR-PS-04, xem SS-SCR-001-SC5).</t>
        </is>
      </c>
      <c r="K5" s="9" t="inlineStr">
        <is>
          <t>Đúng thứ hạng theo Trending Score (Volume + Velocity); 100% từ khoá hiển thị có kết quả &gt; 0; 0% từ khoá vi phạm bộ lọc từ cấm.</t>
        </is>
      </c>
      <c r="L5" s="9" t="n"/>
      <c r="M5" s="9" t="n"/>
    </row>
    <row r="6" ht="89.25" customHeight="1">
      <c r="A6" s="11" t="n">
        <v>4</v>
      </c>
      <c r="B6" s="11" t="inlineStr">
        <is>
          <t>SS-SCR-001-SC4</t>
        </is>
      </c>
      <c r="C6" s="11" t="inlineStr">
        <is>
          <t>SS-SCR-001</t>
        </is>
      </c>
      <c r="D6" s="11" t="inlineStr">
        <is>
          <t>A. Search Bar &amp; Pre-search</t>
        </is>
      </c>
      <c r="E6" s="11" t="inlineStr">
        <is>
          <t>FR-IS-02, FR-VS-02, FR-PS-01, FR-PS-02, FR-PS-03, FR-PS-04</t>
        </is>
      </c>
      <c r="F6" s="11" t="inlineStr">
        <is>
          <t>Ranking</t>
        </is>
      </c>
      <c r="G6" s="11" t="inlineStr">
        <is>
          <t>Kiểm tra khối "Thường mua" (Frequently Purchased) cho Thành viên vs Khách vãng lai.</t>
        </is>
      </c>
      <c r="H6" s="11" t="inlineStr">
        <is>
          <t>Tài khoản Thành viên có lịch sử đơn hàng COMPLETED trong 90 ngày / Khách vãng lai (chưa đăng nhập)</t>
        </is>
      </c>
      <c r="I6" s="11" t="inlineStr">
        <is>
          <t>OMS có dữ liệu Order History; tồn kho một số SKU = 0.</t>
        </is>
      </c>
      <c r="J6" s="11" t="inlineStr">
        <is>
          <t>Thành viên có lịch sử mua: hiển thị Top SKU còn hàng (stock&gt;0), sắp theo Order Count (KHÔNG theo Item Quantity) giảm dần; SKU hết hàng không lọt vào lô đầu, hệ thống load tiếp lô kế tiếp khi user lướt hết (không giới hạn tối đa - QnA-53). Khách vãng lai VÀ Thành viên chưa có đơn COMPLETED: khối 'Thường mua' ẨN HOÀN TOÀN (không thay bằng khối khác ở v1) - ĐÃ XÁC NHẬN QnA-01 + QnA-23. Cửa sổ lịch sử đơn = THÍCH ỨNG 3-6 tháng theo BRD, tính cross-store (mọi serving store) - ĐÃ XÁC NHẬN QnA-24.
Lọc hiển thị 2 lớp (QnA-24, BA cập nhật - nạp 28/09/2026): lớp 1 đếm Order Count trên đơn của khách ở MỌI store; lớp 2 chỉ giữ SKU thuộc catalogue của Serving Store đang chọn VÀ còn hàng (stock&gt;0), rồi mới lấy Top đầu.</t>
        </is>
      </c>
      <c r="K6" s="11" t="inlineStr">
        <is>
          <t>Đúng thứ tự theo Order Count; SKU hết hàng bị loại khỏi lô hiển thị đầu; khối hoàn toàn không xuất hiện với dữ liệu PII thô nào ngoài Product_ID.</t>
        </is>
      </c>
      <c r="L6" s="11" t="inlineStr">
        <is>
          <t>QnA-01, QnA-23, QnA-24, QnA-53</t>
        </is>
      </c>
      <c r="M6" s="11" t="inlineStr">
        <is>
          <t>RESOLVED QnA-01/23 (ẩn khối khi không có lịch sử mua), QnA-24 (cửa sổ thích ứng 3-6 tháng BRD, cross-store), QnA-53 (lazy load không giới hạn).
QnA-24 cập nhật 28/09/2026: thêm lớp lọc theo Serving Store (TC5, INT-04-SC1-TC3).</t>
        </is>
      </c>
    </row>
    <row r="7" ht="63.75" customHeight="1">
      <c r="A7" s="9" t="n">
        <v>5</v>
      </c>
      <c r="B7" s="9" t="inlineStr">
        <is>
          <t>SS-SCR-001-SC5</t>
        </is>
      </c>
      <c r="C7" s="9" t="inlineStr">
        <is>
          <t>SS-SCR-001</t>
        </is>
      </c>
      <c r="D7" s="9" t="inlineStr">
        <is>
          <t>A. Search Bar &amp; Pre-search</t>
        </is>
      </c>
      <c r="E7" s="9" t="inlineStr">
        <is>
          <t>FR-IS-02, FR-VS-02, FR-PS-01, FR-PS-02, FR-PS-03, FR-PS-04</t>
        </is>
      </c>
      <c r="F7" s="9" t="inlineStr">
        <is>
          <t>Normal</t>
        </is>
      </c>
      <c r="G7" s="9" t="inlineStr">
        <is>
          <t>Kiểm tra Placeholder xoay vòng trên ô nhập Search Bar khi chưa gõ gì.</t>
        </is>
      </c>
      <c r="H7" s="9" t="inlineStr">
        <is>
          <t>Placeholder rotating theo danh sách Xu hướng tìm kiếm</t>
        </is>
      </c>
      <c r="I7" s="9" t="inlineStr">
        <is>
          <t>Search Bar rỗng, chưa focus; danh sách Trending đã có dữ liệu.</t>
        </is>
      </c>
      <c r="J7" s="9" t="inlineStr">
        <is>
          <t>Placeholder text đổi từ khoá hot mỗi 3 giây, nguồn dữ liệu đồng bộ trực tiếp từ khối Xu hướng tìm kiếm (FR-PS-02).</t>
        </is>
      </c>
      <c r="K7" s="9" t="inlineStr">
        <is>
          <t>Chu kỳ đổi placeholder đúng 3 giây ± dung sai hợp lý; nội dung placeholder luôn nằm trong tập từ khoá trending hiện có, không hiển thị khi ô nhập đã có nội dung/đang focus.</t>
        </is>
      </c>
      <c r="L7" s="9" t="n"/>
      <c r="M7" s="9" t="n"/>
    </row>
    <row r="8" ht="51" customHeight="1">
      <c r="A8" s="11" t="n">
        <v>6</v>
      </c>
      <c r="B8" s="11" t="inlineStr">
        <is>
          <t>SS-SCR-001-SC6</t>
        </is>
      </c>
      <c r="C8" s="11" t="inlineStr">
        <is>
          <t>SS-SCR-001</t>
        </is>
      </c>
      <c r="D8" s="11" t="inlineStr">
        <is>
          <t>A. Search Bar &amp; Pre-search</t>
        </is>
      </c>
      <c r="E8" s="11" t="inlineStr">
        <is>
          <t>FR-IS-02, FR-VS-02, FR-PS-01, FR-PS-02, FR-PS-03, FR-PS-04</t>
        </is>
      </c>
      <c r="F8" s="11" t="inlineStr">
        <is>
          <t>Boundary</t>
        </is>
      </c>
      <c r="G8" s="11" t="inlineStr">
        <is>
          <t>Kiểm tra badge số lượng Giỏ hàng ở các mức 0 / 1-98 / 99+.</t>
        </is>
      </c>
      <c r="H8" s="11" t="inlineStr">
        <is>
          <t>0 sản phẩm / 45 sản phẩm / 130 sản phẩm trong giỏ</t>
        </is>
      </c>
      <c r="I8" s="11" t="inlineStr">
        <is>
          <t>Global Header hiển thị trên mọi màn hình.</t>
        </is>
      </c>
      <c r="J8" s="11" t="inlineStr">
        <is>
          <t>0 sản phẩm: badge ẩn hoàn toàn. 1-98: hiện đúng số. ≥99: hiển thị dạng rút gọn — định dạng cụ thể ("99+") chưa được BRD/Storyboard quy định.</t>
        </is>
      </c>
      <c r="K8" s="11" t="inlineStr">
        <is>
          <t>Badge không hiển thị số 0; không tràn UI khi số lớn.</t>
        </is>
      </c>
      <c r="L8" s="11" t="inlineStr">
        <is>
          <t>QnA-20</t>
        </is>
      </c>
      <c r="M8" s="11" t="inlineStr">
        <is>
          <t>OPEN — QnA-20: xem chi tiết trong file QnA log.</t>
        </is>
      </c>
    </row>
    <row r="9" ht="51" customHeight="1">
      <c r="A9" s="9" t="n">
        <v>7</v>
      </c>
      <c r="B9" s="9" t="inlineStr">
        <is>
          <t>SS-SCR-001-SC7</t>
        </is>
      </c>
      <c r="C9" s="9" t="inlineStr">
        <is>
          <t>SS-SCR-001</t>
        </is>
      </c>
      <c r="D9" s="9" t="inlineStr">
        <is>
          <t>A. Search Bar &amp; Pre-search</t>
        </is>
      </c>
      <c r="E9" s="9" t="inlineStr">
        <is>
          <t>FR-IS-02, FR-VS-02, FR-PS-01, FR-PS-02, FR-PS-03, FR-PS-04</t>
        </is>
      </c>
      <c r="F9" s="9" t="inlineStr">
        <is>
          <t>Functional</t>
        </is>
      </c>
      <c r="G9" s="9" t="inlineStr">
        <is>
          <t>Tương tác với Product Card trong khối "Thường mua": tap card mở PDP, tap (+) thêm nhanh.</t>
        </is>
      </c>
      <c r="H9" s="9" t="inlineStr">
        <is>
          <t>Tap vào card sản phẩm / tap nút (+)</t>
        </is>
      </c>
      <c r="I9" s="9" t="inlineStr">
        <is>
          <t>Đã đăng nhập, khối "Thường mua" hiển thị ≥1 sản phẩm.</t>
        </is>
      </c>
      <c r="J9" s="9" t="inlineStr">
        <is>
          <t>Tap card mở đúng trang PDP của sản phẩm đó; tap (+) thêm 1 đơn vị vào giỏ và hiện Toast (SS-SCR-011), không rời Pre-search.</t>
        </is>
      </c>
      <c r="K9" s="9" t="inlineStr">
        <is>
          <t>Điều hướng đúng PDP; add-to-cart không rời màn hình hiện tại.</t>
        </is>
      </c>
      <c r="L9" s="9" t="n"/>
      <c r="M9" s="9" t="n"/>
    </row>
    <row r="10" ht="51" customHeight="1">
      <c r="A10" s="9" t="n">
        <v>8</v>
      </c>
      <c r="B10" s="9" t="inlineStr">
        <is>
          <t>SS-SCR-001-SC8</t>
        </is>
      </c>
      <c r="C10" s="9" t="inlineStr">
        <is>
          <t>SS-SCR-001</t>
        </is>
      </c>
      <c r="D10" s="9" t="inlineStr">
        <is>
          <t>A. Search Bar &amp; Pre-search</t>
        </is>
      </c>
      <c r="E10" s="9" t="inlineStr">
        <is>
          <t>FR-IS-02, FR-VS-02, FR-PS-01, FR-PS-02, FR-PS-03, FR-PS-04</t>
        </is>
      </c>
      <c r="F10" s="9" t="inlineStr">
        <is>
          <t>Boundary</t>
        </is>
      </c>
      <c r="G10" s="9" t="inlineStr">
        <is>
          <t>Tải thêm SKU trong khối "Thường mua" khi khách lướt hết Top 10 đầu tiên.</t>
        </is>
      </c>
      <c r="H10" s="9" t="inlineStr">
        <is>
          <t>Cuộn ngang hết 10 SKU đầu</t>
        </is>
      </c>
      <c r="I10" s="9" t="inlineStr">
        <is>
          <t>Khách hàng có &gt;10 SKU đủ điều kiện xếp vào "Thường mua".</t>
        </is>
      </c>
      <c r="J10" s="9" t="inlineStr">
        <is>
          <t>Theo FR-PS-03: sau khi lướt hết Top 10 hiển thị, hệ thống tải tiếp lô 10 SKU kế tiếp theo đúng thứ tự tần suất mua giảm dần, tiếp tục cho tới hết danh sách.</t>
        </is>
      </c>
      <c r="K10" s="9" t="inlineStr">
        <is>
          <t>Không trùng lặp SKU giữa các lô; dừng tải khi hết danh sách, không hiện loading vô hạn.</t>
        </is>
      </c>
      <c r="L10" s="9" t="n"/>
      <c r="M10" s="9" t="n"/>
    </row>
    <row r="11" ht="51" customHeight="1">
      <c r="A11" s="11" t="n">
        <v>9</v>
      </c>
      <c r="B11" s="11" t="inlineStr">
        <is>
          <t>SS-SCR-001-SC9</t>
        </is>
      </c>
      <c r="C11" s="11" t="inlineStr">
        <is>
          <t>SS-SCR-001</t>
        </is>
      </c>
      <c r="D11" s="11" t="inlineStr">
        <is>
          <t>A. Search Bar &amp; Pre-search</t>
        </is>
      </c>
      <c r="E11" s="11" t="inlineStr">
        <is>
          <t>FR-IS-02, FR-VS-02, FR-PS-01, FR-PS-02, FR-PS-03, FR-PS-04</t>
        </is>
      </c>
      <c r="F11" s="11" t="inlineStr">
        <is>
          <t>Exception</t>
        </is>
      </c>
      <c r="G11" s="11" t="inlineStr">
        <is>
          <t>Lỗi mạng khi tải khối Trending/Thường mua ngay tại Pre-search (trước khi khách thực hiện bất kỳ tìm kiếm nào).</t>
        </is>
      </c>
      <c r="H11" s="11" t="inlineStr">
        <is>
          <t>Mất kết nối mạng khi mở Pre-search Screen</t>
        </is>
      </c>
      <c r="I11" s="11" t="inlineStr">
        <is>
          <t>Thiết bị test có thể giả lập mất mạng.</t>
        </is>
      </c>
      <c r="J11" s="11" t="inlineStr">
        <is>
          <t>Chưa có tài liệu quy định hành vi UI cụ thể cho trường hợp này (khác với lỗi mạng lúc xử lý tìm kiếm ở SS-SCR-004, đã có quy định &gt;5s → thông báo lỗi + Thử lại).</t>
        </is>
      </c>
      <c r="K11" s="11" t="inlineStr">
        <is>
          <t>Không được để trắng toàn bộ Pre-search hay crash app.</t>
        </is>
      </c>
      <c r="L11" s="11" t="inlineStr">
        <is>
          <t>QnA-21</t>
        </is>
      </c>
      <c r="M11" s="11" t="inlineStr">
        <is>
          <t>OPEN — QnA-21: xem chi tiết trong file QnA log.</t>
        </is>
      </c>
    </row>
    <row r="12" hidden="1" ht="63.75" customHeight="1">
      <c r="A12" s="19" t="n">
        <v>10</v>
      </c>
      <c r="B12" s="19" t="inlineStr">
        <is>
          <t>SS-SCR-002-SC1</t>
        </is>
      </c>
      <c r="C12" s="19" t="inlineStr">
        <is>
          <t>SS-SCR-002</t>
        </is>
      </c>
      <c r="D12" s="19" t="inlineStr">
        <is>
          <t>B. Autocomplete</t>
        </is>
      </c>
      <c r="E12" s="19" t="inlineStr">
        <is>
          <t>FR-SP-01, FR-GD-02</t>
        </is>
      </c>
      <c r="F12" s="19" t="inlineStr">
        <is>
          <t>Normal</t>
        </is>
      </c>
      <c r="G12" s="19" t="inlineStr">
        <is>
          <t>Gõ từ khoá, quan sát danh sách gợi ý autocomplete.</t>
        </is>
      </c>
      <c r="H12" s="19" t="inlineStr">
        <is>
          <t>"sữa"</t>
        </is>
      </c>
      <c r="I12" s="19" t="inlineStr">
        <is>
          <t>Search bar auto-focus, bàn phím hệ thống hiện sẵn.</t>
        </is>
      </c>
      <c r="J12" s="19" t="inlineStr">
        <is>
          <t>Sau debounce 300ms, tối đa 10 dòng gợi ý hiện ra, sắp theo số từ khoá trong query khớp với tên sản phẩm giảm dần (đúng FR-SP-01 và rule ưu tiên đã BA xác nhận 2026-08-24 — xem QnA-54, đã Resolved), phần khớp với chuỗi đang gõ được in đậm; danh sách nằm trọn phía trên bàn phím, không bị che. NFR-002 chính thức = 300ms (QnA-62). Gõ không dấu -&gt; Autocomplete hiển thị gợi ý CÓ DẤU chuẩn hoá (QnA-55, FR-SM-06).</t>
        </is>
      </c>
      <c r="K12" s="19" t="inlineStr">
        <is>
          <t>Độ trễ hiển thị ≤300ms sau khi dừng gõ 300ms (P95, NFR-002); ≤10 dòng; highlight đúng vị trí ký tự khớp.</t>
        </is>
      </c>
      <c r="L12" s="19" t="inlineStr">
        <is>
          <t>QnA-54, QnA-62, QnA-55</t>
        </is>
      </c>
      <c r="M12" s="19" t="inlineStr">
        <is>
          <t>RESOLVED QnA-54 (BA meeting 24/08/2026, rule 5: số từ khoá khớp tên SP). NFR-002 = 300ms (QnA-62). Gõ không dấu -&gt; gợi ý có dấu (QnA-55, một phần).</t>
        </is>
      </c>
    </row>
    <row r="13" hidden="1" ht="51" customHeight="1">
      <c r="A13" s="9" t="n">
        <v>11</v>
      </c>
      <c r="B13" s="9" t="inlineStr">
        <is>
          <t>SS-SCR-002-SC2</t>
        </is>
      </c>
      <c r="C13" s="9" t="inlineStr">
        <is>
          <t>SS-SCR-002</t>
        </is>
      </c>
      <c r="D13" s="9" t="inlineStr">
        <is>
          <t>B. Autocomplete</t>
        </is>
      </c>
      <c r="E13" s="9" t="inlineStr">
        <is>
          <t>FR-SP-01, FR-GD-02</t>
        </is>
      </c>
      <c r="F13" s="9" t="inlineStr">
        <is>
          <t>Edge</t>
        </is>
      </c>
      <c r="G13" s="9" t="inlineStr">
        <is>
          <t>Gõ 1 ký tự và API không trả gợi ý nào.</t>
        </is>
      </c>
      <c r="H13" s="9" t="inlineStr">
        <is>
          <t>"x" (không khớp gợi ý nào)</t>
        </is>
      </c>
      <c r="I13" s="9" t="inlineStr">
        <is>
          <t>Catalogue đã index; API trả rỗng cho input này.</t>
        </is>
      </c>
      <c r="J13" s="9" t="inlineStr">
        <is>
          <t>Danh sách gợi ý bị ẩn hoàn toàn, màn hình Pre-search bên dưới vẫn nguyên trạng, KHÔNG hiển thị trạng thái "không có gợi ý"/rỗng.</t>
        </is>
      </c>
      <c r="K13" s="9" t="inlineStr">
        <is>
          <t>Không có UI trạng thái trống nào xuất hiện; Pre-search giữ nguyên nội dung phía sau lớp Autocomplete.</t>
        </is>
      </c>
      <c r="L13" s="9" t="n"/>
      <c r="M13" s="9" t="n"/>
    </row>
    <row r="14" hidden="1" ht="63.75" customHeight="1">
      <c r="A14" s="9" t="n">
        <v>12</v>
      </c>
      <c r="B14" s="9" t="inlineStr">
        <is>
          <t>SS-SCR-002-SC3</t>
        </is>
      </c>
      <c r="C14" s="9" t="inlineStr">
        <is>
          <t>SS-SCR-002</t>
        </is>
      </c>
      <c r="D14" s="9" t="inlineStr">
        <is>
          <t>B. Autocomplete</t>
        </is>
      </c>
      <c r="E14" s="9" t="inlineStr">
        <is>
          <t>FR-SP-01, FR-GD-02</t>
        </is>
      </c>
      <c r="F14" s="9" t="inlineStr">
        <is>
          <t>Functional</t>
        </is>
      </c>
      <c r="G14" s="9" t="inlineStr">
        <is>
          <t>So sánh hành vi Tap gợi ý vs nhấn Enter trên bàn phím.</t>
        </is>
      </c>
      <c r="H14" s="9" t="inlineStr">
        <is>
          <t>Tap 1 dòng gợi ý / Gõ xong rồi nhấn Enter</t>
        </is>
      </c>
      <c r="I14" s="9" t="inlineStr">
        <is>
          <t>Danh sách gợi ý đang hiển thị.</t>
        </is>
      </c>
      <c r="J14" s="9" t="inlineStr">
        <is>
          <t>Tap gợi ý: đổ đúng từ khoá của dòng đó vào ô nhập, đóng bàn phím, chạy tìm kiếm theo từ khoá gợi ý. Nhấn Enter: tìm theo đúng chuỗi khách đang gõ (không phải chuỗi gợi ý đầu danh sách).</t>
        </is>
      </c>
      <c r="K14" s="9" t="inlineStr">
        <is>
          <t>2 hành vi phải cho ra 2 kết quả khác nhau nếu chuỗi gõ khác với gợi ý đầu tiên.</t>
        </is>
      </c>
      <c r="L14" s="9" t="n"/>
      <c r="M14" s="9" t="n"/>
    </row>
    <row r="15" hidden="1" ht="51" customHeight="1">
      <c r="A15" s="9" t="n">
        <v>13</v>
      </c>
      <c r="B15" s="9" t="inlineStr">
        <is>
          <t>SS-SCR-002-SC4</t>
        </is>
      </c>
      <c r="C15" s="9" t="inlineStr">
        <is>
          <t>SS-SCR-002</t>
        </is>
      </c>
      <c r="D15" s="9" t="inlineStr">
        <is>
          <t>B. Autocomplete</t>
        </is>
      </c>
      <c r="E15" s="9" t="inlineStr">
        <is>
          <t>FR-SP-01, FR-GD-02</t>
        </is>
      </c>
      <c r="F15" s="9" t="inlineStr">
        <is>
          <t>Boundary</t>
        </is>
      </c>
      <c r="G15" s="9" t="inlineStr">
        <is>
          <t>Xoá dần ký tự trong ô nhập cho tới khi rỗng.</t>
        </is>
      </c>
      <c r="H15" s="9" t="inlineStr">
        <is>
          <t>Gõ "sữa" rồi xoá từng ký tự tới rỗng</t>
        </is>
      </c>
      <c r="I15" s="9" t="inlineStr">
        <is>
          <t>Đang ở Autocomplete Screen với gợi ý hiển thị.</t>
        </is>
      </c>
      <c r="J15" s="9" t="inlineStr">
        <is>
          <t>Danh sách gợi ý cập nhật lại theo từng ký tự còn lại; khi ô nhập về rỗng hoàn toàn, quay lại đúng trạng thái Pre-search (không phải danh sách gợi ý rỗng).</t>
        </is>
      </c>
      <c r="K15" s="9" t="inlineStr">
        <is>
          <t>Không có trạng thái trung gian bị treo/gợi ý cũ còn sót lại khi ô nhập đã rỗng.</t>
        </is>
      </c>
      <c r="L15" s="9" t="n"/>
      <c r="M15" s="9" t="n"/>
    </row>
    <row r="16" hidden="1" ht="76.5" customHeight="1">
      <c r="A16" s="11" t="n">
        <v>14</v>
      </c>
      <c r="B16" s="11" t="inlineStr">
        <is>
          <t>SS-SCR-002-SC5</t>
        </is>
      </c>
      <c r="C16" s="11" t="inlineStr">
        <is>
          <t>SS-SCR-002</t>
        </is>
      </c>
      <c r="D16" s="11" t="inlineStr">
        <is>
          <t>B. Autocomplete</t>
        </is>
      </c>
      <c r="E16" s="11" t="inlineStr">
        <is>
          <t>FR-SP-01, FR-GD-02</t>
        </is>
      </c>
      <c r="F16" s="11" t="inlineStr">
        <is>
          <t>Edge</t>
        </is>
      </c>
      <c r="G16" s="11" t="inlineStr">
        <is>
          <t>Nhập chuỗi ký tự đặc biệt / emoji / chuỗi rất dài vào ô tìm kiếm.</t>
        </is>
      </c>
      <c r="H16" s="11" t="inlineStr">
        <is>
          <t>"@@@###!!!" / 😀🥛 / chuỗi 200 ký tự lặp lại</t>
        </is>
      </c>
      <c r="I16" s="11" t="inlineStr">
        <is>
          <t>Search Bar đang focus.</t>
        </is>
      </c>
      <c r="J16" s="11" t="inlineStr">
        <is>
          <t>Hệ thống không crash; với ký tự đặc biệt/emoji trả về gợi ý rỗng (ẩn danh sách theo đúng quy tắc "API rỗng"); chuỗi vượt quá độ dài tối đa cho phép bị giới hạn nhập hoặc bị cắt — giới hạn cụ thể (số ký tự tối đa) chưa được BRD quy định.</t>
        </is>
      </c>
      <c r="K16" s="11" t="inlineStr">
        <is>
          <t>Không crash; không gửi request gây lỗi 5xx; UI luôn ở trạng thái ổn định.</t>
        </is>
      </c>
      <c r="L16" s="11" t="inlineStr">
        <is>
          <t>QnA-03</t>
        </is>
      </c>
      <c r="M16" s="11" t="inlineStr">
        <is>
          <t>OPEN — QnA-03: xem chi tiết trong file QnA log.</t>
        </is>
      </c>
    </row>
    <row r="17" hidden="1" ht="63.75" customHeight="1">
      <c r="A17" s="9" t="n">
        <v>15</v>
      </c>
      <c r="B17" s="9" t="inlineStr">
        <is>
          <t>SS-SCR-002-SC6</t>
        </is>
      </c>
      <c r="C17" s="9" t="inlineStr">
        <is>
          <t>SS-SCR-002</t>
        </is>
      </c>
      <c r="D17" s="9" t="inlineStr">
        <is>
          <t>B. Autocomplete</t>
        </is>
      </c>
      <c r="E17" s="9" t="inlineStr">
        <is>
          <t>FR-SP-01, FR-GD-02</t>
        </is>
      </c>
      <c r="F17" s="9" t="inlineStr">
        <is>
          <t>Exception</t>
        </is>
      </c>
      <c r="G17" s="9" t="inlineStr">
        <is>
          <t>API gợi ý bị timeout/lỗi mạng khi đang gõ.</t>
        </is>
      </c>
      <c r="H17" s="9" t="inlineStr">
        <is>
          <t>Gõ "sữa" trong lúc backend gợi ý trả lỗi 5xx/timeout</t>
        </is>
      </c>
      <c r="I17" s="9" t="inlineStr">
        <is>
          <t>Giả lập lỗi mạng cho endpoint autocomplete.</t>
        </is>
      </c>
      <c r="J17" s="9" t="inlineStr">
        <is>
          <t>Không crash; danh sách gợi ý không hiển thị (coi như rỗng); Pre-search/trạng thái trước đó không bị phá vỡ; khách vẫn có thể nhấn Enter để tìm kiếm trực tiếp (không phụ thuộc autocomplete).</t>
        </is>
      </c>
      <c r="K17" s="9" t="inlineStr">
        <is>
          <t>Lỗi autocomplete không được chặn luồng tìm kiếm chính (Enter vẫn hoạt động).</t>
        </is>
      </c>
      <c r="L17" s="9" t="n"/>
      <c r="M17" s="9" t="n"/>
    </row>
    <row r="18" hidden="1" ht="76.5" customHeight="1">
      <c r="A18" s="9" t="n">
        <v>16</v>
      </c>
      <c r="B18" s="9" t="inlineStr">
        <is>
          <t>SS-SCR-003-SC1</t>
        </is>
      </c>
      <c r="C18" s="9" t="inlineStr">
        <is>
          <t>SS-SCR-003</t>
        </is>
      </c>
      <c r="D18" s="9" t="inlineStr">
        <is>
          <t>C. Auto-Correct Banner</t>
        </is>
      </c>
      <c r="E18" s="9" t="inlineStr">
        <is>
          <t>FR-AC-01, FR-AC-03</t>
        </is>
      </c>
      <c r="F18" s="9" t="inlineStr">
        <is>
          <t>Typo</t>
        </is>
      </c>
      <c r="G18" s="9" t="inlineStr">
        <is>
          <t>Gõ một chuỗi sai chính tả có fuzzy-match hợp lệ.</t>
        </is>
      </c>
      <c r="H18" s="9" t="inlineStr">
        <is>
          <t>"sua toui"</t>
        </is>
      </c>
      <c r="I18" s="9" t="inlineStr">
        <is>
          <t>Bộ so khớp mờ (fuzzy match) đang hoạt động.</t>
        </is>
      </c>
      <c r="J18" s="9" t="inlineStr">
        <is>
          <t>Ô nhập giữ nguyên "sua toui" (không tự ghi đè); banner "Chúng tôi đã tìm từ khoá chính xác hơn cho bạn" xuất hiện với liên kết "Bạn muốn tìm 'sữa tươi'?"; danh sách autocomplete theo từ đã chuẩn hoá hiển thị bên dưới banner.</t>
        </is>
      </c>
      <c r="K18" s="9" t="inlineStr">
        <is>
          <t>Input field không bị hệ thống tự động ghi đè; banner chỉ đề xuất, việc chuyển hướng chỉ xảy ra khi khách chủ động tap.</t>
        </is>
      </c>
      <c r="L18" s="9" t="n"/>
      <c r="M18" s="9" t="n"/>
    </row>
    <row r="19" hidden="1" ht="38.25" customHeight="1">
      <c r="A19" s="9" t="n">
        <v>17</v>
      </c>
      <c r="B19" s="9" t="inlineStr">
        <is>
          <t>SS-SCR-003-SC2</t>
        </is>
      </c>
      <c r="C19" s="9" t="inlineStr">
        <is>
          <t>SS-SCR-003</t>
        </is>
      </c>
      <c r="D19" s="9" t="inlineStr">
        <is>
          <t>C. Auto-Correct Banner</t>
        </is>
      </c>
      <c r="E19" s="9" t="inlineStr">
        <is>
          <t>FR-AC-01, FR-AC-03</t>
        </is>
      </c>
      <c r="F19" s="9" t="inlineStr">
        <is>
          <t>Exception</t>
        </is>
      </c>
      <c r="G19" s="9" t="inlineStr">
        <is>
          <t>Gõ một từ đã đúng chính tả / tên brand hợp lệ.</t>
        </is>
      </c>
      <c r="H19" s="9" t="inlineStr">
        <is>
          <t>"Milo" (brand hợp lệ)</t>
        </is>
      </c>
      <c r="I19" s="9" t="inlineStr">
        <is>
          <t>"Milo" tồn tại như brand/catalog term hợp lệ.</t>
        </is>
      </c>
      <c r="J19" s="9" t="inlineStr">
        <is>
          <t>Banner gợi ý KHÔNG xuất hiện; hệ thống không áp dụng auto-correct hay thay đổi query.</t>
        </is>
      </c>
      <c r="K19" s="9" t="inlineStr">
        <is>
          <t>0% trường hợp banner xuất hiện cho từ khoá đã hợp lệ trong catalogue/brand list.</t>
        </is>
      </c>
      <c r="L19" s="9" t="n"/>
      <c r="M19" s="9" t="n"/>
    </row>
    <row r="20" hidden="1" ht="51" customHeight="1">
      <c r="A20" s="9" t="n">
        <v>18</v>
      </c>
      <c r="B20" s="9" t="inlineStr">
        <is>
          <t>SS-SCR-003-SC3</t>
        </is>
      </c>
      <c r="C20" s="9" t="inlineStr">
        <is>
          <t>SS-SCR-003</t>
        </is>
      </c>
      <c r="D20" s="9" t="inlineStr">
        <is>
          <t>C. Auto-Correct Banner</t>
        </is>
      </c>
      <c r="E20" s="9" t="inlineStr">
        <is>
          <t>FR-AC-01, FR-AC-03</t>
        </is>
      </c>
      <c r="F20" s="9" t="inlineStr">
        <is>
          <t>Edge</t>
        </is>
      </c>
      <c r="G20" s="9" t="inlineStr">
        <is>
          <t>Gõ tiếp sau khi banner sửa lỗi đã xuất hiện (không tap banner, không đóng).</t>
        </is>
      </c>
      <c r="H20" s="9" t="inlineStr">
        <is>
          <t>"sua toui" → gõ tiếp thành "sua tuoi khong duong"</t>
        </is>
      </c>
      <c r="I20" s="9" t="inlineStr">
        <is>
          <t>Banner gợi ý sửa lỗi đang hiển thị cho "sua toui".</t>
        </is>
      </c>
      <c r="J20" s="9" t="inlineStr">
        <is>
          <t>Banner cập nhật lại (hoặc ẩn đi nếu chuỗi mới không còn fuzzy-match) theo đúng nội dung mới đang gõ, không giữ nguyên gợi ý cũ đã lỗi thời.</t>
        </is>
      </c>
      <c r="K20" s="9" t="inlineStr">
        <is>
          <t>Banner luôn phản ánh đúng trạng thái input hiện tại, không hiển thị gợi ý cho chuỗi đã cũ.</t>
        </is>
      </c>
      <c r="L20" s="9" t="n"/>
      <c r="M20" s="9" t="n"/>
    </row>
    <row r="21" hidden="1" ht="51" customHeight="1">
      <c r="A21" s="9" t="n">
        <v>19</v>
      </c>
      <c r="B21" s="9" t="inlineStr">
        <is>
          <t>SS-SCR-003-SC4</t>
        </is>
      </c>
      <c r="C21" s="9" t="inlineStr">
        <is>
          <t>SS-SCR-003</t>
        </is>
      </c>
      <c r="D21" s="9" t="inlineStr">
        <is>
          <t>C. Auto-Correct Banner</t>
        </is>
      </c>
      <c r="E21" s="9" t="inlineStr">
        <is>
          <t>FR-AC-01, FR-AC-03</t>
        </is>
      </c>
      <c r="F21" s="9" t="inlineStr">
        <is>
          <t>Multilingual</t>
        </is>
      </c>
      <c r="G21" s="9" t="inlineStr">
        <is>
          <t>Sửa lỗi chính tả cho truy vấn tiếng Anh khi UI đang ở tiếng Việt.</t>
        </is>
      </c>
      <c r="H21" s="9" t="inlineStr">
        <is>
          <t>"milkk" (UI=VI)</t>
        </is>
      </c>
      <c r="I21" s="9" t="inlineStr">
        <is>
          <t>UI language = VI; "milkk" là lỗi gõ thừa 1 ký tự của "milk".</t>
        </is>
      </c>
      <c r="J21" s="9" t="inlineStr">
        <is>
          <t>Banner vẫn phát hiện và gợi ý đúng "milk" dù input là tiếng Anh và UI là tiếng Việt — phù hợp nguyên tắc sửa lỗi không phụ thuộc ngôn ngữ nhập.</t>
        </is>
      </c>
      <c r="K21" s="9" t="inlineStr">
        <is>
          <t>Phát hiện lỗi chính tả không phụ thuộc ngôn ngữ của từ khoá.</t>
        </is>
      </c>
      <c r="L21" s="9" t="n"/>
      <c r="M21" s="9" t="n"/>
    </row>
    <row r="22" hidden="1" ht="63.75" customHeight="1">
      <c r="A22" s="11" t="n">
        <v>20</v>
      </c>
      <c r="B22" s="11" t="inlineStr">
        <is>
          <t>SS-SCR-004-SC1</t>
        </is>
      </c>
      <c r="C22" s="11" t="inlineStr">
        <is>
          <t>SS-SCR-004</t>
        </is>
      </c>
      <c r="D22" s="11" t="inlineStr">
        <is>
          <t>D. Search Processing / Loading</t>
        </is>
      </c>
      <c r="E22" s="11" t="inlineStr">
        <is>
          <t>FR-GD-01, FR-GD-03 (loading UI — NFR ID chưa xác nhận, xem QnA-08)</t>
        </is>
      </c>
      <c r="F22" s="11" t="inlineStr">
        <is>
          <t>Performance</t>
        </is>
      </c>
      <c r="G22" s="11" t="inlineStr">
        <is>
          <t>Đo thời gian hiển thị màn hình Loading và ngưỡng chuyển sang lỗi mạng.</t>
        </is>
      </c>
      <c r="H22" s="11" t="inlineStr">
        <is>
          <t>Truy vấn văn bản/hình ảnh/giọng nói bình thường</t>
        </is>
      </c>
      <c r="I22" s="11" t="inlineStr">
        <is>
          <t>Thiết bị test có khả năng giả lập độ trễ mạng.</t>
        </is>
      </c>
      <c r="J22" s="11" t="inlineStr">
        <is>
          <t>Loading chỉ hiển thị khi phản hồi &gt;300ms; nếu &gt;5s → chuyển sang thông báo lỗi mạng kèm nút "Thử lại"; không bao giờ để màn hình trắng; component loading dùng chung cho cả 3 luồng (text/image/voice).</t>
        </is>
      </c>
      <c r="K22" s="11" t="inlineStr">
        <is>
          <t>Ngưỡng hiển thị đúng &gt;300ms và &gt;5s như mô tả; không có trạng thái trắng ở bất kỳ thời điểm nào.</t>
        </is>
      </c>
      <c r="L22" s="11" t="inlineStr">
        <is>
          <t>QnA-08</t>
        </is>
      </c>
      <c r="M22" s="11" t="inlineStr">
        <is>
          <t>OPEN — QnA-08: xem chi tiết trong file QnA log.</t>
        </is>
      </c>
    </row>
    <row r="23" hidden="1" ht="63.75" customHeight="1">
      <c r="A23" s="9" t="n">
        <v>21</v>
      </c>
      <c r="B23" s="9" t="inlineStr">
        <is>
          <t>SS-SCR-004-SC2</t>
        </is>
      </c>
      <c r="C23" s="9" t="inlineStr">
        <is>
          <t>SS-SCR-004</t>
        </is>
      </c>
      <c r="D23" s="9" t="inlineStr">
        <is>
          <t>D. Search Processing / Loading</t>
        </is>
      </c>
      <c r="E23" s="9" t="inlineStr">
        <is>
          <t>FR-GD-01, FR-GD-03 (loading UI — NFR ID chưa xác nhận, xem QnA-08)</t>
        </is>
      </c>
      <c r="F23" s="9" t="inlineStr">
        <is>
          <t>Edge</t>
        </is>
      </c>
      <c r="G23" s="9" t="inlineStr">
        <is>
          <t>Huỷ tìm kiếm giữa chừng bằng cách nhấn nút Back trong lúc đang Loading.</t>
        </is>
      </c>
      <c r="H23" s="9" t="inlineStr">
        <is>
          <t>Nhấn Back khi Loading Screen đang hiển thị</t>
        </is>
      </c>
      <c r="I23" s="9" t="inlineStr">
        <is>
          <t>Đang ở Loading Screen (SS-SCR-004) chờ kết quả.</t>
        </is>
      </c>
      <c r="J23" s="9" t="inlineStr">
        <is>
          <t>Request tìm kiếm đang chờ bị huỷ (hoặc kết quả trả về sau đó bị bỏ qua); khách quay lại đúng màn hình trước đó (Autocomplete/Camera/Listening) mà không bị crash hay kẹt ở Loading.</t>
        </is>
      </c>
      <c r="K23" s="9" t="inlineStr">
        <is>
          <t>Không có race condition khiến kết quả cũ hiện ra sau khi khách đã rời màn hình.</t>
        </is>
      </c>
      <c r="L23" s="9" t="n"/>
      <c r="M23" s="9" t="n"/>
    </row>
    <row r="24" hidden="1" ht="38.25" customHeight="1">
      <c r="A24" s="9" t="n">
        <v>22</v>
      </c>
      <c r="B24" s="9" t="inlineStr">
        <is>
          <t>SS-SCR-004-SC3</t>
        </is>
      </c>
      <c r="C24" s="9" t="inlineStr">
        <is>
          <t>SS-SCR-004</t>
        </is>
      </c>
      <c r="D24" s="9" t="inlineStr">
        <is>
          <t>D. Search Processing / Loading</t>
        </is>
      </c>
      <c r="E24" s="9" t="inlineStr">
        <is>
          <t>FR-GD-01, FR-GD-03 (loading UI — NFR ID chưa xác nhận, xem QnA-08)</t>
        </is>
      </c>
      <c r="F24" s="9" t="inlineStr">
        <is>
          <t>Edge</t>
        </is>
      </c>
      <c r="G24" s="9" t="inlineStr">
        <is>
          <t>Chip từ khoá hiển thị trên Loading Screen với từ khoá rất dài.</t>
        </is>
      </c>
      <c r="H24" s="9" t="inlineStr">
        <is>
          <t>Từ khoá 60 ký tự</t>
        </is>
      </c>
      <c r="I24" s="9" t="inlineStr">
        <is>
          <t>Đang ở Loading Screen.</t>
        </is>
      </c>
      <c r="J24" s="9" t="inlineStr">
        <is>
          <t>Chip từ khoá bị cắt/rút gọn (ellipsis) hợp lý, không làm vỡ layout màn hình Loading.</t>
        </is>
      </c>
      <c r="K24" s="9" t="inlineStr">
        <is>
          <t>Không tràn layout; nội dung vẫn đọc được phần đầu từ khoá.</t>
        </is>
      </c>
      <c r="L24" s="9" t="n"/>
      <c r="M24" s="9" t="n"/>
    </row>
    <row r="25" hidden="1" ht="76.5" customHeight="1">
      <c r="A25" s="9" t="n">
        <v>23</v>
      </c>
      <c r="B25" s="9" t="inlineStr">
        <is>
          <t>SS-SCR-005-SC1</t>
        </is>
      </c>
      <c r="C25" s="9" t="inlineStr">
        <is>
          <t>SS-SCR-005</t>
        </is>
      </c>
      <c r="D25" s="9" t="inlineStr">
        <is>
          <t>E. Search Results — Grid</t>
        </is>
      </c>
      <c r="E25" s="9" t="inlineStr">
        <is>
          <t>FR-PR-01, FR-PR-02, FR-PR-05, FR-PR-07, FR-SF-01</t>
        </is>
      </c>
      <c r="F25" s="9" t="inlineStr">
        <is>
          <t>Functional</t>
        </is>
      </c>
      <c r="G25" s="9" t="inlineStr">
        <is>
          <t>Kiểm tra bố cục trang kết quả dạng lưới 2 cột và thanh Sort/Filter dính (sticky).</t>
        </is>
      </c>
      <c r="H25" s="9" t="inlineStr">
        <is>
          <t>"sữa" (128 sản phẩm)</t>
        </is>
      </c>
      <c r="I25" s="9" t="inlineStr">
        <is>
          <t>Kết quả tìm kiếm đã trả về.</t>
        </is>
      </c>
      <c r="J25" s="9" t="inlineStr">
        <is>
          <t>Search Bar giữ từ khoá; thanh Sắp xếp &amp; Bộ lọc dính khi cuộn; toggle Lưới/Danh sách hiển thị; Smart Filter Chips theo thuộc tính cốt lõi của tập kết quả; tổng số kết quả hiển thị và cập nhật realtime; Product Card dạng lưới 2 cột.</t>
        </is>
      </c>
      <c r="K25" s="9" t="inlineStr">
        <is>
          <t>Thanh Sort/Filter luôn hiện khi cuộn (sticky); số lượng kết quả khớp giữa header và số card thực tải.</t>
        </is>
      </c>
      <c r="L25" s="9" t="n"/>
      <c r="M25" s="9" t="n"/>
    </row>
    <row r="26" hidden="1" ht="51" customHeight="1">
      <c r="A26" s="11" t="n">
        <v>24</v>
      </c>
      <c r="B26" s="11" t="inlineStr">
        <is>
          <t>SS-SCR-005-SC2</t>
        </is>
      </c>
      <c r="C26" s="11" t="inlineStr">
        <is>
          <t>SS-SCR-005</t>
        </is>
      </c>
      <c r="D26" s="11" t="inlineStr">
        <is>
          <t>E. Search Results — Grid</t>
        </is>
      </c>
      <c r="E26" s="11" t="inlineStr">
        <is>
          <t>FR-PR-01, FR-PR-02, FR-PR-05, FR-PR-07, FR-SF-01</t>
        </is>
      </c>
      <c r="F26" s="11" t="inlineStr">
        <is>
          <t>Sponsored</t>
        </is>
      </c>
      <c r="G26" s="11" t="inlineStr">
        <is>
          <t>Kiểm tra nhãn "Sponsored" bắt buộc trên Product Card tài trợ.</t>
        </is>
      </c>
      <c r="H26" s="11" t="inlineStr">
        <is>
          <t>Chiến dịch Sponsored đang chạy cho "sữa chua"</t>
        </is>
      </c>
      <c r="I26" s="11" t="inlineStr">
        <is>
          <t>Có ≥1 sản phẩm tài trợ trong tập kết quả.</t>
        </is>
      </c>
      <c r="J26" s="11" t="inlineStr">
        <is>
          <t>Sản phẩm tài trợ có tag "Sponsored" hiển thị rõ ở góc card, không bị ẩn/làm mờ; vị trí chèn theo slot cố định hoặc theo đấu giá — TBD, xem QnA-04. - OUT OF SCOPE v1 (QnA-04/26/58): tính năng Sponsored tạm skip, chờ Mart chốt config.</t>
        </is>
      </c>
      <c r="K26" s="11" t="inlineStr">
        <is>
          <t>100% sản phẩm tài trợ có nhãn Sponsored hiển thị rõ ràng, không bị che khuất bởi phần tử UI khác.</t>
        </is>
      </c>
      <c r="L26" s="11" t="inlineStr">
        <is>
          <t>QnA-04, QnA-26, QnA-58</t>
        </is>
      </c>
      <c r="M26" s="11" t="inlineStr">
        <is>
          <t>OUT OF SCOPE v1 - QnA-04/26/58 (BA): Sponsored chưa chốt config bên Mart.</t>
        </is>
      </c>
    </row>
    <row r="27" hidden="1" ht="63.75" customHeight="1">
      <c r="A27" s="9" t="n">
        <v>25</v>
      </c>
      <c r="B27" s="9" t="inlineStr">
        <is>
          <t>SS-SCR-005-SC3</t>
        </is>
      </c>
      <c r="C27" s="9" t="inlineStr">
        <is>
          <t>SS-SCR-005</t>
        </is>
      </c>
      <c r="D27" s="9" t="inlineStr">
        <is>
          <t>E. Search Results — Grid</t>
        </is>
      </c>
      <c r="E27" s="9" t="inlineStr">
        <is>
          <t>FR-PR-01, FR-PR-02, FR-PR-05, FR-PR-07, FR-SF-01</t>
        </is>
      </c>
      <c r="F27" s="9" t="inlineStr">
        <is>
          <t>Functional</t>
        </is>
      </c>
      <c r="G27" s="9" t="inlineStr">
        <is>
          <t>Tap vào Product Card mở PDP; tap Search Bar/nút (✕) trên trang kết quả.</t>
        </is>
      </c>
      <c r="H27" s="9" t="inlineStr">
        <is>
          <t>Tap card sản phẩm / tap (✕) trên Search Bar</t>
        </is>
      </c>
      <c r="I27" s="9" t="inlineStr">
        <is>
          <t>Trang kết quả đã tải.</t>
        </is>
      </c>
      <c r="J27" s="9" t="inlineStr">
        <is>
          <t>Tap card (ngoài vùng nút +) mở đúng PDP sản phẩm; tap (✕) xoá từ khoá và quay lại trạng thái nhập liệu (Autocomplete) chứ không rời hẳn trang kết quả cho tới khi có từ khoá mới.</t>
        </is>
      </c>
      <c r="K27" s="9" t="inlineStr">
        <is>
          <t>Vùng chạm của nút (+) và vùng chạm mở PDP không chồng lấn gây tap nhầm.</t>
        </is>
      </c>
      <c r="L27" s="9" t="n"/>
      <c r="M27" s="9" t="n"/>
    </row>
    <row r="28" hidden="1" ht="63.75" customHeight="1">
      <c r="A28" s="9" t="n">
        <v>26</v>
      </c>
      <c r="B28" s="9" t="inlineStr">
        <is>
          <t>SS-SCR-005-SC4</t>
        </is>
      </c>
      <c r="C28" s="9" t="inlineStr">
        <is>
          <t>SS-SCR-005</t>
        </is>
      </c>
      <c r="D28" s="9" t="inlineStr">
        <is>
          <t>E. Search Results — Grid</t>
        </is>
      </c>
      <c r="E28" s="9" t="inlineStr">
        <is>
          <t>FR-PR-01, FR-PR-02, FR-PR-05, FR-PR-07, FR-SF-01</t>
        </is>
      </c>
      <c r="F28" s="9" t="inlineStr">
        <is>
          <t>Boundary</t>
        </is>
      </c>
      <c r="G28" s="9" t="inlineStr">
        <is>
          <t>Hiển thị tổng số kết quả ở các mức 0 / 1 / rất lớn (&gt;999).</t>
        </is>
      </c>
      <c r="H28" s="9" t="inlineStr">
        <is>
          <t>0 sản phẩm (đã lọc hết) / 1 sản phẩm / 1.245 sản phẩm</t>
        </is>
      </c>
      <c r="I28" s="9" t="inlineStr">
        <is>
          <t>Ba trường hợp truy vấn khác nhau.</t>
        </is>
      </c>
      <c r="J28" s="9" t="inlineStr">
        <is>
          <t>Số lượng hiển thị chính xác ở dạng số có phân tách hàng nghìn hợp lý (VD: "1.245 sản phẩm"); số ít vẫn đúng ngữ pháp/định dạng (không bắt buộc số nhiều "sản phẩm" đổi dạng vì tiếng Việt không chia số ít/nhiều).</t>
        </is>
      </c>
      <c r="K28" s="9" t="inlineStr">
        <is>
          <t>Số liệu khớp đúng số card thực tải; không hiển thị số âm hay NaN.</t>
        </is>
      </c>
      <c r="L28" s="9" t="n"/>
      <c r="M28" s="9" t="n"/>
    </row>
    <row r="29" hidden="1" ht="51" customHeight="1">
      <c r="A29" s="11" t="n">
        <v>27</v>
      </c>
      <c r="B29" s="11" t="inlineStr">
        <is>
          <t>SS-SCR-005-SC5</t>
        </is>
      </c>
      <c r="C29" s="11" t="inlineStr">
        <is>
          <t>SS-SCR-005</t>
        </is>
      </c>
      <c r="D29" s="11" t="inlineStr">
        <is>
          <t>E. Search Results — Grid</t>
        </is>
      </c>
      <c r="E29" s="11" t="inlineStr">
        <is>
          <t>FR-PR-01, FR-PR-02, FR-PR-05, FR-PR-07, FR-SF-01</t>
        </is>
      </c>
      <c r="F29" s="11" t="inlineStr">
        <is>
          <t>Sponsored</t>
        </is>
      </c>
      <c r="G29" s="11" t="inlineStr">
        <is>
          <t>Nhiều sản phẩm Sponsored xuất hiện đồng thời trong cùng trang kết quả.</t>
        </is>
      </c>
      <c r="H29" s="11" t="inlineStr">
        <is>
          <t>≥3 SKU sponsored cùng lúc khớp 1 từ khoá</t>
        </is>
      </c>
      <c r="I29" s="11" t="inlineStr">
        <is>
          <t>Nhiều chiến dịch tài trợ đang chạy cho cùng từ khoá.</t>
        </is>
      </c>
      <c r="J29" s="11" t="inlineStr">
        <is>
          <t>Mỗi SKU sponsored đều có nhãn riêng biệt, không gộp chung/không mất nhãn của SKU nào; thứ tự giữa các SKU sponsored với nhau — TBD, xem QnA-04. - OUT OF SCOPE v1 (QnA-04/26/58): tính năng Sponsored tạm skip, chờ Mart chốt config.</t>
        </is>
      </c>
      <c r="K29" s="11" t="inlineStr">
        <is>
          <t>100% SKU sponsored đều có nhãn hiển thị đúng, không SKU nào bị thiếu nhãn.</t>
        </is>
      </c>
      <c r="L29" s="11" t="inlineStr">
        <is>
          <t>QnA-04, QnA-26, QnA-58</t>
        </is>
      </c>
      <c r="M29" s="11" t="inlineStr">
        <is>
          <t>OUT OF SCOPE v1 - QnA-04/26/58 (BA): Sponsored chưa chốt config bên Mart.</t>
        </is>
      </c>
    </row>
    <row r="30" hidden="1" ht="89.25" customHeight="1">
      <c r="A30" s="11" t="n">
        <v>28</v>
      </c>
      <c r="B30" s="11" t="inlineStr">
        <is>
          <t>SS-SCR-005-SC6</t>
        </is>
      </c>
      <c r="C30" s="11" t="inlineStr">
        <is>
          <t>SS-SCR-005</t>
        </is>
      </c>
      <c r="D30" s="11" t="inlineStr">
        <is>
          <t>E. Search Results — Grid</t>
        </is>
      </c>
      <c r="E30" s="11" t="inlineStr">
        <is>
          <t>FR-PR-01, FR-PR-02, FR-PR-05, FR-PR-07, FR-SF-01</t>
        </is>
      </c>
      <c r="F30" s="11" t="inlineStr">
        <is>
          <t>Functional</t>
        </is>
      </c>
      <c r="G30" s="11" t="inlineStr">
        <is>
          <t>Đổi phương thức tìm kiếm (Mic/Camera) ngay tại trang kết quả văn bản.</t>
        </is>
      </c>
      <c r="H30" s="11" t="inlineStr">
        <is>
          <t>Tap icon Mic hoặc Camera trong khi đang xem kết quả "sữa"</t>
        </is>
      </c>
      <c r="I30" s="11" t="inlineStr">
        <is>
          <t>Đang ở trang kết quả Text Search.</t>
        </is>
      </c>
      <c r="J30" s="11" t="inlineStr">
        <is>
          <t>Mở đúng luồng Voice/Image tương ứng. ĐÃ XÁC NHẬN (QnA-14): khi CHUYỂN PHƯƠNG THỨC, filter/sort của kết quả text trước đó TỰ ĐỘNG XOÁ (giống đổi từ khoá cùng phương thức).</t>
        </is>
      </c>
      <c r="K30" s="11" t="inlineStr">
        <is>
          <t>Điều hướng đúng màn hình đích; không crash khi có filter/sort đang active.</t>
        </is>
      </c>
      <c r="L30" s="11" t="inlineStr">
        <is>
          <t>QnA-14</t>
        </is>
      </c>
      <c r="M30" s="11" t="inlineStr">
        <is>
          <t>RESOLVED QnA-14 (BA 24/08/2026): tương tự cùng phương thức - tự động xoá bộ lọc.</t>
        </is>
      </c>
    </row>
    <row r="31" hidden="1" ht="63.75" customHeight="1">
      <c r="A31" s="9" t="n">
        <v>69</v>
      </c>
      <c r="B31" s="9" t="inlineStr">
        <is>
          <t>SS-SCR-005-SC7</t>
        </is>
      </c>
      <c r="C31" s="9" t="inlineStr">
        <is>
          <t>SS-SCR-005</t>
        </is>
      </c>
      <c r="D31" s="9" t="inlineStr">
        <is>
          <t>E. Search Results — Grid</t>
        </is>
      </c>
      <c r="E31" s="9" t="inlineStr">
        <is>
          <t>FR-PR-06</t>
        </is>
      </c>
      <c r="F31" s="9" t="inlineStr">
        <is>
          <t>Boundary</t>
        </is>
      </c>
      <c r="G31" s="9" t="inlineStr">
        <is>
          <t>Kiểm tra tiêu chí sắp xếp mặc định khi vào trang kết quả lần đầu (chưa từng đổi Sort).</t>
        </is>
      </c>
      <c r="H31" s="9" t="inlineStr">
        <is>
          <t>"sữa" (lần đầu tìm kiếm trong phiên)</t>
        </is>
      </c>
      <c r="I31" s="9" t="inlineStr">
        <is>
          <t>Khách chưa từng chọn tiêu chí Sắp xếp nào trong phiên/thiết bị hiện tại.</t>
        </is>
      </c>
      <c r="J31" s="9" t="inlineStr">
        <is>
          <t>Trang kết quả mặc định áp dụng "Liên quan nhất" (AI Scorecard Ranking); nhãn trên thanh sticky Sort hiển thị đúng "Liên quan nhất" ngay từ lần tải đầu tiên, không cần khách thao tác chọn.</t>
        </is>
      </c>
      <c r="K31" s="9" t="inlineStr">
        <is>
          <t>Sort mặc định luôn là "Liên quan nhất" theo FR-PR-06, khớp với trạng thái ban đầu mô tả ở SS-SCR-008-SC2.</t>
        </is>
      </c>
      <c r="L31" s="9" t="n"/>
      <c r="M31" s="9" t="n"/>
    </row>
    <row r="32" hidden="1" ht="38.25" customHeight="1">
      <c r="A32" s="9" t="n">
        <v>70</v>
      </c>
      <c r="B32" s="9" t="inlineStr">
        <is>
          <t>SS-SCR-005-SC8</t>
        </is>
      </c>
      <c r="C32" s="9" t="inlineStr">
        <is>
          <t>SS-SCR-005</t>
        </is>
      </c>
      <c r="D32" s="9" t="inlineStr">
        <is>
          <t>E. Search Results — Grid</t>
        </is>
      </c>
      <c r="E32" s="9" t="inlineStr">
        <is>
          <t>FR-SF-04</t>
        </is>
      </c>
      <c r="F32" s="9" t="inlineStr">
        <is>
          <t>Boundary</t>
        </is>
      </c>
      <c r="G32" s="9" t="inlineStr">
        <is>
          <t>Kiểm tra trạng thái mặc định của nút "Bộ lọc" khi chưa áp dụng điều kiện lọc nào.</t>
        </is>
      </c>
      <c r="H32" s="9" t="inlineStr">
        <is>
          <t>"sữa" (chưa áp dụng filter nào)</t>
        </is>
      </c>
      <c r="I32" s="9" t="inlineStr">
        <is>
          <t>Trang kết quả vừa tải, khách chưa mở/áp dụng Bộ lọc chi tiết lần nào.</t>
        </is>
      </c>
      <c r="J32" s="9" t="inlineStr">
        <is>
          <t>Nút "Bộ lọc" hiển thị trạng thái mặc định không có badge số lượng (hoặc badge=0 bị ẩn); không có filter chip nào đang active trên trang kết quả; tổng số kết quả là tập đầy đủ chưa lọc.</t>
        </is>
      </c>
      <c r="K32" s="9" t="inlineStr">
        <is>
          <t>Badge chỉ xuất hiện khi có ≥1 điều kiện lọc đang áp dụng — nhất quán với hành vi mô tả ở SS-SCR-010-SC3 (badge=0 quay về mặc định).</t>
        </is>
      </c>
      <c r="L32" s="9" t="n"/>
      <c r="M32" s="9" t="n"/>
    </row>
    <row r="33" hidden="1" ht="51" customHeight="1">
      <c r="A33" s="9" t="n">
        <v>71</v>
      </c>
      <c r="B33" s="9" t="inlineStr">
        <is>
          <t>SS-SCR-005-SC9</t>
        </is>
      </c>
      <c r="C33" s="9" t="inlineStr">
        <is>
          <t>SS-SCR-005</t>
        </is>
      </c>
      <c r="D33" s="9" t="inlineStr">
        <is>
          <t>E. Search Results — Grid</t>
        </is>
      </c>
      <c r="E33" s="9" t="inlineStr">
        <is>
          <t>FR-SF-01, FR-SF-02, FR-SF-03</t>
        </is>
      </c>
      <c r="F33" s="9" t="inlineStr">
        <is>
          <t>Filter</t>
        </is>
      </c>
      <c r="G33" s="9" t="inlineStr">
        <is>
          <t>Tương tác trực tiếp với Smart Filter Chips ngay trên trang kết quả (không mở bảng Bộ lọc chi tiết).</t>
        </is>
      </c>
      <c r="H33" s="9" t="inlineStr">
        <is>
          <t>Tap 1 chip (VD "Hữu cơ") rồi tap thêm 1 chip khác (VD "Không đường")</t>
        </is>
      </c>
      <c r="I33" s="9" t="inlineStr">
        <is>
          <t>Trang kết quả đã tải, khối Smart Filter Chips hiển thị theo từ khoá hiện tại (tối đa 10 chip, cấu trúc phẳng — không gom nhóm).</t>
        </is>
      </c>
      <c r="J33" s="9" t="inlineStr">
        <is>
          <t>Tap 1 chip áp dụng lọc ngay lập tức (không cần nút "Áp dụng" riêng), chip chuyển trạng thái active, kết quả cập nhật realtime, badge nút "Bộ lọc" tăng tương ứng; tap thêm chip thứ 2 áp dụng lọc kết hợp (AND) cả 2 điều kiện; mọi chip hiển thị luôn đảm bảo trả về ≥1 sản phẩm theo đúng FR-SF-01→03.</t>
        </is>
      </c>
      <c r="K33" s="9" t="inlineStr">
        <is>
          <t>Không có chip nào hiển thị mà khi tap vào lại cho 0 kết quả; badge đồng bộ giữa Smart Filter Chips và nút Bộ lọc chi tiết (SS-SCR-009) vì cùng 1 trạng thái lọc.</t>
        </is>
      </c>
      <c r="L33" s="9" t="n"/>
      <c r="M33" s="9" t="n"/>
    </row>
    <row r="34" hidden="1" ht="51" customHeight="1">
      <c r="A34" s="9" t="n">
        <v>81</v>
      </c>
      <c r="B34" s="9" t="inlineStr">
        <is>
          <t>SS-SCR-005-SC13</t>
        </is>
      </c>
      <c r="C34" s="9" t="inlineStr">
        <is>
          <t>SS-SCR-005</t>
        </is>
      </c>
      <c r="D34" s="9" t="inlineStr">
        <is>
          <t>E. Search Results — Grid</t>
        </is>
      </c>
      <c r="E34" s="9" t="inlineStr">
        <is>
          <t>SRS Simplify User Flow Slide 5-6 (AC-03 Serving Store), B5</t>
        </is>
      </c>
      <c r="F34" s="9" t="inlineStr">
        <is>
          <t>Edge</t>
        </is>
      </c>
      <c r="G34" s="9" t="inlineStr">
        <is>
          <t>Đổi Serving Store trong khi đang xem trang Kết quả tìm kiếm.</t>
        </is>
      </c>
      <c r="H34" s="9" t="inlineStr">
        <is>
          <t>Trang kết quả đang mở (đã cuộn xuống giữa danh sách); đổi Serving Store A -&gt; B.</t>
        </is>
      </c>
      <c r="I34" s="9" t="inlineStr">
        <is>
          <t>Đang ở trang kết quả tìm kiếm của Store A; app cho đổi Serving Store từ màn hình này.</t>
        </is>
      </c>
      <c r="J34" s="9" t="inlineStr">
        <is>
          <t>Lớp hiển thị (soft-invalidate): KHÔNG tự reload, giữ nguyên vị trí cuộn, hiện popup hỏi khách có muốn làm mới kết quả không. Lớp hành động (hard-validate): Thêm vào giỏ từ trang kết quả luôn kiểm tra lại sản phẩm theo Serving Store MỚI; không thuộc catalogue/hết hàng ở store mới -&gt; chặn và báo lỗi.</t>
        </is>
      </c>
      <c r="K34" s="9" t="inlineStr">
        <is>
          <t>Không mất ngữ cảnh khi đổi store; không có sản phẩm nào của store cũ lọt vào giỏ của store mới.</t>
        </is>
      </c>
      <c r="L34" s="9" t="inlineStr">
        <is>
          <t>QnA-64</t>
        </is>
      </c>
      <c r="M34" s="9" t="inlineStr">
        <is>
          <t>Thêm mới 28/09/2026 theo QnA-64 ý (4) (đề xuất BA, tái dùng tinh thần cạnh biên B5 của Cart).</t>
        </is>
      </c>
    </row>
    <row r="35" hidden="1" ht="38.25" customHeight="1">
      <c r="A35" s="9" t="n">
        <v>29</v>
      </c>
      <c r="B35" s="9" t="inlineStr">
        <is>
          <t>SS-SCR-006-SC1</t>
        </is>
      </c>
      <c r="C35" s="9" t="inlineStr">
        <is>
          <t>SS-SCR-006</t>
        </is>
      </c>
      <c r="D35" s="9" t="inlineStr">
        <is>
          <t>F. Search Results — List</t>
        </is>
      </c>
      <c r="E35" s="9" t="inlineStr">
        <is>
          <t>FR-PR-01, FR-PR-07</t>
        </is>
      </c>
      <c r="F35" s="9" t="inlineStr">
        <is>
          <t>Functional</t>
        </is>
      </c>
      <c r="G35" s="9" t="inlineStr">
        <is>
          <t>Kiểm tra bố cục Danh sách (List) và tải thêm kết quả (infinite scroll).</t>
        </is>
      </c>
      <c r="H35" s="9" t="inlineStr">
        <is>
          <t>"sữa" (128 sản phẩm)</t>
        </is>
      </c>
      <c r="I35" s="9" t="inlineStr">
        <is>
          <t>Chế độ xem = List.</t>
        </is>
      </c>
      <c r="J35" s="9" t="inlineStr">
        <is>
          <t>Ảnh vuông 88×88 bên trái, tên đầy đủ 1 hàng không cắt, rating/giá/%-giảm hiển thị đầy đủ; nút (+) thêm nhanh không rời trang; nhãn Sponsored vẫn hiển thị; cuộn vô hạn tải thêm theo lô (kích thước lô TBD).</t>
        </is>
      </c>
      <c r="K35" s="9" t="inlineStr">
        <is>
          <t>Đổi chế độ xem không reset bộ lọc/sắp xếp/vị trí cuộn; tải thêm không trùng lặp sản phẩm.</t>
        </is>
      </c>
      <c r="L35" s="9" t="n"/>
      <c r="M35" s="9" t="n"/>
    </row>
    <row r="36" hidden="1" ht="51" customHeight="1">
      <c r="A36" s="9" t="n">
        <v>30</v>
      </c>
      <c r="B36" s="9" t="inlineStr">
        <is>
          <t>SS-SCR-006-SC2</t>
        </is>
      </c>
      <c r="C36" s="9" t="inlineStr">
        <is>
          <t>SS-SCR-006</t>
        </is>
      </c>
      <c r="D36" s="9" t="inlineStr">
        <is>
          <t>F. Search Results — List</t>
        </is>
      </c>
      <c r="E36" s="9" t="inlineStr">
        <is>
          <t>FR-PR-01, FR-PR-07</t>
        </is>
      </c>
      <c r="F36" s="9" t="inlineStr">
        <is>
          <t>Edge</t>
        </is>
      </c>
      <c r="G36" s="9" t="inlineStr">
        <is>
          <t>Hiển thị ảnh sản phẩm bị lỗi/thiếu trong chế độ Danh sách.</t>
        </is>
      </c>
      <c r="H36" s="9" t="inlineStr">
        <is>
          <t>1 SKU có URL ảnh lỗi/404</t>
        </is>
      </c>
      <c r="I36" s="9" t="inlineStr">
        <is>
          <t>Trang kết quả List đang tải.</t>
        </is>
      </c>
      <c r="J36" s="9" t="inlineStr">
        <is>
          <t>Ô ảnh 88×88 hiển thị placeholder trung tính thay vì icon vỡ ảnh; layout dòng sản phẩm không bị lệch.</t>
        </is>
      </c>
      <c r="K36" s="9" t="inlineStr">
        <is>
          <t>Không hiển thị icon ảnh vỡ (broken image icon) của trình duyệt/hệ thống.</t>
        </is>
      </c>
      <c r="L36" s="9" t="n"/>
      <c r="M36" s="9" t="n"/>
    </row>
    <row r="37" hidden="1" ht="89.25" customHeight="1">
      <c r="A37" s="11" t="n">
        <v>31</v>
      </c>
      <c r="B37" s="11" t="inlineStr">
        <is>
          <t>SS-SCR-006-SC3</t>
        </is>
      </c>
      <c r="C37" s="11" t="inlineStr">
        <is>
          <t>SS-SCR-006</t>
        </is>
      </c>
      <c r="D37" s="11" t="inlineStr">
        <is>
          <t>F. Search Results — List</t>
        </is>
      </c>
      <c r="E37" s="11" t="inlineStr">
        <is>
          <t>FR-PR-01, FR-PR-07</t>
        </is>
      </c>
      <c r="F37" s="11" t="inlineStr">
        <is>
          <t>Boundary</t>
        </is>
      </c>
      <c r="G37" s="11" t="inlineStr">
        <is>
          <t>Hiển thị rating khi sản phẩm chưa có đánh giá nào.</t>
        </is>
      </c>
      <c r="H37" s="11" t="inlineStr">
        <is>
          <t>1 SKU 0 review</t>
        </is>
      </c>
      <c r="I37" s="11" t="inlineStr">
        <is>
          <t>Sản phẩm mới, chưa có review.</t>
        </is>
      </c>
      <c r="J37" s="11" t="inlineStr">
        <is>
          <t>Không hiển thị số sao rỗng/0.0 gây hiểu nhầm; thay bằng trạng thái "Chưa có đánh giá" hoặc ẩn phần rating — cách xử lý cụ thể chưa được BRD quy định. - OUT OF SCOPE v1 (QnA-30): rating hiển thị thuộc spec Product Card.</t>
        </is>
      </c>
      <c r="K37" s="11" t="inlineStr">
        <is>
          <t>Không hiển thị "0.0 ★" hoặc "NaN" gây phản cảm.</t>
        </is>
      </c>
      <c r="L37" s="11" t="inlineStr">
        <is>
          <t>QnA-30</t>
        </is>
      </c>
      <c r="M37" s="11" t="inlineStr">
        <is>
          <t>OUT OF SCOPE v1 - QnA-30 (BA 27/08/2026).</t>
        </is>
      </c>
    </row>
    <row r="38" hidden="1" ht="63.75" customHeight="1">
      <c r="A38" s="9" t="n">
        <v>72</v>
      </c>
      <c r="B38" s="9" t="inlineStr">
        <is>
          <t>SS-SCR-006-SC4</t>
        </is>
      </c>
      <c r="C38" s="9" t="inlineStr">
        <is>
          <t>SS-SCR-006</t>
        </is>
      </c>
      <c r="D38" s="9" t="inlineStr">
        <is>
          <t>F. Search Results — List</t>
        </is>
      </c>
      <c r="E38" s="9" t="inlineStr">
        <is>
          <t>FR-PR-01, FR-PR-07</t>
        </is>
      </c>
      <c r="F38" s="9" t="inlineStr">
        <is>
          <t>Functional</t>
        </is>
      </c>
      <c r="G38" s="9" t="inlineStr">
        <is>
          <t>Tap vào Product Card (ngoài vùng nút +) ở chế độ Danh sách để mở PDP.</t>
        </is>
      </c>
      <c r="H38" s="9" t="inlineStr">
        <is>
          <t>1 dòng sản phẩm bất kỳ trong chế độ List</t>
        </is>
      </c>
      <c r="I38" s="9" t="inlineStr">
        <is>
          <t>Chế độ xem = List, trang kết quả đã tải.</t>
        </is>
      </c>
      <c r="J38" s="9" t="inlineStr">
        <is>
          <t>Tap vào vùng ảnh/tên/giá của dòng sản phẩm (ngoài nút +) mở đúng PDP của sản phẩm đó, giống hành vi tương ứng đã có ở chế độ Grid (SS-SCR-005-SC3-TC1); không kích hoạt add-to-cart nhầm.</t>
        </is>
      </c>
      <c r="K38" s="9" t="inlineStr">
        <is>
          <t>Hành vi mở PDP nhất quán giữa 2 chế độ xem Grid và List.</t>
        </is>
      </c>
      <c r="L38" s="9" t="n"/>
      <c r="M38" s="9" t="n"/>
    </row>
    <row r="39" hidden="1" ht="51" customHeight="1">
      <c r="A39" s="18" t="n">
        <v>73</v>
      </c>
      <c r="B39" s="18" t="inlineStr">
        <is>
          <t>SS-SCR-006-SC5</t>
        </is>
      </c>
      <c r="C39" s="18" t="inlineStr">
        <is>
          <t>SS-SCR-006</t>
        </is>
      </c>
      <c r="D39" s="18" t="inlineStr">
        <is>
          <t>F. Search Results — List</t>
        </is>
      </c>
      <c r="E39" s="18" t="inlineStr">
        <is>
          <t>Không có FR ID rõ ràng trong BRD — xem QnA-07</t>
        </is>
      </c>
      <c r="F39" s="18" t="inlineStr">
        <is>
          <t>Functional</t>
        </is>
      </c>
      <c r="G39" s="18" t="inlineStr">
        <is>
          <t>Tap nút (+) thêm nhanh vào giỏ ngay tại dòng sản phẩm ở chế độ Danh sách.</t>
        </is>
      </c>
      <c r="H39" s="18" t="inlineStr">
        <is>
          <t>Tap (+) trên 1 dòng sản phẩm còn hàng trong chế độ List</t>
        </is>
      </c>
      <c r="I39" s="18" t="inlineStr">
        <is>
          <t>Chế độ xem = List, trang kết quả đã tải.</t>
        </is>
      </c>
      <c r="J39" s="18" t="inlineStr">
        <is>
          <t>Badge giỏ hàng tăng ngay (optimistic update); Toast xác nhận hiện ở đáy màn hình giống hành vi ở chế độ Grid (SS-SCR-011); không rời trang kết quả, không mở nhầm PDP. - OUT OF SCOPE Smart Search (QnA-07): thêm giỏ hàng ngoài scope.</t>
        </is>
      </c>
      <c r="K39" s="18" t="inlineStr">
        <is>
          <t>Hành vi add-to-cart nhất quán giữa 2 chế độ xem Grid và List; vùng chạm nút (+) và vùng chạm mở PDP không chồng lấn trong layout dòng ngang của List.</t>
        </is>
      </c>
      <c r="L39" s="18" t="inlineStr">
        <is>
          <t>QnA-07</t>
        </is>
      </c>
      <c r="M39" s="18" t="inlineStr">
        <is>
          <t>OUT OF SCOPE - QnA-07 (BA 24/08/2026): Add to cart ngoài scope Smart Search.</t>
        </is>
      </c>
    </row>
    <row r="40" hidden="1" ht="51" customHeight="1">
      <c r="A40" s="11" t="n">
        <v>32</v>
      </c>
      <c r="B40" s="11" t="inlineStr">
        <is>
          <t>SS-SCR-008-SC1</t>
        </is>
      </c>
      <c r="C40" s="11" t="inlineStr">
        <is>
          <t>SS-SCR-008</t>
        </is>
      </c>
      <c r="D40" s="11" t="inlineStr">
        <is>
          <t>G. Sort</t>
        </is>
      </c>
      <c r="E40" s="11" t="inlineStr">
        <is>
          <t>FR-SF-02, FR-PR-06</t>
        </is>
      </c>
      <c r="F40" s="11" t="inlineStr">
        <is>
          <t>Sort</t>
        </is>
      </c>
      <c r="G40" s="11" t="inlineStr">
        <is>
          <t>Mở bottom sheet Sắp xếp và chọn từng tiêu chí.</t>
        </is>
      </c>
      <c r="H40" s="11" t="inlineStr">
        <is>
          <t>8 tuỳ chọn: Liên quan nhất · Bán chạy nhất · Xem nhiều nhất · Giảm giá nhiều nhất · Đánh giá cao nhất · Giá thấp→cao · Giá cao→thấp · Tên (A–Z)</t>
        </is>
      </c>
      <c r="I40" s="11" t="inlineStr">
        <is>
          <t>Đang ở trang kết quả với bộ lọc đang áp dụng.</t>
        </is>
      </c>
      <c r="J40" s="11" t="inlineStr">
        <is>
          <t>Chọn 1 tiêu chí (single-select) → đóng sheet, chạy lại truy vấn, cuộn về đầu danh sách, cập nhật nhãn trên thanh sticky; bộ lọc đang áp dụng được giữ nguyên. Danh sách 8 tiêu chí sắp xếp theo đúng SS-SCR-008 (gồm 'Xem nhiều nhất'), BRD đã update - ĐÃ XÁC NHẬN QnA-12.</t>
        </is>
      </c>
      <c r="K40" s="11" t="inlineStr">
        <is>
          <t>Không có nút "Áp dụng" riêng — chọn là áp dụng ngay; danh sách sort phải khớp đúng 8 lựa chọn đã chốt (xem QnA-12 về khác biệt với BRD).</t>
        </is>
      </c>
      <c r="L40" s="11" t="inlineStr">
        <is>
          <t>QnA-12</t>
        </is>
      </c>
      <c r="M40" s="11" t="inlineStr">
        <is>
          <t>RESOLVED QnA-12 (BA 24/08/2026).</t>
        </is>
      </c>
    </row>
    <row r="41" hidden="1" ht="63.75" customHeight="1">
      <c r="A41" s="9" t="n">
        <v>33</v>
      </c>
      <c r="B41" s="9" t="inlineStr">
        <is>
          <t>SS-SCR-008-SC2</t>
        </is>
      </c>
      <c r="C41" s="9" t="inlineStr">
        <is>
          <t>SS-SCR-008</t>
        </is>
      </c>
      <c r="D41" s="9" t="inlineStr">
        <is>
          <t>G. Sort</t>
        </is>
      </c>
      <c r="E41" s="9" t="inlineStr">
        <is>
          <t>FR-SF-02, FR-PR-06</t>
        </is>
      </c>
      <c r="F41" s="9" t="inlineStr">
        <is>
          <t>Functional</t>
        </is>
      </c>
      <c r="G41" s="9" t="inlineStr">
        <is>
          <t>Tap ra ngoài lớp phủ (overlay) để đóng Sort sheet mà không đổi lựa chọn.</t>
        </is>
      </c>
      <c r="H41" s="9" t="inlineStr">
        <is>
          <t>Tap vùng tối 48% bên ngoài sheet</t>
        </is>
      </c>
      <c r="I41" s="9" t="inlineStr">
        <is>
          <t>Sort bottom sheet đang mở, tiêu chí hiện tại = "Liên quan nhất".</t>
        </is>
      </c>
      <c r="J41" s="9" t="inlineStr">
        <is>
          <t>Sheet đóng lại, giữ nguyên tiêu chí đang áp dụng trước đó ("Liên quan nhất"), không chạy lại truy vấn.</t>
        </is>
      </c>
      <c r="K41" s="9" t="inlineStr">
        <is>
          <t>Không có thay đổi kết quả/truy vấn khi đóng sheet bằng cách tap ra ngoài.</t>
        </is>
      </c>
      <c r="L41" s="9" t="n"/>
      <c r="M41" s="9" t="n"/>
    </row>
    <row r="42" hidden="1" ht="51" customHeight="1">
      <c r="A42" s="9" t="n">
        <v>34</v>
      </c>
      <c r="B42" s="9" t="inlineStr">
        <is>
          <t>SS-SCR-008-SC3</t>
        </is>
      </c>
      <c r="C42" s="9" t="inlineStr">
        <is>
          <t>SS-SCR-008</t>
        </is>
      </c>
      <c r="D42" s="9" t="inlineStr">
        <is>
          <t>G. Sort</t>
        </is>
      </c>
      <c r="E42" s="9" t="inlineStr">
        <is>
          <t>FR-SF-02, FR-PR-06</t>
        </is>
      </c>
      <c r="F42" s="9" t="inlineStr">
        <is>
          <t>Boundary</t>
        </is>
      </c>
      <c r="G42" s="9" t="inlineStr">
        <is>
          <t>Chọn lại đúng tiêu chí đang active (no-op).</t>
        </is>
      </c>
      <c r="H42" s="9" t="inlineStr">
        <is>
          <t>Tiêu chí hiện tại = "Giá thấp-cao", tap lại đúng "Giá thấp-cao"</t>
        </is>
      </c>
      <c r="I42" s="9" t="inlineStr">
        <is>
          <t>Đang áp dụng sort "Giá thấp-cao".</t>
        </is>
      </c>
      <c r="J42" s="9" t="inlineStr">
        <is>
          <t>Sheet đóng, không cần chạy lại truy vấn không cần thiết (hoặc chạy lại nhưng cho kết quả y hệt) — không có lỗi/nhấp nháy UI khi chọn lại chính tiêu chí đang active.</t>
        </is>
      </c>
      <c r="K42" s="9" t="inlineStr">
        <is>
          <t>Không có hiện tượng UI giật/nhấp nháy khi chọn lại tiêu chí đã active.</t>
        </is>
      </c>
      <c r="L42" s="9" t="n"/>
      <c r="M42" s="9" t="n"/>
    </row>
    <row r="43" hidden="1" ht="38.25" customHeight="1">
      <c r="A43" s="9" t="n">
        <v>35</v>
      </c>
      <c r="B43" s="9" t="inlineStr">
        <is>
          <t>SS-SCR-009-SC1</t>
        </is>
      </c>
      <c r="C43" s="9" t="inlineStr">
        <is>
          <t>SS-SCR-009</t>
        </is>
      </c>
      <c r="D43" s="9" t="inlineStr">
        <is>
          <t>H. Smart Filter / Detailed Filter</t>
        </is>
      </c>
      <c r="E43" s="9" t="inlineStr">
        <is>
          <t>FR-SF-01, FR-SF-04</t>
        </is>
      </c>
      <c r="F43" s="9" t="inlineStr">
        <is>
          <t>Filter</t>
        </is>
      </c>
      <c r="G43" s="9" t="inlineStr">
        <is>
          <t>Mở bảng lọc chi tiết, chọn điều kiện ở nhiều nhóm (Danh mục/Nhãn/Đánh giá/Giá) và áp dụng.</t>
        </is>
      </c>
      <c r="H43" s="9" t="inlineStr">
        <is>
          <t>Danh mục=Thực phẩm &amp; Đồ uống, Nhãn=[Không đường, Hữu cơ], Đánh giá=Từ 4 sao, Giá=30-70 percentile</t>
        </is>
      </c>
      <c r="I43" s="9" t="inlineStr">
        <is>
          <t>Trang kết quả đã tải với ≥1 sản phẩm.</t>
        </is>
      </c>
      <c r="J43" s="9" t="inlineStr">
        <is>
          <t>Danh mục: cây phân cấp, chọn 1 nhánh (độc quyền). Nhãn: chip đa chọn (nhiều-nhiều). Đánh giá: chỉ chọn 1 mức. Giá: 3 khoảng percentile tự động hoặc nhập tay Từ-Đến, chỉ chọn 1 trong 2. Chạm "Áp dụng (n)" đóng sheet, chạy lại truy vấn, cập nhật badge số bộ lọc.</t>
        </is>
      </c>
      <c r="K43" s="9" t="inlineStr">
        <is>
          <t>Không được chọn đồng thời 2 nhánh Danh mục; không được chọn cả preset giá và nhập tay cùng lúc; badge số bộ lọc = tổng số điều kiện đang áp dụng.</t>
        </is>
      </c>
      <c r="L43" s="9" t="n"/>
      <c r="M43" s="9" t="n"/>
    </row>
    <row r="44" hidden="1" ht="51" customHeight="1">
      <c r="A44" s="9" t="n">
        <v>36</v>
      </c>
      <c r="B44" s="9" t="inlineStr">
        <is>
          <t>SS-SCR-009-SC2</t>
        </is>
      </c>
      <c r="C44" s="9" t="inlineStr">
        <is>
          <t>SS-SCR-009</t>
        </is>
      </c>
      <c r="D44" s="9" t="inlineStr">
        <is>
          <t>H. Smart Filter / Detailed Filter</t>
        </is>
      </c>
      <c r="E44" s="9" t="inlineStr">
        <is>
          <t>FR-SF-01, FR-SF-04</t>
        </is>
      </c>
      <c r="F44" s="9" t="inlineStr">
        <is>
          <t>Filter</t>
        </is>
      </c>
      <c r="G44" s="9" t="inlineStr">
        <is>
          <t>Chọn khoảng giá (Price filter) — 3 preset percentile hoặc nhập tay, loại trừ lẫn nhau.</t>
        </is>
      </c>
      <c r="H44" s="9" t="inlineStr">
        <is>
          <t>Preset "30%-70% giá trung bình" HOẶC nhập tay Từ 20.000đ Đến 50.000đ</t>
        </is>
      </c>
      <c r="I44" s="9" t="inlineStr">
        <is>
          <t>Trang kết quả đã tải; tab Giá trong bảng Bộ lọc.</t>
        </is>
      </c>
      <c r="J44" s="9" t="inlineStr">
        <is>
          <t>3 option range giá gợi ý tự động theo percentile của tập kết quả (VD: &lt;30% thấp, 30-70% trung bình, &gt;70% cao) + 1 tuỳ chọn nhập tay Từ-Đến; chỉ được chọn 1 preset HOẶC nhập tay, không được cả hai cùng lúc.</t>
        </is>
      </c>
      <c r="K44" s="9" t="inlineStr">
        <is>
          <t>Chọn preset tự động bỏ nhập tay và ngược lại; không có trạng thái cả 2 cùng active.</t>
        </is>
      </c>
      <c r="L44" s="9" t="n"/>
      <c r="M44" s="9" t="n"/>
    </row>
    <row r="45" hidden="1" ht="63.75" customHeight="1">
      <c r="A45" s="9" t="n">
        <v>37</v>
      </c>
      <c r="B45" s="9" t="inlineStr">
        <is>
          <t>SS-SCR-009-SC3</t>
        </is>
      </c>
      <c r="C45" s="9" t="inlineStr">
        <is>
          <t>SS-SCR-009</t>
        </is>
      </c>
      <c r="D45" s="9" t="inlineStr">
        <is>
          <t>H. Smart Filter / Detailed Filter</t>
        </is>
      </c>
      <c r="E45" s="9" t="inlineStr">
        <is>
          <t>FR-SF-01, FR-SF-04</t>
        </is>
      </c>
      <c r="F45" s="9" t="inlineStr">
        <is>
          <t>Filter</t>
        </is>
      </c>
      <c r="G45" s="9" t="inlineStr">
        <is>
          <t>Chọn/bỏ chọn nhiều chip Nhãn (Tag) cùng lúc — kiểm tra cấu trúc nhiều-nhiều.</t>
        </is>
      </c>
      <c r="H45" s="9" t="inlineStr">
        <is>
          <t>Chọn 4 chip: Không đường, Hữu cơ, Nhập khẩu, Tiệt trùng</t>
        </is>
      </c>
      <c r="I45" s="9" t="inlineStr">
        <is>
          <t>Đang ở tab Nhãn.</t>
        </is>
      </c>
      <c r="J45" s="9" t="inlineStr">
        <is>
          <t>Cho phép chọn đồng thời nhiều chip không giới hạn loại trừ lẫn nhau (khác Danh mục); bỏ chọn 1 chip bất kỳ không ảnh hưởng các chip còn lại.</t>
        </is>
      </c>
      <c r="K45" s="9" t="inlineStr">
        <is>
          <t>Chọn/bỏ chọn độc lập từng chip; badge số bộ lọc = đúng số chip đang chọn.</t>
        </is>
      </c>
      <c r="L45" s="9" t="n"/>
      <c r="M45" s="9" t="n"/>
    </row>
    <row r="46" hidden="1" ht="51" customHeight="1">
      <c r="A46" s="9" t="n">
        <v>38</v>
      </c>
      <c r="B46" s="9" t="inlineStr">
        <is>
          <t>SS-SCR-009-SC4</t>
        </is>
      </c>
      <c r="C46" s="9" t="inlineStr">
        <is>
          <t>SS-SCR-009</t>
        </is>
      </c>
      <c r="D46" s="9" t="inlineStr">
        <is>
          <t>H. Smart Filter / Detailed Filter</t>
        </is>
      </c>
      <c r="E46" s="9" t="inlineStr">
        <is>
          <t>FR-SF-01, FR-SF-04</t>
        </is>
      </c>
      <c r="F46" s="9" t="inlineStr">
        <is>
          <t>Functional</t>
        </is>
      </c>
      <c r="G46" s="9" t="inlineStr">
        <is>
          <t>Mở rộng cây Danh mục xuống cấp con (›) và điều hướng qua lại giữa các cấp.</t>
        </is>
      </c>
      <c r="H46" s="9" t="inlineStr">
        <is>
          <t>Thực phẩm &amp; Đồ uống › Sữa &amp; Trứng › Sữa tươi</t>
        </is>
      </c>
      <c r="I46" s="9" t="inlineStr">
        <is>
          <t>Cây danh mục có ≥3 cấp cho nhánh này.</t>
        </is>
      </c>
      <c r="J46" s="9" t="inlineStr">
        <is>
          <t>Mũi tên (›) mở đúng cấp con tương ứng; có đường breadcrumb/nút quay lại cấp cha; chọn 1 cấp bất kỳ áp dụng đúng phạm vi lọc của cấp đó.</t>
        </is>
      </c>
      <c r="K46" s="9" t="inlineStr">
        <is>
          <t>Điều hướng qua lại giữa các cấp không bị mất trạng thái đã chọn ở cấp cha.</t>
        </is>
      </c>
      <c r="L46" s="9" t="n"/>
      <c r="M46" s="9" t="n"/>
    </row>
    <row r="47" hidden="1" ht="51" customHeight="1">
      <c r="A47" s="9" t="n">
        <v>39</v>
      </c>
      <c r="B47" s="9" t="inlineStr">
        <is>
          <t>SS-SCR-009-SC5</t>
        </is>
      </c>
      <c r="C47" s="9" t="inlineStr">
        <is>
          <t>SS-SCR-009</t>
        </is>
      </c>
      <c r="D47" s="9" t="inlineStr">
        <is>
          <t>H. Smart Filter / Detailed Filter</t>
        </is>
      </c>
      <c r="E47" s="9" t="inlineStr">
        <is>
          <t>FR-SF-01, FR-SF-04</t>
        </is>
      </c>
      <c r="F47" s="9" t="inlineStr">
        <is>
          <t>Negative</t>
        </is>
      </c>
      <c r="G47" s="9" t="inlineStr">
        <is>
          <t>Đóng Bộ lọc bằng nút (✕) mà không Áp dụng — khôi phục trạng thái trước đó.</t>
        </is>
      </c>
      <c r="H47" s="9" t="inlineStr">
        <is>
          <t>Chọn vài điều kiện mới rồi tap (✕) thay vì Áp dụng</t>
        </is>
      </c>
      <c r="I47" s="9" t="inlineStr">
        <is>
          <t>Đang có 1 filter cũ active (VD: "Không đường").</t>
        </is>
      </c>
      <c r="J47" s="9" t="inlineStr">
        <is>
          <t>Đóng sheet mà không áp dụng thay đổi mới; kết quả và badge bộ lọc giữ nguyên trạng thái TRƯỚC khi mở sheet lần này (chỉ giữ "Không đường", không có điều kiện mới vừa chọn).</t>
        </is>
      </c>
      <c r="K47" s="9" t="inlineStr">
        <is>
          <t>Không có điều kiện mới nào bị áp dụng ngoài ý muốn khi đóng bằng (✕).</t>
        </is>
      </c>
      <c r="L47" s="9" t="n"/>
      <c r="M47" s="9" t="n"/>
    </row>
    <row r="48" hidden="1" ht="51" customHeight="1">
      <c r="A48" s="18" t="n">
        <v>74</v>
      </c>
      <c r="B48" s="18" t="inlineStr">
        <is>
          <t>SS-SCR-009-SC6</t>
        </is>
      </c>
      <c r="C48" s="18" t="inlineStr">
        <is>
          <t>SS-SCR-009</t>
        </is>
      </c>
      <c r="D48" s="18" t="inlineStr">
        <is>
          <t>H. Smart Filter / Detailed Filter</t>
        </is>
      </c>
      <c r="E48" s="18" t="inlineStr">
        <is>
          <t>FR-SF-01, FR-SF-04</t>
        </is>
      </c>
      <c r="F48" s="18" t="inlineStr">
        <is>
          <t>Boundary</t>
        </is>
      </c>
      <c r="G48" s="18" t="inlineStr">
        <is>
          <t>Kiểm tra cơ chế đếm số lượng điều kiện đang chọn — badge riêng theo từng tab bên trong Bộ lọc, và badge tổng trên nút "Bộ lọc" ở trang kết quả.</t>
        </is>
      </c>
      <c r="H48" s="18" t="inlineStr">
        <is>
          <t>Chọn 1 Danh mục + 3 chip Nhãn + 1 mức Đánh giá + 1 điều kiện Giao hàng + 1 khoảng Giá</t>
        </is>
      </c>
      <c r="I48" s="18" t="inlineStr">
        <is>
          <t>Trang kết quả đã tải; chưa áp dụng điều kiện lọc nào.</t>
        </is>
      </c>
      <c r="J48" s="18" t="inlineStr">
        <is>
          <t>Theo ảnh Figma thực tế (Text Search.png): mỗi tab bên trái (Danh mục/Nhãn/Giao hàng/Đánh giá/Giá) hiển thị badge số riêng = số điều kiện ĐANG CHỌN TRONG TAB ĐÓ; nút 'Áp dụng' ở đáy sheet KHÔNG có số '(n)' kèm theo. ĐÃ XÁC NHẬN QnA-34 (ưu tiên Figma): nút 'Bộ lọc' trên trang kết quả KHÔNG có badge tổng số điều kiện.</t>
        </is>
      </c>
      <c r="K48" s="18" t="inlineStr">
        <is>
          <t>Badge từng tab phải khớp chính xác số điều kiện đang active trong tab đó tại mọi thời điểm (kể cả trước khi tap Áp dụng).</t>
        </is>
      </c>
      <c r="L48" s="18" t="inlineStr">
        <is>
          <t>QnA-34</t>
        </is>
      </c>
      <c r="M48" s="18" t="inlineStr">
        <is>
          <t>RESOLVED QnA-34 (BA 27/08/2026): ưu tiên Figma, không badge tổng. Cần rà soát SS-SCR-009-SC1-TC1 + SS-SCR-010 (đang giả định có badge).</t>
        </is>
      </c>
    </row>
    <row r="49" hidden="1" ht="89.25" customHeight="1">
      <c r="A49" s="9" t="n">
        <v>75</v>
      </c>
      <c r="B49" s="9" t="inlineStr">
        <is>
          <t>SS-SCR-009-SC7</t>
        </is>
      </c>
      <c r="C49" s="9" t="inlineStr">
        <is>
          <t>SS-SCR-009</t>
        </is>
      </c>
      <c r="D49" s="9" t="inlineStr">
        <is>
          <t>H. Smart Filter / Detailed Filter</t>
        </is>
      </c>
      <c r="E49" s="9" t="inlineStr">
        <is>
          <t>FR-SF-01, FR-SF-04</t>
        </is>
      </c>
      <c r="F49" s="9" t="inlineStr">
        <is>
          <t>Functional</t>
        </is>
      </c>
      <c r="G49" s="9" t="inlineStr">
        <is>
          <t>Kiểm tra hành vi chi tiết của nút "Thiết lập lại" (Reset) và nút "Áp dụng" ở thanh hành động cố định đáy sheet.</t>
        </is>
      </c>
      <c r="H49" s="9" t="inlineStr">
        <is>
          <t>Tap "Thiết lập lại" sau khi đã chọn nhiều điều kiện; tap "Áp dụng" ở các trạng thái khác nhau</t>
        </is>
      </c>
      <c r="I49" s="9" t="inlineStr">
        <is>
          <t>Bảng Bộ lọc đang mở với thanh hành động cố định "Thiết lập lại"/"Áp dụng" hiển thị (đã xác nhận tồn tại theo ảnh Figma thực tế và storyboard bản cập nhật).</t>
        </is>
      </c>
      <c r="J49" s="9" t="inlineStr">
        <is>
          <t>"Thiết lập lại" xoá toàn bộ lựa chọn đang có TRONG SHEET (chưa áp dụng) về trạng thái trống, nhưng sheet vẫn mở (không tự đóng); "Áp dụng" luôn đóng sheet và chạy lại truy vấn theo đúng trạng thái hiện tại của sheet tại thời điểm tap, kể cả khi trạng thái đó là rỗng (0 điều kiện) hoặc không đổi so với trước.</t>
        </is>
      </c>
      <c r="K49" s="9" t="inlineStr">
        <is>
          <t>Hai nút hoạt động độc lập, không gây nhầm lẫn với nút (✕) đóng sheet (không áp dụng, khôi phục trạng thái cũ) đã test ở SC5.</t>
        </is>
      </c>
      <c r="L49" s="9" t="n"/>
      <c r="M49" s="9" t="n"/>
    </row>
    <row r="50" hidden="1" ht="38.25" customHeight="1">
      <c r="A50" s="9" t="n">
        <v>78</v>
      </c>
      <c r="B50" s="9" t="inlineStr">
        <is>
          <t>SS-SCR-009-SC8</t>
        </is>
      </c>
      <c r="C50" s="9" t="inlineStr">
        <is>
          <t>SS-SCR-009</t>
        </is>
      </c>
      <c r="D50" s="9" t="inlineStr">
        <is>
          <t>H. Smart Filter / Detailed Filter</t>
        </is>
      </c>
      <c r="E50" s="9" t="inlineStr">
        <is>
          <t>FR-SF-04</t>
        </is>
      </c>
      <c r="F50" s="9" t="inlineStr">
        <is>
          <t>Functional</t>
        </is>
      </c>
      <c r="G50" s="9" t="inlineStr">
        <is>
          <t>Chuyển đổi qua lại giữa các tab nhóm điều kiện (Danh mục/Nhãn/Giao hàng/Đánh giá/Giá) trong bảng Bộ lọc.</t>
        </is>
      </c>
      <c r="H50" s="9" t="inlineStr">
        <is>
          <t>Tap lần lượt từng tab bên trái; chọn điều kiện ở 1 tab rồi chuyển sang tab khác và quay lại</t>
        </is>
      </c>
      <c r="I50" s="9" t="inlineStr">
        <is>
          <t>Bảng Bộ lọc đang mở, tab "Danh mục" đang active mặc định.</t>
        </is>
      </c>
      <c r="J50" s="9" t="inlineStr">
        <is>
          <t>Tap 1 tab bất kỳ chuyển ngay nội dung panel bên phải sang đúng nhóm điều kiện của tab đó; tab vừa tap được đánh dấu active (viền trái đỏ + chữ đậm màu đỏ, theo đúng ảnh Figma thực tế); các tab khác trở về trạng thái không active; lựa chọn đã chọn ở các tab khác (nếu có) không bị mất khi chuyển tab qua lại, badge riêng của từng tab vẫn giữ nguyên.</t>
        </is>
      </c>
      <c r="K50" s="9" t="inlineStr">
        <is>
          <t>Chuyển tab không làm mất lựa chọn đã chọn ở tab khác; đúng 1 tab active tại một thời điểm; nội dung panel phải khớp đúng tab đang active.</t>
        </is>
      </c>
      <c r="L50" s="9" t="n"/>
      <c r="M50" s="9" t="n"/>
    </row>
    <row r="51" hidden="1" ht="51" customHeight="1">
      <c r="A51" s="9" t="n">
        <v>79</v>
      </c>
      <c r="B51" s="9" t="inlineStr">
        <is>
          <t>SS-SCR-009-SC9</t>
        </is>
      </c>
      <c r="C51" s="9" t="inlineStr">
        <is>
          <t>SS-SCR-009</t>
        </is>
      </c>
      <c r="D51" s="9" t="inlineStr">
        <is>
          <t>H. Smart Filter / Detailed Filter</t>
        </is>
      </c>
      <c r="E51" s="9" t="inlineStr">
        <is>
          <t>FR-SF-04</t>
        </is>
      </c>
      <c r="F51" s="9" t="inlineStr">
        <is>
          <t>Filter</t>
        </is>
      </c>
      <c r="G51" s="9" t="inlineStr">
        <is>
          <t>Chọn điều kiện Giao hàng trong tab "Giao hàng".</t>
        </is>
      </c>
      <c r="H51" s="9" t="inlineStr">
        <is>
          <t>Chọn "Giao hàng tiêu chuẩn"</t>
        </is>
      </c>
      <c r="I51" s="9" t="inlineStr">
        <is>
          <t>Trang kết quả đã tải; chưa áp dụng điều kiện Giao hàng nào.</t>
        </is>
      </c>
      <c r="J51" s="9" t="inlineStr">
        <is>
          <t>Storyboard bản cập nhật (v0.1-20260819) xác nhận tab Giao hàng chỉ có ĐÚNG 1 checkbox "Giao hàng tiêu chuẩn" (bật/tắt đơn giản), không có loại hình giao hàng nào khác ở v1. Chọn checkbox áp dụng lọc chỉ hiển thị SKU đủ điều kiện giao hàng tiêu chuẩn; bỏ chọn quay về không lọc theo điều kiện này.</t>
        </is>
      </c>
      <c r="K51" s="9" t="inlineStr">
        <is>
          <t>Chọn/bỏ chọn điều kiện Giao hàng cập nhật đúng badge tab Giao hàng và kết quả lọc tương ứng.</t>
        </is>
      </c>
      <c r="L51" s="9" t="n"/>
      <c r="M51" s="9" t="n"/>
    </row>
    <row r="52" hidden="1" ht="63.75" customHeight="1">
      <c r="A52" s="9" t="n">
        <v>80</v>
      </c>
      <c r="B52" s="9" t="inlineStr">
        <is>
          <t>SS-SCR-009-SC10</t>
        </is>
      </c>
      <c r="C52" s="9" t="inlineStr">
        <is>
          <t>SS-SCR-009</t>
        </is>
      </c>
      <c r="D52" s="9" t="inlineStr">
        <is>
          <t>H. Smart Filter / Detailed Filter</t>
        </is>
      </c>
      <c r="E52" s="9" t="inlineStr">
        <is>
          <t>FR-SF-04</t>
        </is>
      </c>
      <c r="F52" s="9" t="inlineStr">
        <is>
          <t>Filter</t>
        </is>
      </c>
      <c r="G52" s="9" t="inlineStr">
        <is>
          <t>Chọn mức Đánh giá (Rating) trong tab "Đánh giá" — 5 mức, độc quyền chỉ chọn 1.</t>
        </is>
      </c>
      <c r="H52" s="9" t="inlineStr">
        <is>
          <t>Chọn lần lượt "5 sao", "Từ 4 sao trở lên", ...</t>
        </is>
      </c>
      <c r="I52" s="9" t="inlineStr">
        <is>
          <t>Trang kết quả đã tải; chưa áp dụng điều kiện Đánh giá nào.</t>
        </is>
      </c>
      <c r="J52" s="9" t="inlineStr">
        <is>
          <t>Tab hiển thị đúng 5 mức theo BRD (5 sao / Từ 4 sao trở lên / Từ 3 sao trở lên / Từ 2 sao trở lên / Từ 1 sao trở lên); chỉ chọn được 1 mức tại một thời điểm (độc quyền, giống Danh mục); chọn "Từ N sao trở lên" trả về SKU có rating &gt;= N (bao gồm cả N và cao hơn, không phải chỉ đúng bằng N).</t>
        </is>
      </c>
      <c r="K52" s="9" t="inlineStr">
        <is>
          <t>Đổi mức Đánh giá tự động bỏ chọn mức cũ; kết quả trả về đúng ngưỡng &gt;= N sao cho từng mức.</t>
        </is>
      </c>
      <c r="L52" s="9" t="n"/>
      <c r="M52" s="9" t="n"/>
    </row>
    <row r="53" hidden="1" ht="38.25" customHeight="1">
      <c r="A53" s="9" t="n">
        <v>40</v>
      </c>
      <c r="B53" s="9" t="inlineStr">
        <is>
          <t>SS-SCR-010-SC1</t>
        </is>
      </c>
      <c r="C53" s="9" t="inlineStr">
        <is>
          <t>SS-SCR-010</t>
        </is>
      </c>
      <c r="D53" s="9" t="inlineStr">
        <is>
          <t>I. Filter Applied State</t>
        </is>
      </c>
      <c r="E53" s="9" t="inlineStr">
        <is>
          <t>FR-SF-03</t>
        </is>
      </c>
      <c r="F53" s="9" t="inlineStr">
        <is>
          <t>Boundary</t>
        </is>
      </c>
      <c r="G53" s="9" t="inlineStr">
        <is>
          <t>Áp dụng bộ lọc dẫn đến 0 kết quả.</t>
        </is>
      </c>
      <c r="H53" s="9" t="inlineStr">
        <is>
          <t>Bộ lọc kết hợp không có sản phẩm nào thoả (VD: Giá &lt;10.000đ AND Nhãn=Nhập khẩu)</t>
        </is>
      </c>
      <c r="I53" s="9" t="inlineStr">
        <is>
          <t>Trang kết quả đã lọc trả về 0 sản phẩm.</t>
        </is>
      </c>
      <c r="J53" s="9" t="inlineStr">
        <is>
          <t>Hiển thị thông điệp "Không có sản phẩm nào khớp bộ lọc" kèm nút "Xoá bộ lọc"; KHÔNG chuyển hướng sang trang Zero Result do từ khoá (SS-SCR-012).</t>
        </is>
      </c>
      <c r="K53" s="9" t="inlineStr">
        <is>
          <t>0 kết quả sau lọc phải hiển thị UI riêng biệt với Zero Result do từ khoá; nút Xoá bộ lọc phải khôi phục đúng kết quả gốc trước khi lọc.</t>
        </is>
      </c>
      <c r="L53" s="9" t="n"/>
      <c r="M53" s="9" t="n"/>
    </row>
    <row r="54" hidden="1" ht="38.25" customHeight="1">
      <c r="A54" s="9" t="n">
        <v>41</v>
      </c>
      <c r="B54" s="9" t="inlineStr">
        <is>
          <t>SS-SCR-010-SC2</t>
        </is>
      </c>
      <c r="C54" s="9" t="inlineStr">
        <is>
          <t>SS-SCR-010</t>
        </is>
      </c>
      <c r="D54" s="9" t="inlineStr">
        <is>
          <t>I. Filter Applied State</t>
        </is>
      </c>
      <c r="E54" s="9" t="inlineStr">
        <is>
          <t>FR-SF-03</t>
        </is>
      </c>
      <c r="F54" s="9" t="inlineStr">
        <is>
          <t>Functional</t>
        </is>
      </c>
      <c r="G54" s="9" t="inlineStr">
        <is>
          <t>Bỏ chọn 1 chip lọc đang bật trực tiếp trên trang kết quả.</t>
        </is>
      </c>
      <c r="H54" s="9" t="inlineStr">
        <is>
          <t>Bỏ chọn chip "Không đường" đang active (nền đỏ)</t>
        </is>
      </c>
      <c r="I54" s="9" t="inlineStr">
        <is>
          <t>≥1 chip filter đang active.</t>
        </is>
      </c>
      <c r="J54" s="9" t="inlineStr">
        <is>
          <t>Chip chuyển về trạng thái chưa chọn; badge số bộ lọc giảm tương ứng; truy vấn chạy lại ngay không cần mở lại bảng lọc đầy đủ.</t>
        </is>
      </c>
      <c r="K54" s="9" t="inlineStr">
        <is>
          <t>Badge số bộ lọc cập nhật đúng ngay sau khi bỏ chọn; số kết quả cập nhật realtime.</t>
        </is>
      </c>
      <c r="L54" s="9" t="n"/>
      <c r="M54" s="9" t="n"/>
    </row>
    <row r="55" hidden="1" ht="63.75" customHeight="1">
      <c r="A55" s="9" t="n">
        <v>42</v>
      </c>
      <c r="B55" s="9" t="inlineStr">
        <is>
          <t>SS-SCR-010-SC3</t>
        </is>
      </c>
      <c r="C55" s="9" t="inlineStr">
        <is>
          <t>SS-SCR-010</t>
        </is>
      </c>
      <c r="D55" s="9" t="inlineStr">
        <is>
          <t>I. Filter Applied State</t>
        </is>
      </c>
      <c r="E55" s="9" t="inlineStr">
        <is>
          <t>FR-SF-03</t>
        </is>
      </c>
      <c r="F55" s="9" t="inlineStr">
        <is>
          <t>Functional</t>
        </is>
      </c>
      <c r="G55" s="9" t="inlineStr">
        <is>
          <t>Bỏ chọn lần lượt từng chip lọc cho tới khi hết (về trạng thái không lọc).</t>
        </is>
      </c>
      <c r="H55" s="9" t="inlineStr">
        <is>
          <t>Bỏ chọn tuần tự 3 chip đang active</t>
        </is>
      </c>
      <c r="I55" s="9" t="inlineStr">
        <is>
          <t>Đang áp dụng 3 điều kiện lọc.</t>
        </is>
      </c>
      <c r="J55" s="9" t="inlineStr">
        <is>
          <t>Badge giảm dần đúng theo từng lần bỏ chọn (3→2→1→0); khi badge = 0, nút "Bộ lọc" trở về trạng thái mặc định (không badge), kết quả trở về tập đầy đủ ban đầu.</t>
        </is>
      </c>
      <c r="K55" s="9" t="inlineStr">
        <is>
          <t>Badge và kết quả luôn đồng bộ chính xác sau mỗi lần bỏ chọn.</t>
        </is>
      </c>
      <c r="L55" s="9" t="n"/>
      <c r="M55" s="9" t="n"/>
    </row>
    <row r="56" hidden="1" ht="51" customHeight="1">
      <c r="A56" s="9" t="n">
        <v>51</v>
      </c>
      <c r="B56" s="9" t="inlineStr">
        <is>
          <t>SS-SCR-010-SC4</t>
        </is>
      </c>
      <c r="C56" s="9" t="inlineStr">
        <is>
          <t>SS-SCR-010</t>
        </is>
      </c>
      <c r="D56" s="9" t="inlineStr">
        <is>
          <t>I. Filter Applied State</t>
        </is>
      </c>
      <c r="E56" s="9" t="inlineStr">
        <is>
          <t>FR-SF-03</t>
        </is>
      </c>
      <c r="F56" s="9" t="inlineStr">
        <is>
          <t>Functional</t>
        </is>
      </c>
      <c r="G56" s="9" t="inlineStr">
        <is>
          <t>Kiểm tra bộ lọc tự động xoá khi khách tìm kiếm một từ khoá mới (không phải sửa từ khoá cũ, mà tìm hẳn từ khoá khác).</t>
        </is>
      </c>
      <c r="H56" s="9" t="inlineStr">
        <is>
          <t>Đang lọc "Không đường" cho từ khoá "sữa" → tìm từ khoá mới "bia"</t>
        </is>
      </c>
      <c r="I56" s="9" t="inlineStr">
        <is>
          <t>Trang kết quả "sữa" đang áp dụng ≥1 điều kiện lọc.</t>
        </is>
      </c>
      <c r="J56" s="9" t="inlineStr">
        <is>
          <t>Theo storyboard bản cập nhật (v0.1-20260819, SS-SCR-010): khi khách tìm một từ khoá MỚI (khác hẳn), bộ lọc đang áp dụng cho từ khoá cũ TỰ ĐỘNG XOÁ, không mang theo sang kết quả của từ khoá mới. Badge nút Bộ lọc về 0/ẩn cho từ khoá mới.</t>
        </is>
      </c>
      <c r="K56" s="9" t="inlineStr">
        <is>
          <t>Đổi từ khoá luôn khởi động lại trạng thái lọc từ đầu (badge=0); không có filter chip nào của từ khoá cũ còn sót lại trên kết quả từ khoá mới.</t>
        </is>
      </c>
      <c r="L56" s="9" t="n"/>
      <c r="M56" s="9" t="n"/>
    </row>
    <row r="57" hidden="1" ht="38.25" customHeight="1">
      <c r="A57" s="11" t="n">
        <v>43</v>
      </c>
      <c r="B57" s="11" t="inlineStr">
        <is>
          <t>SS-SCR-011-SC1</t>
        </is>
      </c>
      <c r="C57" s="11" t="inlineStr">
        <is>
          <t>SS-SCR-011</t>
        </is>
      </c>
      <c r="D57" s="11" t="inlineStr">
        <is>
          <t>J. Add to Cart</t>
        </is>
      </c>
      <c r="E57" s="11" t="inlineStr">
        <is>
          <t>Không có FR ID rõ ràng trong BRD — xem QnA-07</t>
        </is>
      </c>
      <c r="F57" s="11" t="inlineStr">
        <is>
          <t>Functional</t>
        </is>
      </c>
      <c r="G57" s="11" t="inlineStr">
        <is>
          <t>Chạm (+) trên Product Card để thêm sản phẩm vào giỏ ngay tại trang kết quả.</t>
        </is>
      </c>
      <c r="H57" s="11" t="inlineStr">
        <is>
          <t>Chạm (+) trên 1 Product Card còn hàng</t>
        </is>
      </c>
      <c r="I57" s="11" t="inlineStr">
        <is>
          <t>Đang ở trang kết quả (Grid hoặc List).</t>
        </is>
      </c>
      <c r="J57" s="11" t="inlineStr">
        <is>
          <t>Badge giỏ hàng tăng ngay (optimistic update); Toast xác nhận hiện ở đáy màn hình (ảnh + "Đã thêm vào giỏ hàng" + tên sản phẩm + giá), tự ẩn sau 3 giây, không chặn thao tác cuộn; không rời trang kết quả. - OUT OF SCOPE Smart Search (QnA-07): thêm giỏ hàng ngoài scope. QnA-10 (tham chiếu Screen ID sai trong storyboard): BA/UX Done.</t>
        </is>
      </c>
      <c r="K57" s="11" t="inlineStr">
        <is>
          <t>Optimistic update phải rollback nếu API thất bại; toast tự đóng đúng 3s; không rời khỏi trang hiện tại.</t>
        </is>
      </c>
      <c r="L57" s="11" t="inlineStr">
        <is>
          <t>QnA-07, QnA-10</t>
        </is>
      </c>
      <c r="M57" s="11" t="inlineStr">
        <is>
          <t>OUT OF SCOPE - QnA-07 (BA 24/08/2026). QnA-10 RESOLVED (BA/UX Done).</t>
        </is>
      </c>
    </row>
    <row r="58" hidden="1" ht="63.75" customHeight="1">
      <c r="A58" s="9" t="n">
        <v>44</v>
      </c>
      <c r="B58" s="9" t="inlineStr">
        <is>
          <t>SS-SCR-011-SC2</t>
        </is>
      </c>
      <c r="C58" s="9" t="inlineStr">
        <is>
          <t>SS-SCR-011</t>
        </is>
      </c>
      <c r="D58" s="9" t="inlineStr">
        <is>
          <t>J. Add to Cart</t>
        </is>
      </c>
      <c r="E58" s="9" t="inlineStr">
        <is>
          <t>Không có FR ID rõ ràng trong BRD — xem QnA-07</t>
        </is>
      </c>
      <c r="F58" s="9" t="inlineStr">
        <is>
          <t>Boundary</t>
        </is>
      </c>
      <c r="G58" s="9" t="inlineStr">
        <is>
          <t>Bấm liên tục (spam) nút (+) nhiều lần nhanh trên cùng 1 sản phẩm.</t>
        </is>
      </c>
      <c r="H58" s="9" t="inlineStr">
        <is>
          <t>Bấm (+) 10 lần liên tục trong &lt;1 giây</t>
        </is>
      </c>
      <c r="I58" s="9" t="inlineStr">
        <is>
          <t>SKU còn hàng, không giới hạn mua.</t>
        </is>
      </c>
      <c r="J58" s="9" t="inlineStr">
        <is>
          <t>Badge giỏ hàng cộng dồn đúng số lần bấm (hoặc theo giới hạn tồn kho nếu chạm ngưỡng); không có race condition khiến số lượng bị đếm sai hoặc bị mất lượt bấm.</t>
        </is>
      </c>
      <c r="K58" s="9" t="inlineStr">
        <is>
          <t>Số lượng cuối cùng trong giỏ khớp chính xác với số lần bấm hợp lệ (không vượt tồn kho).</t>
        </is>
      </c>
      <c r="L58" s="9" t="n"/>
      <c r="M58" s="9" t="n"/>
    </row>
    <row r="59" hidden="1" ht="38.25" customHeight="1">
      <c r="A59" s="11" t="n">
        <v>45</v>
      </c>
      <c r="B59" s="11" t="inlineStr">
        <is>
          <t>SS-SCR-011-SC3</t>
        </is>
      </c>
      <c r="C59" s="11" t="inlineStr">
        <is>
          <t>SS-SCR-011</t>
        </is>
      </c>
      <c r="D59" s="11" t="inlineStr">
        <is>
          <t>J. Add to Cart</t>
        </is>
      </c>
      <c r="E59" s="11" t="inlineStr">
        <is>
          <t>Không có FR ID rõ ràng trong BRD — xem QnA-07</t>
        </is>
      </c>
      <c r="F59" s="11" t="inlineStr">
        <is>
          <t>Edge</t>
        </is>
      </c>
      <c r="G59" s="11" t="inlineStr">
        <is>
          <t>Toast xác nhận khi thêm nhiều sản phẩm KHÁC NHAU liên tiếp trong thời gian ngắn.</t>
        </is>
      </c>
      <c r="H59" s="11" t="inlineStr">
        <is>
          <t>Thêm SKU-A rồi ngay lập tức thêm SKU-B (trong lúc Toast của SKU-A còn hiển thị)</t>
        </is>
      </c>
      <c r="I59" s="11" t="inlineStr">
        <is>
          <t>2 SKU khác nhau còn hàng.</t>
        </is>
      </c>
      <c r="J59" s="11" t="inlineStr">
        <is>
          <t>Chưa có tài liệu quy định: Toast mới có thay thế Toast cũ ngay lập tức, hay xếp hàng (queue) hiển thị lần lượt từng Toast.</t>
        </is>
      </c>
      <c r="K59" s="11" t="inlineStr">
        <is>
          <t>Không có 2 Toast chồng lấn nhau gây rối UI; badge giỏ hàng luôn phản ánh đúng tổng số item.</t>
        </is>
      </c>
      <c r="L59" s="11" t="inlineStr">
        <is>
          <t>QnA-16</t>
        </is>
      </c>
      <c r="M59" s="11" t="inlineStr">
        <is>
          <t>TC cha OUT OF SCOPE theo QnA-07 (thêm giỏ ngoài scope). QnA-16 (cơ chế Toast): chưa có câu trả lời.</t>
        </is>
      </c>
    </row>
    <row r="60" hidden="1" ht="51" customHeight="1">
      <c r="A60" s="9" t="n">
        <v>46</v>
      </c>
      <c r="B60" s="9" t="inlineStr">
        <is>
          <t>SS-SCR-011-SC4</t>
        </is>
      </c>
      <c r="C60" s="9" t="inlineStr">
        <is>
          <t>SS-SCR-011</t>
        </is>
      </c>
      <c r="D60" s="9" t="inlineStr">
        <is>
          <t>J. Add to Cart</t>
        </is>
      </c>
      <c r="E60" s="9" t="inlineStr">
        <is>
          <t>Không có FR ID rõ ràng trong BRD — xem QnA-07</t>
        </is>
      </c>
      <c r="F60" s="9" t="inlineStr">
        <is>
          <t>Exception</t>
        </is>
      </c>
      <c r="G60" s="9" t="inlineStr">
        <is>
          <t>Thêm sản phẩm vào giỏ khi mất kết nối mạng.</t>
        </is>
      </c>
      <c r="H60" s="9" t="inlineStr">
        <is>
          <t>Tap (+) trong lúc thiết bị offline</t>
        </is>
      </c>
      <c r="I60" s="9" t="inlineStr">
        <is>
          <t>Giả lập mất mạng hoàn toàn.</t>
        </is>
      </c>
      <c r="J60" s="9" t="inlineStr">
        <is>
          <t>Optimistic update tăng badge tạm thời rồi rollback (giống kịch bản lỗi API 5xx đã có), kèm thông báo lỗi kết nối rõ ràng thay vì lỗi chung chung.</t>
        </is>
      </c>
      <c r="K60" s="9" t="inlineStr">
        <is>
          <t>Có phân biệt được thông báo lỗi mạng và lỗi nghiệp vụ khác (VD hết hàng).</t>
        </is>
      </c>
      <c r="L60" s="9" t="n"/>
      <c r="M60" s="9" t="n"/>
    </row>
    <row r="61" hidden="1" ht="63.75" customHeight="1">
      <c r="A61" s="11" t="n">
        <v>47</v>
      </c>
      <c r="B61" s="11" t="inlineStr">
        <is>
          <t>SS-SCR-012-SC1</t>
        </is>
      </c>
      <c r="C61" s="11" t="inlineStr">
        <is>
          <t>SS-SCR-012</t>
        </is>
      </c>
      <c r="D61" s="11" t="inlineStr">
        <is>
          <t>K. Zero-Result Recovery</t>
        </is>
      </c>
      <c r="E61" s="11" t="inlineStr">
        <is>
          <t>FR-ZR-02, FR-SM-07</t>
        </is>
      </c>
      <c r="F61" s="11" t="inlineStr">
        <is>
          <t>No-result</t>
        </is>
      </c>
      <c r="G61" s="11" t="inlineStr">
        <is>
          <t>Tìm kiếm một từ khoá không có sản phẩm khớp trực tiếp.</t>
        </is>
      </c>
      <c r="H61" s="11" t="inlineStr">
        <is>
          <t>"xịt muỗi Tesla"</t>
        </is>
      </c>
      <c r="I61" s="11" t="inlineStr">
        <is>
          <t>Catalogue đã index, không có SKU khớp trực tiếp.</t>
        </is>
      </c>
      <c r="J61" s="11" t="inlineStr">
        <is>
          <t>Search Bar giữ nguyên từ khoá đã tìm; icon minh hoạ trung tính (không tiêu cực); tiêu đề "Không tìm thấy kết quả"; thông điệp nhắc lại đúng từ khoá đã tìm; khối "Có thể bạn sẽ thích" hiển thị Substitute → Cross-sell → Best-seller theo đúng thứ tự fallback 3 tầng; tuyệt đối không có trang trắng. Theo wireframe chỉ có 1 khối 'Có thể bạn sẽ thích' - 2 khối 'Từ khoá tương tự' + 'Bạn có thể cần?' KHÔNG có ở v1 (ĐÃ XÁC NHẬN QnA-02).</t>
        </is>
      </c>
      <c r="K61" s="11" t="inlineStr">
        <is>
          <t>Trang không bao giờ trắng; khối gợi ý luôn có ≥1 sản phẩm; thông điệp trích dẫn đúng nguyên văn từ khoá đã gõ.</t>
        </is>
      </c>
      <c r="L61" s="11" t="inlineStr">
        <is>
          <t>QnA-02</t>
        </is>
      </c>
      <c r="M61" s="11" t="inlineStr">
        <is>
          <t>RESOLVED QnA-02 (BA 24/08/2026).</t>
        </is>
      </c>
    </row>
    <row r="62" hidden="1" ht="89.25" customHeight="1">
      <c r="A62" s="11" t="n">
        <v>48</v>
      </c>
      <c r="B62" s="11" t="inlineStr">
        <is>
          <t>SS-SCR-012-SC2</t>
        </is>
      </c>
      <c r="C62" s="11" t="inlineStr">
        <is>
          <t>SS-SCR-012</t>
        </is>
      </c>
      <c r="D62" s="11" t="inlineStr">
        <is>
          <t>K. Zero-Result Recovery</t>
        </is>
      </c>
      <c r="E62" s="11" t="inlineStr">
        <is>
          <t>FR-ZR-02, FR-SM-07</t>
        </is>
      </c>
      <c r="F62" s="11" t="inlineStr">
        <is>
          <t>Functional</t>
        </is>
      </c>
      <c r="G62" s="11" t="inlineStr">
        <is>
          <t>Tap vào sản phẩm Substitute/Cross-sell trên Zero Result Page.</t>
        </is>
      </c>
      <c r="H62" s="11" t="inlineStr">
        <is>
          <t>Tap 1 card trong khối "Có thể bạn sẽ thích"</t>
        </is>
      </c>
      <c r="I62" s="11" t="inlineStr">
        <is>
          <t>Đang ở Zero Result Page với khối gợi ý hiển thị.</t>
        </is>
      </c>
      <c r="J62" s="11" t="inlineStr">
        <is>
          <t>Sản phẩm gợi ý = Product Card -&gt; tap MỞ THẲNG PDP (hành vi thống nhất mọi trang), KHÔNG chạy truy vấn mới - ĐÃ XÁC NHẬN QnA-18.</t>
        </is>
      </c>
      <c r="K62" s="11" t="inlineStr">
        <is>
          <t>Điều hướng phải nhất quán, không dẫn tới trang lỗi/trang trắng.</t>
        </is>
      </c>
      <c r="L62" s="11" t="inlineStr">
        <is>
          <t>QnA-18</t>
        </is>
      </c>
      <c r="M62" s="11" t="inlineStr">
        <is>
          <t>RESOLVED QnA-18 (BA 24/08/2026).</t>
        </is>
      </c>
    </row>
    <row r="63" hidden="1" ht="63.75" customHeight="1">
      <c r="A63" s="9" t="n">
        <v>49</v>
      </c>
      <c r="B63" s="9" t="inlineStr">
        <is>
          <t>SS-SCR-012-SC3</t>
        </is>
      </c>
      <c r="C63" s="9" t="inlineStr">
        <is>
          <t>SS-SCR-012</t>
        </is>
      </c>
      <c r="D63" s="9" t="inlineStr">
        <is>
          <t>K. Zero-Result Recovery</t>
        </is>
      </c>
      <c r="E63" s="9" t="inlineStr">
        <is>
          <t>FR-ZR-02, FR-SM-07</t>
        </is>
      </c>
      <c r="F63" s="9" t="inlineStr">
        <is>
          <t>Boundary</t>
        </is>
      </c>
      <c r="G63" s="9" t="inlineStr">
        <is>
          <t>Sửa lại từ khoá ngay trên Search Bar của Zero Result Page để tìm lại.</t>
        </is>
      </c>
      <c r="H63" s="9" t="inlineStr">
        <is>
          <t>Sửa "xịt muỗi Tesla" thành "xịt muỗi"</t>
        </is>
      </c>
      <c r="I63" s="9" t="inlineStr">
        <is>
          <t>Đang ở Zero Result Page.</t>
        </is>
      </c>
      <c r="J63" s="9" t="inlineStr">
        <is>
          <t>Search Bar cho phép sửa trực tiếp; submit lại chạy truy vấn mới theo đúng từ khoá đã sửa, rời khỏi Zero Result Page nếu có kết quả.</t>
        </is>
      </c>
      <c r="K63" s="9" t="inlineStr">
        <is>
          <t>Sửa và tìm lại hoạt động mượt mà như một lượt tìm kiếm bình thường.</t>
        </is>
      </c>
      <c r="L63" s="9" t="n"/>
      <c r="M63" s="9" t="n"/>
    </row>
    <row r="64" hidden="1" ht="63.75" customHeight="1">
      <c r="A64" s="18" t="n">
        <v>50</v>
      </c>
      <c r="B64" s="18" t="inlineStr">
        <is>
          <t>SS-SCR-012-SC4</t>
        </is>
      </c>
      <c r="C64" s="18" t="inlineStr">
        <is>
          <t>SS-SCR-012</t>
        </is>
      </c>
      <c r="D64" s="18" t="inlineStr">
        <is>
          <t>K. Zero-Result Recovery</t>
        </is>
      </c>
      <c r="E64" s="18" t="inlineStr">
        <is>
          <t>FR-ZR-02, FR-SM-07, FR-PR-01 -&gt; FR-PR-05 (Out-of-stock override)</t>
        </is>
      </c>
      <c r="F64" s="18" t="inlineStr">
        <is>
          <t>Boundary</t>
        </is>
      </c>
      <c r="G64" s="18" t="inlineStr">
        <is>
          <t>Kiểm tra ranh giới kích hoạt Zero Result Page khi từ khoá khớp chính xác 1/nhiều SKU nhưng đang hết hàng.</t>
        </is>
      </c>
      <c r="H64" s="18" t="inlineStr">
        <is>
          <t>Từ khoá khớp chính xác SKU hết hàng (còn SKU khác còn hàng) / Từ khoá mà TẤT CẢ SKU khớp đều hết hàng</t>
        </is>
      </c>
      <c r="I64" s="18" t="inlineStr">
        <is>
          <t>Catalogue có SKU khớp trực tiếp từ khoá nhưng ở trạng thái hết hàng (stock=0).</t>
        </is>
      </c>
      <c r="J64" s="18" t="inlineStr">
        <is>
          <t>Trường hợp còn SKU khác khớp còn hàng: hệ thống ở lại SS-SCR-005 bình thường, SKU hết hàng bị đẩy xuống đáy danh sách theo quy tắc Out-of-stock override (FR-PR-01→05), Zero Result Page KHÔNG được kích hoạt. Trường hợp TẤT CẢ SKU khớp đều hết hàng: TBD — xem QnA-39.</t>
        </is>
      </c>
      <c r="K64" s="18" t="inlineStr">
        <is>
          <t>Khối "Có thể bạn sẽ thích" (đặc trưng riêng của SS-SCR-012) chỉ được xuất hiện khi thực sự rơi vào luồng Zero Result, không xuất hiện lẫn trên SS-SCR-005 khi vẫn còn SKU khớp trực tiếp (dù hết hàng).</t>
        </is>
      </c>
      <c r="L64" s="18" t="inlineStr">
        <is>
          <t>QnA-39</t>
        </is>
      </c>
      <c r="M64" s="18" t="inlineStr">
        <is>
          <t>OPEN — QnA-39: xem chi tiết trong file QnA log.</t>
        </is>
      </c>
    </row>
    <row r="65" hidden="1" ht="38.25" customHeight="1">
      <c r="A65" s="11" t="n">
        <v>50</v>
      </c>
      <c r="B65" s="11" t="inlineStr">
        <is>
          <t>SS-SCR-013-SC1</t>
        </is>
      </c>
      <c r="C65" s="11" t="inlineStr">
        <is>
          <t>SS-SCR-013</t>
        </is>
      </c>
      <c r="D65" s="11" t="inlineStr">
        <is>
          <t>L. Image Search — Camera</t>
        </is>
      </c>
      <c r="E65" s="11" t="inlineStr">
        <is>
          <t>FR-IS-01</t>
        </is>
      </c>
      <c r="F65" s="11" t="inlineStr">
        <is>
          <t>Normal</t>
        </is>
      </c>
      <c r="G65" s="11" t="inlineStr">
        <is>
          <t>Chụp ảnh sản phẩm bằng camera trong app.</t>
        </is>
      </c>
      <c r="H65" s="11" t="inlineStr">
        <is>
          <t>Ảnh JPEG rõ nét hộp sữa</t>
        </is>
      </c>
      <c r="I65" s="11" t="inlineStr">
        <is>
          <t>Quyền Camera đã cấp.</t>
        </is>
      </c>
      <c r="J65" s="11" t="inlineStr">
        <is>
          <t>Khung ngắm toàn màn hình; nhãn "Camera sau" + nút bật/tắt flash; nút Chụp chuyển sang Loading (SS-SCR-004) rồi tới kết quả nhận diện (SS-SCR-015); xoay camera trước/sau được ghi nhớ cho lần sau.</t>
        </is>
      </c>
      <c r="K65" s="11" t="inlineStr">
        <is>
          <t>Ảnh chụp được truyền đúng sang bước xử lý; trạng thái camera trước/sau được lưu giữa các phiên.</t>
        </is>
      </c>
      <c r="L65" s="11" t="inlineStr">
        <is>
          <t>QnA-09</t>
        </is>
      </c>
      <c r="M65" s="11" t="inlineStr">
        <is>
          <t>OPEN — QnA-09: xem chi tiết trong file QnA log.</t>
        </is>
      </c>
    </row>
    <row r="66" hidden="1" ht="51" customHeight="1">
      <c r="A66" s="9" t="n">
        <v>51</v>
      </c>
      <c r="B66" s="9" t="inlineStr">
        <is>
          <t>SS-SCR-013-SC2</t>
        </is>
      </c>
      <c r="C66" s="9" t="inlineStr">
        <is>
          <t>SS-SCR-013</t>
        </is>
      </c>
      <c r="D66" s="9" t="inlineStr">
        <is>
          <t>L. Image Search — Camera</t>
        </is>
      </c>
      <c r="E66" s="9" t="inlineStr">
        <is>
          <t>FR-IS-01</t>
        </is>
      </c>
      <c r="F66" s="9" t="inlineStr">
        <is>
          <t>Functional</t>
        </is>
      </c>
      <c r="G66" s="9" t="inlineStr">
        <is>
          <t>Bật/tắt đèn Flash khi chụp trong điều kiện thiếu sáng.</t>
        </is>
      </c>
      <c r="H66" s="9" t="inlineStr">
        <is>
          <t>Tap nút bật/tắt Flash</t>
        </is>
      </c>
      <c r="I66" s="9" t="inlineStr">
        <is>
          <t>Đang ở Camera Screen.</t>
        </is>
      </c>
      <c r="J66" s="9" t="inlineStr">
        <is>
          <t>Nút Flash chuyển trạng thái bật/tắt tương ứng; ảnh chụp khi Flash bật sáng rõ hơn trong điều kiện thiếu sáng.</t>
        </is>
      </c>
      <c r="K66" s="9" t="inlineStr">
        <is>
          <t>Trạng thái Flash phản ánh đúng trên UI (icon đổi) và trên ảnh chụp thực tế.</t>
        </is>
      </c>
      <c r="L66" s="9" t="n"/>
      <c r="M66" s="9" t="n"/>
    </row>
    <row r="67" hidden="1" ht="76.5" customHeight="1">
      <c r="A67" s="11" t="n">
        <v>52</v>
      </c>
      <c r="B67" s="11" t="inlineStr">
        <is>
          <t>SS-SCR-013-SC3</t>
        </is>
      </c>
      <c r="C67" s="11" t="inlineStr">
        <is>
          <t>SS-SCR-013</t>
        </is>
      </c>
      <c r="D67" s="11" t="inlineStr">
        <is>
          <t>L. Image Search — Camera</t>
        </is>
      </c>
      <c r="E67" s="11" t="inlineStr">
        <is>
          <t>FR-IS-01</t>
        </is>
      </c>
      <c r="F67" s="11" t="inlineStr">
        <is>
          <t>Exception</t>
        </is>
      </c>
      <c r="G67" s="11" t="inlineStr">
        <is>
          <t>Quyền Camera bị thu hồi giữa phiên (ở Cài đặt hệ thống) trong khi app đang chạy nền.</t>
        </is>
      </c>
      <c r="H67" s="11" t="inlineStr">
        <is>
          <t>Thu hồi quyền Camera ở Settings rồi quay lại app</t>
        </is>
      </c>
      <c r="I67" s="11" t="inlineStr">
        <is>
          <t>App đang ở Camera Screen hoặc vừa quay lại foreground.</t>
        </is>
      </c>
      <c r="J67" s="11" t="inlineStr">
        <is>
          <t>Chưa có tài liệu quy định hành vi UI cụ thể khi quyền bị thu hồi giữa phiên (khác với từ chối lần đầu đã có ở test case khác).</t>
        </is>
      </c>
      <c r="K67" s="11" t="inlineStr">
        <is>
          <t>Không crash; có đường dẫn hướng dẫn cấp lại quyền.</t>
        </is>
      </c>
      <c r="L67" s="11" t="inlineStr">
        <is>
          <t>QnA-19</t>
        </is>
      </c>
      <c r="M67" s="11" t="inlineStr">
        <is>
          <t>OPEN — QnA-19: xem chi tiết trong file QnA log.</t>
        </is>
      </c>
    </row>
    <row r="68" hidden="1" ht="51" customHeight="1">
      <c r="A68" s="9" t="n">
        <v>53</v>
      </c>
      <c r="B68" s="9" t="inlineStr">
        <is>
          <t>SS-SCR-014-SC1</t>
        </is>
      </c>
      <c r="C68" s="9" t="inlineStr">
        <is>
          <t>SS-SCR-014</t>
        </is>
      </c>
      <c r="D68" s="9" t="inlineStr">
        <is>
          <t>M. Image Search — Gallery</t>
        </is>
      </c>
      <c r="E68" s="9" t="inlineStr">
        <is>
          <t>FR-IS-02, FR-IS-04</t>
        </is>
      </c>
      <c r="F68" s="9" t="inlineStr">
        <is>
          <t>Boundary</t>
        </is>
      </c>
      <c r="G68" s="9" t="inlineStr">
        <is>
          <t>Chọn ảnh từ khay Gallery Bottom Sheet với các mức dung lượng/định dạng khác nhau.</t>
        </is>
      </c>
      <c r="H68" s="9" t="inlineStr">
        <is>
          <t>PNG 2MB hợp lệ / JPEG 5.0MB / JPEG 5.1MB / GIF không hỗ trợ</t>
        </is>
      </c>
      <c r="I68" s="9" t="inlineStr">
        <is>
          <t>Quyền truy cập thư viện đã cấp; khay ảnh gần đây hiển thị lưới 3 cột.</t>
        </is>
      </c>
      <c r="J68" s="9" t="inlineStr">
        <is>
          <t>PNG 2MB &amp; JPEG 5.0MB được chấp nhận, chuyển sang Loading; JPEG 5.1MB và GIF bị từ chối với Toast: "Định dạng hình ảnh không hợp lệ hoặc dung lượng vượt quá 5MB. Vui lòng thử lại." trước khi upload.</t>
        </is>
      </c>
      <c r="K68" s="9" t="inlineStr">
        <is>
          <t>Ngưỡng chính xác ở đúng mốc 5.0MB (chấp nhận) / 5.1MB (từ chối); chỉ JPG/PNG/WEBP được chấp nhận.</t>
        </is>
      </c>
      <c r="L68" s="9" t="n"/>
      <c r="M68" s="9" t="n"/>
    </row>
    <row r="69" hidden="1" ht="76.5" customHeight="1">
      <c r="A69" s="9" t="n">
        <v>54</v>
      </c>
      <c r="B69" s="9" t="inlineStr">
        <is>
          <t>SS-SCR-014-SC2</t>
        </is>
      </c>
      <c r="C69" s="9" t="inlineStr">
        <is>
          <t>SS-SCR-014</t>
        </is>
      </c>
      <c r="D69" s="9" t="inlineStr">
        <is>
          <t>M. Image Search — Gallery</t>
        </is>
      </c>
      <c r="E69" s="9" t="inlineStr">
        <is>
          <t>FR-IS-02, FR-IS-04</t>
        </is>
      </c>
      <c r="F69" s="9" t="inlineStr">
        <is>
          <t>Edge</t>
        </is>
      </c>
      <c r="G69" s="9" t="inlineStr">
        <is>
          <t>Mở khay Gallery khi thư viện ảnh trống (chưa có ảnh nào).</t>
        </is>
      </c>
      <c r="H69" s="9" t="inlineStr">
        <is>
          <t>Thư viện ảnh = 0 ảnh</t>
        </is>
      </c>
      <c r="I69" s="9" t="inlineStr">
        <is>
          <t>Thiết bị test chưa có ảnh nào trong bộ nhớ/thư viện.</t>
        </is>
      </c>
      <c r="J69" s="9" t="inlineStr">
        <is>
          <t>Hiển thị trạng thái rỗng thân thiện (VD: "Chưa có ảnh nào, hãy chụp ảnh mới") thay vì lưới trống trơn không giải thích; vẫn có đường quay lại Camera Screen để chụp.</t>
        </is>
      </c>
      <c r="K69" s="9" t="inlineStr">
        <is>
          <t>Không hiển thị lưới ảnh trống không có thông điệp gì.</t>
        </is>
      </c>
      <c r="L69" s="9" t="n"/>
      <c r="M69" s="9" t="n"/>
    </row>
    <row r="70" hidden="1" ht="51" customHeight="1">
      <c r="A70" s="9" t="n">
        <v>55</v>
      </c>
      <c r="B70" s="9" t="inlineStr">
        <is>
          <t>SS-SCR-014-SC3</t>
        </is>
      </c>
      <c r="C70" s="9" t="inlineStr">
        <is>
          <t>SS-SCR-014</t>
        </is>
      </c>
      <c r="D70" s="9" t="inlineStr">
        <is>
          <t>M. Image Search — Gallery</t>
        </is>
      </c>
      <c r="E70" s="9" t="inlineStr">
        <is>
          <t>FR-IS-02, FR-IS-04</t>
        </is>
      </c>
      <c r="F70" s="9" t="inlineStr">
        <is>
          <t>Negative</t>
        </is>
      </c>
      <c r="G70" s="9" t="inlineStr">
        <is>
          <t>Từ chối quyền truy cập Thư viện ảnh.</t>
        </is>
      </c>
      <c r="H70" s="9" t="inlineStr">
        <is>
          <t>Quyền thư viện = Denied</t>
        </is>
      </c>
      <c r="I70" s="9" t="inlineStr">
        <is>
          <t>Chạm nút Thư viện lần đầu, hệ thống hỏi quyền.</t>
        </is>
      </c>
      <c r="J70" s="9" t="inlineStr">
        <is>
          <t>Hiển thị hướng dẫn cấp quyền lại (đường dẫn tới Cài đặt); không crash; vẫn có thể quay lại chụp ảnh bằng Camera.</t>
        </is>
      </c>
      <c r="K70" s="9" t="inlineStr">
        <is>
          <t>Có đường thoát rõ ràng khi quyền bị từ chối.</t>
        </is>
      </c>
      <c r="L70" s="9" t="n"/>
      <c r="M70" s="9" t="n"/>
    </row>
    <row r="71">
      <c r="A71" s="9" t="n">
        <v>56</v>
      </c>
      <c r="B71" s="9" t="inlineStr">
        <is>
          <t>SS-SCR-014-SC4</t>
        </is>
      </c>
      <c r="C71" s="9" t="inlineStr">
        <is>
          <t>SS-SCR-014</t>
        </is>
      </c>
      <c r="D71" s="9" t="inlineStr">
        <is>
          <t>M. Image Search — Gallery</t>
        </is>
      </c>
      <c r="E71" s="9" t="inlineStr">
        <is>
          <t>FR-IS-02, FR-IS-04</t>
        </is>
      </c>
      <c r="F71" s="9" t="inlineStr">
        <is>
          <t>Functional</t>
        </is>
      </c>
      <c r="G71" s="9" t="inlineStr">
        <is>
          <t>Đóng khay Gallery Bottom Sheet bằng nút "X" trên header hoặc bằng cách tap vào vùng tối bên ngoài sheet.</t>
        </is>
      </c>
      <c r="H71" s="9" t="inlineStr">
        <is>
          <t>Tap nút "X" / Tap vùng nền tối phía sau sheet</t>
        </is>
      </c>
      <c r="I71" s="9" t="inlineStr">
        <is>
          <t>Khay Gallery "Ảnh gần đây" đang mở, chưa chọn ảnh nào.</t>
        </is>
      </c>
      <c r="J71" s="9" t="inlineStr">
        <is>
          <t>Cả 2 cách đóng đều trả về đúng Camera Screen (SS-SCR-013) mà không chọn ảnh nào, giữ nguyên trạng thái camera đang có (camera trước/sau, flash) — đúng theo mô tả storyboard "Đóng khay → Trở lại màn hình chụp mà không chọn ảnh nào".</t>
        </is>
      </c>
      <c r="K71" s="9" t="inlineStr">
        <is>
          <t>Hai cách đóng (nút X / tap ngoài) phải cho kết quả nhất quán với nhau; không có ảnh nào bị chọn nhầm khi đóng.</t>
        </is>
      </c>
      <c r="L71" s="9" t="n"/>
      <c r="M71" s="9" t="n"/>
    </row>
    <row r="72">
      <c r="A72" s="9" t="n">
        <v>56</v>
      </c>
      <c r="B72" s="9" t="inlineStr">
        <is>
          <t>SS-SCR-015-SC1</t>
        </is>
      </c>
      <c r="C72" s="9" t="inlineStr">
        <is>
          <t>SS-SCR-015</t>
        </is>
      </c>
      <c r="D72" s="9" t="inlineStr">
        <is>
          <t>N. Image Search — Recognition Result</t>
        </is>
      </c>
      <c r="E72" s="9" t="inlineStr">
        <is>
          <t>FR-IS-03, FR-IS-07</t>
        </is>
      </c>
      <c r="F72" s="9" t="inlineStr">
        <is>
          <t>Functional</t>
        </is>
      </c>
      <c r="G72" s="9" t="inlineStr">
        <is>
          <t>Kiểm tra trang kết quả ảnh dùng chung layout với trang kết quả văn bản, và tính năng Crop.</t>
        </is>
      </c>
      <c r="H72" s="9" t="inlineStr">
        <is>
          <t>Ảnh chụp hộp sữa TH True Milk</t>
        </is>
      </c>
      <c r="I72" s="9" t="inlineStr">
        <is>
          <t>Ảnh đã xử lý thành công.</t>
        </is>
      </c>
      <c r="J72" s="9" t="inlineStr">
        <is>
          <t>Thumbnail ảnh thay cho từ khoá trong ô tìm kiếm; Sort/Filter dùng chung component với luồng text; lưới kết quả dùng chung Product Card; chạm vào thumbnail mở công cụ Crop để khoanh vùng lại phạm vi quét AI.</t>
        </is>
      </c>
      <c r="K72" s="9" t="inlineStr">
        <is>
          <t>Kết quả ảnh phải dùng cùng công thức xếp hạng với text search (FR-IS-03); mọi hành vi lọc/sắp xếp/thêm giỏ nhất quán với luồng text.</t>
        </is>
      </c>
      <c r="L72" s="9" t="n"/>
      <c r="M72" s="9" t="n"/>
    </row>
    <row r="73">
      <c r="A73" s="9" t="n">
        <v>57</v>
      </c>
      <c r="B73" s="9" t="inlineStr">
        <is>
          <t>SS-SCR-015-SC2</t>
        </is>
      </c>
      <c r="C73" s="9" t="inlineStr">
        <is>
          <t>SS-SCR-015</t>
        </is>
      </c>
      <c r="D73" s="9" t="inlineStr">
        <is>
          <t>N. Image Search — Recognition Result</t>
        </is>
      </c>
      <c r="E73" s="9" t="inlineStr">
        <is>
          <t>FR-IS-03, FR-IS-07</t>
        </is>
      </c>
      <c r="F73" s="9" t="inlineStr">
        <is>
          <t>Performance</t>
        </is>
      </c>
      <c r="G73" s="9" t="inlineStr">
        <is>
          <t>Đo thời gian phản hồi tìm kiếm ảnh đầu-cuối.</t>
        </is>
      </c>
      <c r="H73" s="9" t="inlineStr">
        <is>
          <t>Ảnh sản phẩm chuẩn, tải bình thường</t>
        </is>
      </c>
      <c r="I73" s="9" t="inlineStr">
        <is>
          <t>Điều kiện mạng bình thường.</t>
        </is>
      </c>
      <c r="J73" s="9" t="inlineStr">
        <is>
          <t>Kết quả trả về trong vòng 3.000ms ở mức P95 tính từ lúc gửi ảnh tới khi kết quả đầu tiên hiển thị.</t>
        </is>
      </c>
      <c r="K73" s="9" t="inlineStr">
        <is>
          <t>p95 &lt; 3.000ms theo FR-IS-07/NFR-004.</t>
        </is>
      </c>
      <c r="L73" s="9" t="n"/>
      <c r="M73" s="9" t="n"/>
    </row>
    <row r="74">
      <c r="A74" s="9" t="n">
        <v>58</v>
      </c>
      <c r="B74" s="9" t="inlineStr">
        <is>
          <t>SS-SCR-015-SC3</t>
        </is>
      </c>
      <c r="C74" s="9" t="inlineStr">
        <is>
          <t>SS-SCR-015</t>
        </is>
      </c>
      <c r="D74" s="9" t="inlineStr">
        <is>
          <t>N. Image Search — Recognition Result</t>
        </is>
      </c>
      <c r="E74" s="9" t="inlineStr">
        <is>
          <t>FR-IS-03, FR-IS-07</t>
        </is>
      </c>
      <c r="F74" s="9" t="inlineStr">
        <is>
          <t>Functional</t>
        </is>
      </c>
      <c r="G74" s="9" t="inlineStr">
        <is>
          <t>Bỏ ảnh tìm kiếm (tap ✕ trên thumbnail) để quay lại tìm bằng từ khoá.</t>
        </is>
      </c>
      <c r="H74" s="9" t="inlineStr">
        <is>
          <t>Tap (✕) trên thumbnail ảnh trong ô tìm kiếm</t>
        </is>
      </c>
      <c r="I74" s="9" t="inlineStr">
        <is>
          <t>Đang ở trang kết quả ảnh.</t>
        </is>
      </c>
      <c r="J74" s="9" t="inlineStr">
        <is>
          <t>Ảnh bị gỡ khỏi ô tìm kiếm; hệ thống quay về trạng thái tìm bằng từ khoá (Pre-search hoặc ô nhập trống, bàn phím focus), không giữ lại kết quả ảnh cũ.</t>
        </is>
      </c>
      <c r="K74" s="9" t="inlineStr">
        <is>
          <t>Sau khi bỏ ảnh, không còn dấu vết nào của truy vấn ảnh trước đó trong UI.</t>
        </is>
      </c>
      <c r="L74" s="9" t="n"/>
      <c r="M74" s="9" t="n"/>
    </row>
    <row r="75">
      <c r="A75" s="9" t="n">
        <v>59</v>
      </c>
      <c r="B75" s="9" t="inlineStr">
        <is>
          <t>SS-SCR-015-SC4</t>
        </is>
      </c>
      <c r="C75" s="9" t="inlineStr">
        <is>
          <t>SS-SCR-015</t>
        </is>
      </c>
      <c r="D75" s="9" t="inlineStr">
        <is>
          <t>N. Image Search — Recognition Result</t>
        </is>
      </c>
      <c r="E75" s="9" t="inlineStr">
        <is>
          <t>FR-IS-03, FR-IS-07</t>
        </is>
      </c>
      <c r="F75" s="9" t="inlineStr">
        <is>
          <t>Boundary</t>
        </is>
      </c>
      <c r="G75" s="9" t="inlineStr">
        <is>
          <t>Nhiều sản phẩm có độ tương đồng gần bằng nhau (ambiguous match) trong kết quả nhận diện ảnh.</t>
        </is>
      </c>
      <c r="H75" s="9" t="inlineStr">
        <is>
          <t>Ảnh sản phẩm có nhiều biến thể tương tự (VD: sữa tươi các nhãn hiệu khác nhau, hình dáng hộp giống nhau)</t>
        </is>
      </c>
      <c r="I75" s="9" t="inlineStr">
        <is>
          <t>Catalogue có nhiều SKU hình dáng bao bì tương tự.</t>
        </is>
      </c>
      <c r="J75" s="9" t="inlineStr">
        <is>
          <t>Hệ thống vẫn trả về danh sách xếp hạng theo độ tương đồng giảm dần, không crash hay trả về danh sách rỗng vì "không chắc chắn"; không tự ý chỉ chọn 1 kết quả duy nhất khi có nhiều ứng viên hợp lý.</t>
        </is>
      </c>
      <c r="K75" s="9" t="inlineStr">
        <is>
          <t>Danh sách kết quả vẫn đầy đủ, xếp hạng hợp lý dù độ tương đồng giữa các SKU gần bằng nhau.</t>
        </is>
      </c>
      <c r="L75" s="9" t="n"/>
      <c r="M75" s="9" t="n"/>
    </row>
    <row r="76">
      <c r="A76" s="9" t="n">
        <v>60</v>
      </c>
      <c r="B76" s="9" t="inlineStr">
        <is>
          <t>SS-SCR-016-SC1</t>
        </is>
      </c>
      <c r="C76" s="9" t="inlineStr">
        <is>
          <t>SS-SCR-016</t>
        </is>
      </c>
      <c r="D76" s="9" t="inlineStr">
        <is>
          <t>O. Image Search — Fail</t>
        </is>
      </c>
      <c r="E76" s="9" t="inlineStr">
        <is>
          <t>FR-IS-05</t>
        </is>
      </c>
      <c r="F76" s="9" t="inlineStr">
        <is>
          <t>Edge</t>
        </is>
      </c>
      <c r="G76" s="9" t="inlineStr">
        <is>
          <t>Upload ảnh mờ hoặc không chứa sản phẩm.</t>
        </is>
      </c>
      <c r="H76" s="9" t="inlineStr">
        <is>
          <t>Ảnh mờ/out-of-focus / ảnh phong cảnh không có sản phẩm</t>
        </is>
      </c>
      <c r="I76" s="9" t="inlineStr">
        <is>
          <t>Ảnh hợp lệ về định dạng &amp; dung lượng nhưng không nhận diện được nội dung.</t>
        </is>
      </c>
      <c r="J76" s="9" t="inlineStr">
        <is>
          <t>Header "Tìm bằng ảnh" + nút Back; icon camera trong khung tròn nhạt; tiêu đề "Không nhận diện được"; hướng dẫn khắc phục cụ thể; CTA chính "Thử lại" quay lại Camera Screen (giữ chế độ camera trước đó); CTA phụ "Tìm bằng từ khoá" chuyển sang Pre-search.</t>
        </is>
      </c>
      <c r="K76" s="9" t="inlineStr">
        <is>
          <t>Không ép trả kết quả sai; luôn có ≥1 đường thoát (Thử lại hoặc Tìm bằng từ khoá).</t>
        </is>
      </c>
      <c r="L76" s="9" t="n"/>
      <c r="M76" s="9" t="n"/>
    </row>
    <row r="77">
      <c r="A77" s="9" t="n">
        <v>61</v>
      </c>
      <c r="B77" s="9" t="inlineStr">
        <is>
          <t>SS-SCR-016-SC2</t>
        </is>
      </c>
      <c r="C77" s="9" t="inlineStr">
        <is>
          <t>SS-SCR-016</t>
        </is>
      </c>
      <c r="D77" s="9" t="inlineStr">
        <is>
          <t>O. Image Search — Fail</t>
        </is>
      </c>
      <c r="E77" s="9" t="inlineStr">
        <is>
          <t>FR-IS-05</t>
        </is>
      </c>
      <c r="F77" s="9" t="inlineStr">
        <is>
          <t>Exception</t>
        </is>
      </c>
      <c r="G77" s="9" t="inlineStr">
        <is>
          <t>Thử lại nhiều lần liên tiếp (3 lần) đều thất bại nhận diện.</t>
        </is>
      </c>
      <c r="H77" s="9" t="inlineStr">
        <is>
          <t>Upload 3 ảnh mờ liên tiếp, mỗi lần đều fail</t>
        </is>
      </c>
      <c r="I77" s="9" t="inlineStr">
        <is>
          <t>Đang lặp lại luồng Image Search nhiều lần.</t>
        </is>
      </c>
      <c r="J77" s="9" t="inlineStr">
        <is>
          <t>Mỗi lần thất bại đều hiển thị đúng lại màn hình lỗi thân thiện, không có thông điệp/hành vi khác biệt ở lần thử thứ 2-3 (không có cơ chế khoá/giới hạn số lần thử được BRD quy định).</t>
        </is>
      </c>
      <c r="K77" s="9" t="inlineStr">
        <is>
          <t>Không có giới hạn số lần thử lại gây chặn khách; message nhất quán qua các lần.</t>
        </is>
      </c>
      <c r="L77" s="9" t="n"/>
      <c r="M77" s="9" t="n"/>
    </row>
    <row r="78">
      <c r="A78" s="9" t="n">
        <v>62</v>
      </c>
      <c r="B78" s="9" t="inlineStr">
        <is>
          <t>SS-SCR-017-SC1</t>
        </is>
      </c>
      <c r="C78" s="9" t="inlineStr">
        <is>
          <t>SS-SCR-017</t>
        </is>
      </c>
      <c r="D78" s="9" t="inlineStr">
        <is>
          <t>P. Voice Search — Listening</t>
        </is>
      </c>
      <c r="E78" s="9" t="inlineStr">
        <is>
          <t>FR-VS-01, FR-VS-02</t>
        </is>
      </c>
      <c r="F78" s="9" t="inlineStr">
        <is>
          <t>Normal</t>
        </is>
      </c>
      <c r="G78" s="9" t="inlineStr">
        <is>
          <t>Nói một truy vấn tiếng Việt và quan sát transcript hiển thị realtime.</t>
        </is>
      </c>
      <c r="H78" s="9" t="inlineStr">
        <is>
          <t>"Ba quả chuối 60.000" (giọng nói)</t>
        </is>
      </c>
      <c r="I78" s="9" t="inlineStr">
        <is>
          <t>Quyền Micro đã cấp; đang ở lớp thu âm Listening.</t>
        </is>
      </c>
      <c r="J78" s="9" t="inlineStr">
        <is>
          <t>Thẻ "Đang nhận diện" hiện ngay khi bắt tín hiệu đầu tiên; văn bản nhận diện realtime cập nhật liên tục; waveform động; bộ đếm thời gian tăng dần; nút Dừng cho phép chủ động kết thúc thu âm bất kỳ lúc nào.</t>
        </is>
      </c>
      <c r="K78" s="9" t="inlineStr">
        <is>
          <t>Transcript cập nhật gần-thời-gian-thực; nút Dừng hoạt động độc lập với auto-stop.</t>
        </is>
      </c>
      <c r="L78" s="9" t="n"/>
      <c r="M78" s="9" t="n"/>
    </row>
    <row r="79">
      <c r="A79" s="9" t="n">
        <v>63</v>
      </c>
      <c r="B79" s="9" t="inlineStr">
        <is>
          <t>SS-SCR-017-SC2</t>
        </is>
      </c>
      <c r="C79" s="9" t="inlineStr">
        <is>
          <t>SS-SCR-017</t>
        </is>
      </c>
      <c r="D79" s="9" t="inlineStr">
        <is>
          <t>P. Voice Search — Listening</t>
        </is>
      </c>
      <c r="E79" s="9" t="inlineStr">
        <is>
          <t>FR-VS-01, FR-VS-02</t>
        </is>
      </c>
      <c r="F79" s="9" t="inlineStr">
        <is>
          <t>Boundary</t>
        </is>
      </c>
      <c r="G79" s="9" t="inlineStr">
        <is>
          <t>Nói câu rất ngắn (&lt;1 giây) hoặc chỉ 1 từ đơn.</t>
        </is>
      </c>
      <c r="H79" s="9" t="inlineStr">
        <is>
          <t>"sữa" (nói trong &lt;1 giây)</t>
        </is>
      </c>
      <c r="I79" s="9" t="inlineStr">
        <is>
          <t>Đã bắt đầu thu âm.</t>
        </is>
      </c>
      <c r="J79" s="9" t="inlineStr">
        <is>
          <t>Hệ thống vẫn xử lý được câu nói cực ngắn, transcript hiển thị đúng "sữa", không coi là "không nghe rõ" chỉ vì độ dài ngắn.</t>
        </is>
      </c>
      <c r="K79" s="9" t="inlineStr">
        <is>
          <t>Câu nói ngắn hợp lệ không bị nhầm với trường hợp im lặng/không nghe rõ.</t>
        </is>
      </c>
      <c r="L79" s="9" t="n"/>
      <c r="M79" s="9" t="n"/>
    </row>
    <row r="80">
      <c r="A80" s="11" t="n">
        <v>64</v>
      </c>
      <c r="B80" s="11" t="inlineStr">
        <is>
          <t>SS-SCR-017-SC3</t>
        </is>
      </c>
      <c r="C80" s="11" t="inlineStr">
        <is>
          <t>SS-SCR-017</t>
        </is>
      </c>
      <c r="D80" s="11" t="inlineStr">
        <is>
          <t>P. Voice Search — Listening</t>
        </is>
      </c>
      <c r="E80" s="11" t="inlineStr">
        <is>
          <t>FR-VS-01, FR-VS-02</t>
        </is>
      </c>
      <c r="F80" s="11" t="inlineStr">
        <is>
          <t>Exception</t>
        </is>
      </c>
      <c r="G80" s="11" t="inlineStr">
        <is>
          <t>Xử lý số đếm và đơn vị trong câu nói (VD: "hai lít", "500 gram").</t>
        </is>
      </c>
      <c r="H80" s="11" t="inlineStr">
        <is>
          <t>"sữa tươi hai lít"</t>
        </is>
      </c>
      <c r="I80" s="11" t="inlineStr">
        <is>
          <t>Đang thu âm.</t>
        </is>
      </c>
      <c r="J80" s="11" t="inlineStr">
        <is>
          <t>OUT OF SCOPE v1 (QnA-17): xử lý số đếm/đơn vị voice ĐÃ BỎ. Voice = voice-to-text + text search (QnA-46).</t>
        </is>
      </c>
      <c r="K80" s="11" t="inlineStr">
        <is>
          <t>Không crash; kết quả tối thiểu phải liên quan tới "sữa tươi" dù số/đơn vị có được xử lý chính xác hay không.</t>
        </is>
      </c>
      <c r="L80" s="11" t="inlineStr">
        <is>
          <t>QnA-17</t>
        </is>
      </c>
      <c r="M80" s="11" t="inlineStr">
        <is>
          <t>OUT OF SCOPE v1 - QnA-17 (BA 24/08/2026).</t>
        </is>
      </c>
    </row>
    <row r="81">
      <c r="A81" s="9" t="n">
        <v>69</v>
      </c>
      <c r="B81" s="9" t="inlineStr">
        <is>
          <t>SS-SCR-017-SC4</t>
        </is>
      </c>
      <c r="C81" s="9" t="inlineStr">
        <is>
          <t>SS-SCR-017</t>
        </is>
      </c>
      <c r="D81" s="9" t="inlineStr">
        <is>
          <t>P. Voice Search — Listening</t>
        </is>
      </c>
      <c r="E81" s="9" t="inlineStr">
        <is>
          <t>FR-VS-01, FR-VS-03</t>
        </is>
      </c>
      <c r="F81" s="9" t="inlineStr">
        <is>
          <t>Multilingual</t>
        </is>
      </c>
      <c r="G81" s="9" t="inlineStr">
        <is>
          <t>Nhận diện đa ngôn ngữ (EN/KR/CN/RU) và tự động phát hiện ngôn ngữ, không cần khách chọn thủ công.</t>
        </is>
      </c>
      <c r="H81" s="9" t="inlineStr">
        <is>
          <t>Nói tiếng Anh / Hàn / Trung / Nga</t>
        </is>
      </c>
      <c r="I81" s="9" t="inlineStr">
        <is>
          <t>Quyền Micro đã cấp; đang ở lớp thu âm Listening.</t>
        </is>
      </c>
      <c r="J81" s="9" t="inlineStr">
        <is>
          <t>Hệ thống tự động phát hiện đúng ngôn ngữ đang nói (không có UI chọn ngôn ngữ thủ công) và chuyển giọng nói thành văn bản chính xác cho cả 4 ngôn ngữ EN/KR/CN/RU, xử lý y hệt như một truy vấn tiếng Việt (theo FR-VS-01).</t>
        </is>
      </c>
      <c r="K81" s="9" t="inlineStr">
        <is>
          <t>Không có bước chọn ngôn ngữ nào chặn luồng; độ chính xác transcribe chấp nhận được cho cả 4 ngôn ngữ; kết quả tìm kiếm trả về sản phẩm liên quan tương ứng.</t>
        </is>
      </c>
      <c r="L81" s="9" t="n"/>
      <c r="M81" s="9" t="n"/>
    </row>
    <row r="82">
      <c r="A82" s="9" t="n">
        <v>65</v>
      </c>
      <c r="B82" s="9" t="inlineStr">
        <is>
          <t>SS-SCR-018-SC1</t>
        </is>
      </c>
      <c r="C82" s="9" t="inlineStr">
        <is>
          <t>SS-SCR-018</t>
        </is>
      </c>
      <c r="D82" s="9" t="inlineStr">
        <is>
          <t>Q. Voice Search — Result</t>
        </is>
      </c>
      <c r="E82" s="9" t="inlineStr">
        <is>
          <t>FR-VS-04, FR-VS-05</t>
        </is>
      </c>
      <c r="F82" s="9" t="inlineStr">
        <is>
          <t>Functional</t>
        </is>
      </c>
      <c r="G82" s="9" t="inlineStr">
        <is>
          <t>Sau khi transcribe xong, hệ thống điều hướng thẳng sang trang kết quả (không qua màn xác minh trung gian).</t>
        </is>
      </c>
      <c r="H82" s="9" t="inlineStr">
        <is>
          <t>Giọng nói "sữa tươi không đường"</t>
        </is>
      </c>
      <c r="I82" s="9" t="inlineStr">
        <is>
          <t>Voice-to-text xử lý xong.</t>
        </is>
      </c>
      <c r="J82" s="9" t="inlineStr">
        <is>
          <t>Văn bản nhận diện điền thẳng vào Search Bar; không có màn hình xác minh trung gian; kết quả áp dụng đúng logic mở rộng đồng nghĩa &amp; chuẩn hoá dấu giống hệt Text Search; khách có thể tap vào Search Bar để sửa tay bằng bàn phím.</t>
        </is>
      </c>
      <c r="K82" s="9" t="inlineStr">
        <is>
          <t>Không có bước xác nhận thừa; sửa tay tại Search Bar phải kích hoạt lại tìm kiếm đúng văn bản mới.</t>
        </is>
      </c>
      <c r="L82" s="9" t="n"/>
      <c r="M82" s="9" t="n"/>
    </row>
    <row r="83">
      <c r="A83" s="9" t="n">
        <v>66</v>
      </c>
      <c r="B83" s="9" t="inlineStr">
        <is>
          <t>SS-SCR-018-SC2</t>
        </is>
      </c>
      <c r="C83" s="9" t="inlineStr">
        <is>
          <t>SS-SCR-018</t>
        </is>
      </c>
      <c r="D83" s="9" t="inlineStr">
        <is>
          <t>Q. Voice Search — Result</t>
        </is>
      </c>
      <c r="E83" s="9" t="inlineStr">
        <is>
          <t>FR-VS-04, FR-VS-05</t>
        </is>
      </c>
      <c r="F83" s="9" t="inlineStr">
        <is>
          <t>Boundary</t>
        </is>
      </c>
      <c r="G83" s="9" t="inlineStr">
        <is>
          <t>Voice search trả về transcript rỗng (không nhận được nội dung nào dù không rơi vào luồng lỗi rõ ràng).</t>
        </is>
      </c>
      <c r="H83" s="9" t="inlineStr">
        <is>
          <t>Giọng nói cực nhỏ, hệ thống transcribe ra chuỗi rỗng</t>
        </is>
      </c>
      <c r="I83" s="9" t="inlineStr">
        <is>
          <t>Kết thúc thu âm, hệ thống xử lý xong.</t>
        </is>
      </c>
      <c r="J83" s="9" t="inlineStr">
        <is>
          <t>Trường hợp transcript rỗng nên được xử lý như luồng "Không nhận diện được" (SS-SCR-019) thay vì hiển thị trang kết quả với ô tìm kiếm trống.</t>
        </is>
      </c>
      <c r="K83" s="9" t="inlineStr">
        <is>
          <t>Không hiển thị trang kết quả với Search Bar trống trơn không có ý nghĩa.</t>
        </is>
      </c>
      <c r="L83" s="9" t="n"/>
      <c r="M83" s="9" t="n"/>
    </row>
    <row r="84">
      <c r="A84" s="18" t="n">
        <v>70</v>
      </c>
      <c r="B84" s="18" t="inlineStr">
        <is>
          <t>SS-SCR-018-SC3</t>
        </is>
      </c>
      <c r="C84" s="18" t="inlineStr">
        <is>
          <t>SS-SCR-018</t>
        </is>
      </c>
      <c r="D84" s="18" t="inlineStr">
        <is>
          <t>Q. Voice Search — Result</t>
        </is>
      </c>
      <c r="E84" s="18" t="inlineStr">
        <is>
          <t>FR-VS-08, NFR-005</t>
        </is>
      </c>
      <c r="F84" s="18" t="inlineStr">
        <is>
          <t>Performance</t>
        </is>
      </c>
      <c r="G84" s="18" t="inlineStr">
        <is>
          <t>Đo thời gian phản hồi tìm kiếm giọng nói đầu-cuối (từ khi kết thúc nói tới khi kết quả đầu tiên hiển thị).</t>
        </is>
      </c>
      <c r="H84" s="18" t="inlineStr">
        <is>
          <t>Giọng nói chuẩn, điều kiện mạng bình thường</t>
        </is>
      </c>
      <c r="I84" s="18" t="inlineStr">
        <is>
          <t>Điều kiện mạng bình thường.</t>
        </is>
      </c>
      <c r="J84" s="18" t="inlineStr">
        <is>
          <t>TBD — FR-VS-08 ghi nhận ngưỡng 6.000ms P95, NFR-005 ghi nhận 4.000ms P95 cho cùng phép đo — hai số liệu mâu thuẫn (xem QnA-25, đang mở). Test case đo thực tế P95 nhưng không chấm Pass/Fail cho tới khi BA/TD chốt đúng 1 con số chính thức.</t>
        </is>
      </c>
      <c r="K84" s="18" t="inlineStr">
        <is>
          <t>P95 phải nằm trong ngưỡng chính thức MỘT KHI được xác nhận (4.000ms hoặc 6.000ms).</t>
        </is>
      </c>
      <c r="L84" s="18" t="inlineStr">
        <is>
          <t>QnA-25</t>
        </is>
      </c>
      <c r="M84" s="18" t="inlineStr">
        <is>
          <t>OPEN — QnA-25: xem chi tiết trong file QnA log.</t>
        </is>
      </c>
    </row>
    <row r="85">
      <c r="A85" s="9" t="n">
        <v>67</v>
      </c>
      <c r="B85" s="9" t="inlineStr">
        <is>
          <t>SS-SCR-019-SC1</t>
        </is>
      </c>
      <c r="C85" s="9" t="inlineStr">
        <is>
          <t>SS-SCR-019</t>
        </is>
      </c>
      <c r="D85" s="9" t="inlineStr">
        <is>
          <t>R. Voice Search — Fail</t>
        </is>
      </c>
      <c r="E85" s="9" t="inlineStr">
        <is>
          <t>FR-VS-06</t>
        </is>
      </c>
      <c r="F85" s="9" t="inlineStr">
        <is>
          <t>Exception</t>
        </is>
      </c>
      <c r="G85" s="9" t="inlineStr">
        <is>
          <t>Giọng nói không thể giải thích được (ồn/im lặng).</t>
        </is>
      </c>
      <c r="H85" s="9" t="inlineStr">
        <is>
          <t>Chỉ có tiếng ồn nền, không có giọng nói rõ</t>
        </is>
      </c>
      <c r="I85" s="9" t="inlineStr">
        <is>
          <t>Micro hoạt động, thu âm đã kết thúc (auto-stop hoặc manual stop).</t>
        </is>
      </c>
      <c r="J85" s="9" t="inlineStr">
        <is>
          <t>Header "Tìm bằng giọng nói" + Back; icon micro trong khung tròn nhạt (cùng mẫu lỗi với luồng ảnh); tiêu đề "Không nhận diện được"; hướng dẫn khắc phục cụ thể; CTA "Thử lại" mở lại lớp thu âm; CTA phụ "Tìm bằng từ khoá" chuyển sang Pre-search.</t>
        </is>
      </c>
      <c r="K85" s="9" t="inlineStr">
        <is>
          <t>Không có kết quả tìm kiếm giả mạo được kích hoạt; luôn có đường thoát sang phương thức khác.</t>
        </is>
      </c>
      <c r="L85" s="9" t="n"/>
      <c r="M85" s="9" t="n"/>
    </row>
    <row r="86">
      <c r="A86" s="9" t="n">
        <v>68</v>
      </c>
      <c r="B86" s="9" t="inlineStr">
        <is>
          <t>SS-SCR-019-SC2</t>
        </is>
      </c>
      <c r="C86" s="9" t="inlineStr">
        <is>
          <t>SS-SCR-019</t>
        </is>
      </c>
      <c r="D86" s="9" t="inlineStr">
        <is>
          <t>R. Voice Search — Fail</t>
        </is>
      </c>
      <c r="E86" s="9" t="inlineStr">
        <is>
          <t>FR-VS-06</t>
        </is>
      </c>
      <c r="F86" s="9" t="inlineStr">
        <is>
          <t>Boundary</t>
        </is>
      </c>
      <c r="G86" s="9" t="inlineStr">
        <is>
          <t>Thử lại nhiều lần liên tiếp (3 lần) đều không nhận diện được giọng nói.</t>
        </is>
      </c>
      <c r="H86" s="9" t="inlineStr">
        <is>
          <t>3 lần liên tiếp chỉ có tiếng ồn/im lặng</t>
        </is>
      </c>
      <c r="I86" s="9" t="inlineStr">
        <is>
          <t>Lặp lại luồng Voice Search nhiều lần.</t>
        </is>
      </c>
      <c r="J86" s="9" t="inlineStr">
        <is>
          <t>Mỗi lần đều hiển thị đúng lại màn lỗi "Không nhận diện được" nhất quán, không có cơ chế khoá tính năng sau nhiều lần thất bại (không được BRD quy định).</t>
        </is>
      </c>
      <c r="K86" s="9" t="inlineStr">
        <is>
          <t>Không bị chặn tính năng sau nhiều lần thất bại liên tiếp.</t>
        </is>
      </c>
      <c r="L86" s="9" t="n"/>
      <c r="M86" s="9" t="n"/>
    </row>
  </sheetData>
  <autoFilter ref="A2:P86">
    <filterColumn colId="2" hiddenButton="0" showButton="1">
      <filters>
        <filter val="SS-SCR-001"/>
      </filters>
    </filterColumn>
  </autoFilter>
  <mergeCells count="1">
    <mergeCell ref="A1:M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Q187"/>
  <sheetViews>
    <sheetView showGridLines="0" zoomScaleNormal="100" workbookViewId="0">
      <pane ySplit="2" topLeftCell="A3" activePane="bottomLeft" state="frozen"/>
      <selection pane="bottomLeft" activeCell="D3" sqref="D3"/>
    </sheetView>
  </sheetViews>
  <sheetFormatPr baseColWidth="8" defaultColWidth="8.7109375" defaultRowHeight="15"/>
  <cols>
    <col width="22" customWidth="1" min="1" max="1"/>
    <col width="20" customWidth="1" min="2" max="2"/>
    <col width="12" customWidth="1" min="3" max="3"/>
    <col width="26" customWidth="1" min="4" max="4"/>
    <col width="12" customWidth="1" min="5" max="5"/>
    <col width="34" customWidth="1" min="6" max="6"/>
    <col width="26" customWidth="1" min="7" max="7"/>
    <col width="46" customWidth="1" min="8" max="8"/>
    <col width="26" customWidth="1" min="9" max="9"/>
    <col width="46" customWidth="1" min="10" max="10"/>
    <col width="10" customWidth="1" min="11" max="11"/>
    <col width="14" customWidth="1" min="12" max="13"/>
    <col width="10" customWidth="1" min="14" max="14"/>
    <col width="12" customWidth="1" min="15" max="15"/>
    <col width="10" customWidth="1" min="16" max="16"/>
    <col width="40" customWidth="1" min="17" max="17"/>
  </cols>
  <sheetData>
    <row r="1" ht="21.75" customHeight="1">
      <c r="A1" s="3" t="inlineStr">
        <is>
          <t>Smart Search — Functional -Detailed Test Cases (rooted in Functional Test Scenarios)</t>
        </is>
      </c>
    </row>
    <row r="2" ht="25.5" customHeight="1">
      <c r="A2" s="8" t="inlineStr">
        <is>
          <t>Test Case ID</t>
        </is>
      </c>
      <c r="B2" s="8" t="inlineStr">
        <is>
          <t>Parent Scenario ID</t>
        </is>
      </c>
      <c r="C2" s="8" t="inlineStr">
        <is>
          <t>Screen ID</t>
        </is>
      </c>
      <c r="D2" s="8" t="inlineStr">
        <is>
          <t>REQ ID (BRD/Storyboard)</t>
        </is>
      </c>
      <c r="E2" s="8" t="inlineStr">
        <is>
          <t>Test Case Type</t>
        </is>
      </c>
      <c r="F2" s="8" t="inlineStr">
        <is>
          <t>Test Case Title</t>
        </is>
      </c>
      <c r="G2" s="8" t="inlineStr">
        <is>
          <t>Preconditions</t>
        </is>
      </c>
      <c r="H2" s="8" t="inlineStr">
        <is>
          <t>Test Steps</t>
        </is>
      </c>
      <c r="I2" s="8" t="inlineStr">
        <is>
          <t>Test Data</t>
        </is>
      </c>
      <c r="J2" s="8" t="inlineStr">
        <is>
          <t>Expected Result</t>
        </is>
      </c>
      <c r="K2" s="8" t="inlineStr">
        <is>
          <t>Priority</t>
        </is>
      </c>
      <c r="L2" s="8" t="inlineStr">
        <is>
          <t>Actual Result</t>
        </is>
      </c>
      <c r="M2" s="8" t="inlineStr">
        <is>
          <t>Pass/Fail Status</t>
        </is>
      </c>
      <c r="N2" s="8" t="inlineStr">
        <is>
          <t>Tester</t>
        </is>
      </c>
      <c r="O2" s="8" t="inlineStr">
        <is>
          <t>Test Date</t>
        </is>
      </c>
      <c r="P2" s="8" t="inlineStr">
        <is>
          <t>QnA Ref</t>
        </is>
      </c>
      <c r="Q2" s="8" t="inlineStr">
        <is>
          <t>Comments</t>
        </is>
      </c>
    </row>
    <row r="3" ht="165.75" customHeight="1">
      <c r="A3" s="9" t="inlineStr">
        <is>
          <t>SS-SCR-001-SC1-TC1</t>
        </is>
      </c>
      <c r="B3" s="9" t="inlineStr">
        <is>
          <t>SS-SCR-001-SC1</t>
        </is>
      </c>
      <c r="C3" s="9" t="inlineStr">
        <is>
          <t>SS-SCR-001</t>
        </is>
      </c>
      <c r="D3" s="9" t="inlineStr">
        <is>
          <t>FR-IS-02, FR-VS-02, FR-PS-01, FR-PS-02, FR-PS-03, FR-PS-04</t>
        </is>
      </c>
      <c r="E3" s="9" t="inlineStr">
        <is>
          <t>Normal</t>
        </is>
      </c>
      <c r="F3" s="9" t="inlineStr">
        <is>
          <t>Điều hướng từ 4 điểm chạm trên Search Bar</t>
        </is>
      </c>
      <c r="G3" s="9" t="inlineStr">
        <is>
          <t>App đã mở, ở bất kỳ màn hình nào có Global Header.</t>
        </is>
      </c>
      <c r="H3" s="9" t="inlineStr">
        <is>
          <t>1. Mở app ở Trang chủ.
2. Chạm vào ô nhập Search Bar.
3. Xác nhận điều hướng sang SS-SCR-002 (Autocomplete), bàn phím auto-focus.
4. Quay lại, chạm icon Mic.
5. Xác nhận điều hướng sang SS-SCR-017 (Đang lắng nghe) và hệ thống hỏi quyền micro (lần đầu).
6. Quay lại, chạm icon Camera.
7. Xác nhận điều hướng sang SS-SCR-013 (Camera Capture) và hệ thống hỏi quyền camera (lần đầu).
8. Quay lại, chạm icon Giỏ hàng.
9. Xác nhận mở đúng trang Giỏ hàng và badge số lượng khớp với giỏ hiện tại.</t>
        </is>
      </c>
      <c r="I3" s="9" t="inlineStr">
        <is>
          <t>N/A (điều hướng UI thuần)</t>
        </is>
      </c>
      <c r="J3" s="9" t="inlineStr">
        <is>
          <t>Mỗi điểm chạm mở đúng 1 màn hình đích tương ứng; bàn phím auto-focus khi vào Autocomplete; popup quyền camera/mic chỉ xuất hiện ở lần dùng đầu tiên theo FR-IS-02/FR-VS-02.</t>
        </is>
      </c>
      <c r="K3" s="9" t="inlineStr">
        <is>
          <t>High</t>
        </is>
      </c>
      <c r="L3" s="10" t="n"/>
      <c r="M3" s="10" t="inlineStr">
        <is>
          <t>Not Run</t>
        </is>
      </c>
      <c r="N3" s="10" t="n"/>
      <c r="O3" s="10" t="n"/>
      <c r="P3" s="9" t="n"/>
      <c r="Q3" s="9" t="inlineStr">
        <is>
          <t>REQ ID: đã gỡ 'FR-SP-02' (SS-SCR-001) và 'FR-ZR-01' (SS-SCR-012) - 2 mã không tồn tại trong BRD v0.0.3 - theo QnA-48 (BA 27/08/2026): FR-SP-02 -&gt; FR-PS-01/02/03/04; FR-ZR-01 -&gt; FR-SM-07. QnA-06 (rà soát mapping REQ ID tổng thể) VẪN OPEN - chờ BA gửi bảng mapping đầy đủ.</t>
        </is>
      </c>
    </row>
    <row r="4" ht="76.5" customHeight="1">
      <c r="A4" s="9" t="inlineStr">
        <is>
          <t>SS-SCR-001-SC1-TC2</t>
        </is>
      </c>
      <c r="B4" s="9" t="inlineStr">
        <is>
          <t>SS-SCR-001-SC1</t>
        </is>
      </c>
      <c r="C4" s="9" t="inlineStr">
        <is>
          <t>SS-SCR-001</t>
        </is>
      </c>
      <c r="D4" s="9" t="inlineStr">
        <is>
          <t>FR-IS-02, FR-VS-02, FR-PS-01, FR-PS-02, FR-PS-03, FR-PS-04</t>
        </is>
      </c>
      <c r="E4" s="9" t="inlineStr">
        <is>
          <t>Negative</t>
        </is>
      </c>
      <c r="F4" s="9" t="inlineStr">
        <is>
          <t>Từ chối quyền Camera/Mic ở lần dùng đầu</t>
        </is>
      </c>
      <c r="G4" s="9" t="inlineStr">
        <is>
          <t>App đã mở, ở bất kỳ màn hình nào có Global Header.</t>
        </is>
      </c>
      <c r="H4" s="9" t="inlineStr">
        <is>
          <t>1. Cài app ở trạng thái chưa từng cấp quyền Camera/Mic.
2. Chạm icon Camera trên Search Bar, chọn "Từ chối" ở popup hệ thống.
3. Quan sát hành vi UI.
4. Lặp lại bước 2-3 cho icon Mic.</t>
        </is>
      </c>
      <c r="I4" s="9" t="inlineStr">
        <is>
          <t>Quyền hệ thống = Denied</t>
        </is>
      </c>
      <c r="J4" s="9" t="inlineStr">
        <is>
          <t>Theo storyboard SS-SCR-001: hệ thống hiển thị popup yêu cầu cấp quyền lại và có đường dẫn hướng dẫn mở Cài đặt; không crash, không mở màn hình chụp/nghe khi quyền bị từ chối.</t>
        </is>
      </c>
      <c r="K4" s="9" t="inlineStr">
        <is>
          <t>Medium</t>
        </is>
      </c>
      <c r="L4" s="10" t="n"/>
      <c r="M4" s="10" t="inlineStr">
        <is>
          <t>Not Run</t>
        </is>
      </c>
      <c r="N4" s="10" t="n"/>
      <c r="O4" s="10" t="n"/>
      <c r="P4" s="9" t="n"/>
      <c r="Q4" s="9" t="n"/>
    </row>
    <row r="5" ht="89.25" customHeight="1">
      <c r="A5" s="9" t="inlineStr">
        <is>
          <t>SS-SCR-001-SC2-TC1</t>
        </is>
      </c>
      <c r="B5" s="9" t="inlineStr">
        <is>
          <t>SS-SCR-001-SC2</t>
        </is>
      </c>
      <c r="C5" s="9" t="inlineStr">
        <is>
          <t>SS-SCR-001</t>
        </is>
      </c>
      <c r="D5" s="9" t="inlineStr">
        <is>
          <t>FR-IS-02, FR-VS-02, FR-PS-01, FR-PS-02, FR-PS-03, FR-PS-04</t>
        </is>
      </c>
      <c r="E5" s="9" t="inlineStr">
        <is>
          <t>Boundary</t>
        </is>
      </c>
      <c r="F5" s="9" t="inlineStr">
        <is>
          <t>Giới hạn 10 chip + cơ chế FIFO</t>
        </is>
      </c>
      <c r="G5" s="9" t="inlineStr">
        <is>
          <t>Local Storage của thiết bị chứa lịch sử tìm kiếm.</t>
        </is>
      </c>
      <c r="H5" s="9" t="inlineStr">
        <is>
          <t>1. Xoá lịch sử tìm kiếm, xác nhận khối "Tìm kiếm gần đây" bị ẩn hoàn toàn (kể cả header).
2. Thực hiện 10 lượt tìm kiếm với 10 từ khoá khác nhau (VD: sữa, trứng, mì gói, ... x10).
3. Vào lại Pre-search, đếm số chip hiển thị.
4. Thực hiện thêm 1 tìm kiếm mới (từ khoá thứ 11).
5. Vào lại Pre-search, kiểm tra danh sách chip.</t>
        </is>
      </c>
      <c r="I5" s="9" t="inlineStr">
        <is>
          <t>10 từ khoá khởi tạo + 1 từ khoá thứ 11 (VD: "nước mắm")</t>
        </is>
      </c>
      <c r="J5" s="9" t="inlineStr">
        <is>
          <t>Bước 1: khối ẩn hoàn toàn khi rỗng. Bước 3: đúng 10 chip, từ khoá mới nhất ở vị trí đầu. Bước 5: vẫn đúng 10 chip, từ khoá tìm đầu tiên (cũ nhất) đã bị loại bỏ theo FIFO, từ khoá thứ 11 lên đầu danh sách.</t>
        </is>
      </c>
      <c r="K5" s="9" t="inlineStr">
        <is>
          <t>High</t>
        </is>
      </c>
      <c r="L5" s="10" t="n"/>
      <c r="M5" s="10" t="inlineStr">
        <is>
          <t>Not Run</t>
        </is>
      </c>
      <c r="N5" s="10" t="n"/>
      <c r="O5" s="10" t="n"/>
      <c r="P5" s="9" t="n"/>
      <c r="Q5" s="9" t="n"/>
    </row>
    <row r="6" ht="38.25" customHeight="1">
      <c r="A6" s="9" t="inlineStr">
        <is>
          <t>SS-SCR-001-SC2-TC2</t>
        </is>
      </c>
      <c r="B6" s="9" t="inlineStr">
        <is>
          <t>SS-SCR-001-SC2</t>
        </is>
      </c>
      <c r="C6" s="9" t="inlineStr">
        <is>
          <t>SS-SCR-001</t>
        </is>
      </c>
      <c r="D6" s="9" t="inlineStr">
        <is>
          <t>FR-IS-02, FR-VS-02, FR-PS-01, FR-PS-02, FR-PS-03, FR-PS-04</t>
        </is>
      </c>
      <c r="E6" s="9" t="inlineStr">
        <is>
          <t>Functional</t>
        </is>
      </c>
      <c r="F6" s="9" t="inlineStr">
        <is>
          <t>Nút "Xoá tất cả" xoá toàn bộ lịch sử</t>
        </is>
      </c>
      <c r="G6" s="9" t="inlineStr">
        <is>
          <t>Local Storage của thiết bị chứa lịch sử tìm kiếm.</t>
        </is>
      </c>
      <c r="H6" s="9" t="inlineStr">
        <is>
          <t>1. Đảm bảo có ≥1 chip trong "Tìm kiếm gần đây".
2. Chạm nút "Xoá tất cả" ở header khối.
3. Quan sát UI ngay sau khi xoá.</t>
        </is>
      </c>
      <c r="I6" s="9" t="inlineStr">
        <is>
          <t>N/A</t>
        </is>
      </c>
      <c r="J6" s="9" t="inlineStr">
        <is>
          <t>Toàn bộ chip biến mất; khối (bao gồm cả header) tự ẩn theo đúng quy tắc "ẩn cả khối nếu lịch sử rỗng".</t>
        </is>
      </c>
      <c r="K6" s="9" t="inlineStr">
        <is>
          <t>Medium</t>
        </is>
      </c>
      <c r="L6" s="10" t="n"/>
      <c r="M6" s="10" t="inlineStr">
        <is>
          <t>Not Run</t>
        </is>
      </c>
      <c r="N6" s="10" t="n"/>
      <c r="O6" s="10" t="n"/>
      <c r="P6" s="9" t="n"/>
      <c r="Q6" s="9" t="n"/>
    </row>
    <row r="7" ht="38.25" customHeight="1">
      <c r="A7" s="18" t="inlineStr">
        <is>
          <t>SS-SCR-001-SC2-TC3</t>
        </is>
      </c>
      <c r="B7" s="18" t="inlineStr">
        <is>
          <t>SS-SCR-001-SC2</t>
        </is>
      </c>
      <c r="C7" s="18" t="inlineStr">
        <is>
          <t>SS-SCR-001</t>
        </is>
      </c>
      <c r="D7" s="18" t="inlineStr">
        <is>
          <t>FR-IS-02, FR-VS-02, FR-PS-01, FR-PS-02, FR-PS-03, FR-PS-04</t>
        </is>
      </c>
      <c r="E7" s="18" t="inlineStr">
        <is>
          <t>Edge</t>
        </is>
      </c>
      <c r="F7" s="18" t="inlineStr">
        <is>
          <t>"Xoá tất cả" chỉ xoá lịch sử cục bộ trên thiết bị đó, không đồng bộ giữa các thiết bị</t>
        </is>
      </c>
      <c r="G7" s="18" t="inlineStr">
        <is>
          <t>Khách hàng đã đăng nhập cùng 1 tài khoản trên 2 thiết bị khác nhau (Thiết bị A và Thiết bị B), mỗi thiết bị có lịch sử "Tìm kiếm gần đây" lưu cục bộ riêng.</t>
        </is>
      </c>
      <c r="H7" s="18" t="inlineStr">
        <is>
          <t>1. Trên Thiết bị A, tạo lịch sử Tìm kiếm gần đây (3-5 từ khoá).
2. Trên Thiết bị B, đăng nhập cùng tài khoản và tạo lịch sử Tìm kiếm gần đây riêng của thiết bị đó.
3. Trên Thiết bị A, chạm "Xoá tất cả" trong khối Tìm kiếm gần đây.
4. Trên Thiết bị B, không thao tác gì thêm, kiểm tra lại khối Tìm kiếm gần đây.
5. Đăng xuất rồi đăng nhập lại trên Thiết bị B (hoặc mở lại app) và kiểm tra lần nữa.</t>
        </is>
      </c>
      <c r="I7" s="18" t="inlineStr">
        <is>
          <t>2 thiết bị cùng 1 tài khoản Thành viên, mỗi thiết bị có cache Tìm kiếm gần đây khác nhau.</t>
        </is>
      </c>
      <c r="J7" s="18" t="inlineStr">
        <is>
          <t>ĐÃ XÁC NHẬN (QnA-22): Tìm kiếm gần đây lưu CỤC BỘ THUẦN TUÝ theo thiết bị, KHÔNG đồng bộ server-side. 'Xoá tất cả' ở Thiết bị A chỉ xoá local storage của A; Thiết bị B GIỮ NGUYÊN cache riêng của nó cho tới khi chính B tự phát sinh thay đổi. Pass = sau bước 3/4, danh sách Tìm kiếm gần đây trên Thiết bị B không đổi.</t>
        </is>
      </c>
      <c r="K7" s="18" t="inlineStr">
        <is>
          <t>Medium</t>
        </is>
      </c>
      <c r="L7" s="10" t="n"/>
      <c r="M7" s="10" t="inlineStr">
        <is>
          <t>N/A</t>
        </is>
      </c>
      <c r="N7" s="10" t="n"/>
      <c r="O7" s="10" t="n"/>
      <c r="P7" s="18" t="inlineStr">
        <is>
          <t>QnA-22</t>
        </is>
      </c>
      <c r="Q7" s="18" t="inlineStr">
        <is>
          <t>RESOLVED QnA-22 (BA 26/08/2026): lưu cục bộ theo thiết bị, không sync đa thiết bị.</t>
        </is>
      </c>
    </row>
    <row r="8" ht="38.25" customHeight="1">
      <c r="A8" s="9" t="inlineStr">
        <is>
          <t>SS-SCR-001-SC2-TC4</t>
        </is>
      </c>
      <c r="B8" s="9" t="inlineStr">
        <is>
          <t>SS-SCR-001-SC2</t>
        </is>
      </c>
      <c r="C8" s="9" t="inlineStr">
        <is>
          <t>SS-SCR-001</t>
        </is>
      </c>
      <c r="D8" s="9" t="inlineStr">
        <is>
          <t>FR-IS-02, FR-VS-02, FR-PS-01, FR-PS-02, FR-PS-03, FR-PS-04</t>
        </is>
      </c>
      <c r="E8" s="9" t="inlineStr">
        <is>
          <t>Functional</t>
        </is>
      </c>
      <c r="F8" s="9" t="inlineStr">
        <is>
          <t>Chạm vào 1 chip Tìm kiếm gần đây sẽ đổ từ khoá vào Search Bar và tìm lại</t>
        </is>
      </c>
      <c r="G8" s="9" t="inlineStr">
        <is>
          <t>Khối "Tìm kiếm gần đây" hiển thị ≥1 chip.</t>
        </is>
      </c>
      <c r="H8" s="9" t="inlineStr">
        <is>
          <t>1. Ghi nhận thứ tự hiện tại của các chip trong "Tìm kiếm gần đây" (VD: chip #1 = mới nhất, đứng đầu).
2. Chạm vào 1 chip KHÔNG phải chip đứng đầu (VD: chip cũ hơn).
3. Kiểm tra nội dung ô nhập Search Bar và kết quả tìm kiếm hiển thị.
4. Quay lại Pre-search, kiểm tra lại danh sách "Tìm kiếm gần đây".</t>
        </is>
      </c>
      <c r="I8" s="9" t="inlineStr">
        <is>
          <t>Danh sách Tìm kiếm gần đây có ≥3 chip, chạm vào 1 chip không phải chip mới nhất.</t>
        </is>
      </c>
      <c r="J8" s="9" t="inlineStr">
        <is>
          <t>Chạm vào chip sẽ ghi đè toàn bộ nội dung đang có trong Search Bar bằng đúng từ khoá của chip đó (nội dung khách đang gõ dở, nếu có, bị thay thế) và chạy tìm kiếm ngay theo từ khoá này — hành vi tương đương gõ tay rồi submit. Quay lại Pre-search, từ khoá vừa chạm được đưa lên đầu danh sách "Tìm kiếm gần đây" (theo đúng cơ chế FIFO như SS-SCR-001-SC2-TC1), không tạo bản ghi trùng lặp.</t>
        </is>
      </c>
      <c r="K8" s="9" t="inlineStr">
        <is>
          <t>Medium</t>
        </is>
      </c>
      <c r="L8" s="10" t="n"/>
      <c r="M8" s="10" t="inlineStr">
        <is>
          <t>Not Run</t>
        </is>
      </c>
      <c r="N8" s="10" t="n"/>
      <c r="O8" s="10" t="n"/>
      <c r="P8" s="9" t="n"/>
      <c r="Q8" s="9" t="n"/>
    </row>
    <row r="9" ht="76.5" customHeight="1">
      <c r="A9" s="9" t="inlineStr">
        <is>
          <t>SS-SCR-001-SC3-TC1</t>
        </is>
      </c>
      <c r="B9" s="9" t="inlineStr">
        <is>
          <t>SS-SCR-001-SC3</t>
        </is>
      </c>
      <c r="C9" s="9" t="inlineStr">
        <is>
          <t>SS-SCR-001</t>
        </is>
      </c>
      <c r="D9" s="9" t="inlineStr">
        <is>
          <t>FR-IS-02, FR-VS-02, FR-PS-01, FR-PS-02, FR-PS-03, FR-PS-04</t>
        </is>
      </c>
      <c r="E9" s="9" t="inlineStr">
        <is>
          <t>Functional</t>
        </is>
      </c>
      <c r="F9" s="9" t="inlineStr">
        <is>
          <t>Hiển thị đúng icon theo thứ hạng Trending</t>
        </is>
      </c>
      <c r="G9" s="9" t="inlineStr">
        <is>
          <t>Dữ liệu truy vấn 7 ngày gần nhất có sẵn; có từ khoá vi phạm profanity filter trong tập thô.</t>
        </is>
      </c>
      <c r="H9" s="9" t="inlineStr">
        <is>
          <t>1. Vào Pre-search Screen.
2. Quan sát khối "Xu hướng tìm kiếm".
3. Kiểm tra icon và màu sắc của #1, #2, #3 so với #4 trở đi.</t>
        </is>
      </c>
      <c r="I9" s="9" t="inlineStr">
        <is>
          <t>Từ khoá trending mẫu (Trứng gà sạch #1, Rau muống hữu cơ #2, Mì Hảo Hảo tôm chua #3, Nước mắm Phú Quốc #4, Sữa tươi TH True Milk #5)</t>
        </is>
      </c>
      <c r="J9" s="9" t="inlineStr">
        <is>
          <t>#1–#3: icon 🔥 + số thứ hạng màu đỏ. #4 trở đi: icon xu hướng (mũi tên) + màu xám.</t>
        </is>
      </c>
      <c r="K9" s="9" t="inlineStr">
        <is>
          <t>Medium</t>
        </is>
      </c>
      <c r="L9" s="10" t="n"/>
      <c r="M9" s="10" t="inlineStr">
        <is>
          <t>Not Run</t>
        </is>
      </c>
      <c r="N9" s="10" t="n"/>
      <c r="O9" s="10" t="n"/>
      <c r="P9" s="9" t="n"/>
      <c r="Q9" s="9" t="n"/>
    </row>
    <row r="10" ht="76.5" customHeight="1">
      <c r="A10" s="9" t="inlineStr">
        <is>
          <t>SS-SCR-001-SC3-TC2</t>
        </is>
      </c>
      <c r="B10" s="9" t="inlineStr">
        <is>
          <t>SS-SCR-001-SC3</t>
        </is>
      </c>
      <c r="C10" s="9" t="inlineStr">
        <is>
          <t>SS-SCR-001</t>
        </is>
      </c>
      <c r="D10" s="9" t="inlineStr">
        <is>
          <t>FR-IS-02, FR-VS-02, FR-PS-01, FR-PS-02, FR-PS-03, FR-PS-04</t>
        </is>
      </c>
      <c r="E10" s="9" t="inlineStr">
        <is>
          <t>Boundary</t>
        </is>
      </c>
      <c r="F10" s="9" t="inlineStr">
        <is>
          <t>Khối "Xu hướng tìm kiếm" hiển thị đúng Top 5; hệ thống vẫn truy vấn Top 10 (đã xác nhận qua QnA-17)</t>
        </is>
      </c>
      <c r="G10" s="9" t="inlineStr">
        <is>
          <t>Dữ liệu truy vấn 7 ngày gần nhất có sẵn; có từ khoá vi phạm profanity filter trong tập thô.</t>
        </is>
      </c>
      <c r="H10" s="9" t="inlineStr">
        <is>
          <t>1. Vào Pre-search Screen với ≥10 từ khoá trending hợp lệ có sẵn trong hệ thống.
2. Đếm số dòng thực tế hiển thị trong khối "Xu hướng tìm kiếm".
3. Xác nhận khối luôn hiển thị đúng 5 dòng bất kể có bao nhiêu từ khoá trending hợp lệ.
4. Xác nhận riêng (qua dữ liệu backend/admin) rằng hệ thống vẫn truy vấn Top 10 từ khoá trending nội bộ.</t>
        </is>
      </c>
      <c r="I10" s="9" t="inlineStr">
        <is>
          <t>≥10 từ khoá trending hợp lệ</t>
        </is>
      </c>
      <c r="J10" s="9" t="inlineStr">
        <is>
          <t>ĐÃ XÁC NHẬN (QnA-17): khối "Xu hướng tìm kiếm" luôn hiển thị đúng Top 5, theo BRD §6.2 và thiết kế Figma thực tế. Hệ thống vẫn truy vấn Top 10 từ khoá trending nội bộ — hạng #6-10 không hiển thị trong khối này, nhưng được dùng làm nguồn dữ liệu cho placeholder xoay vòng của Search Bar (FR-PS-04, xem SS-SCR-001-SC5-TC2).</t>
        </is>
      </c>
      <c r="K10" s="9" t="inlineStr">
        <is>
          <t>Medium</t>
        </is>
      </c>
      <c r="L10" s="10" t="n"/>
      <c r="M10" s="10" t="inlineStr">
        <is>
          <t>Not Run</t>
        </is>
      </c>
      <c r="N10" s="10" t="n"/>
      <c r="O10" s="10" t="n"/>
      <c r="P10" s="9" t="n"/>
      <c r="Q10" s="9" t="inlineStr">
        <is>
          <t>ĐÃ XỬ LÝ qua QnA-17 (BA xác nhận 18/08/2026): hiển thị Top 5 ở Xu hướng tìm kiếm; hệ thống vẫn truy vấn Top 10, phần còn lại (#6-10) dùng cho placeholder Search Bar theo FR-PS-04 — xem SS-SCR-001-SC5-TC2.</t>
        </is>
      </c>
    </row>
    <row r="11" ht="51" customHeight="1">
      <c r="A11" s="9" t="inlineStr">
        <is>
          <t>SS-SCR-001-SC3-TC3</t>
        </is>
      </c>
      <c r="B11" s="9" t="inlineStr">
        <is>
          <t>SS-SCR-001-SC3</t>
        </is>
      </c>
      <c r="C11" s="9" t="inlineStr">
        <is>
          <t>SS-SCR-001</t>
        </is>
      </c>
      <c r="D11" s="9" t="inlineStr">
        <is>
          <t>FR-IS-02, FR-VS-02, FR-PS-01, FR-PS-02, FR-PS-03, FR-PS-04</t>
        </is>
      </c>
      <c r="E11" s="9" t="inlineStr">
        <is>
          <t>Negative</t>
        </is>
      </c>
      <c r="F11" s="9" t="inlineStr">
        <is>
          <t>Từ khoá 0-kết-quả hoặc vi phạm profanity filter không được hiển thị</t>
        </is>
      </c>
      <c r="G11" s="9" t="inlineStr">
        <is>
          <t>Dữ liệu truy vấn 7 ngày gần nhất có sẵn; có từ khoá vi phạm profanity filter trong tập thô.</t>
        </is>
      </c>
      <c r="H11" s="9" t="inlineStr">
        <is>
          <t>1. Giả lập tập từ khoá thô 7 ngày gần nhất có chứa: (a) 1 từ khoá có volume cao nhưng trả về 0 sản phẩm, (b) 1 từ khoá vi phạm Từ điển Cấm.
2. Chạy lại thuật toán tính Trending Score.
3. Quan sát danh sách Top 10 hiển thị trên Pre-search.</t>
        </is>
      </c>
      <c r="I11" s="9" t="inlineStr">
        <is>
          <t>Từ khoá giả lập 0-kết-quả + từ khoá vi phạm profanity filter</t>
        </is>
      </c>
      <c r="J11" s="9" t="inlineStr">
        <is>
          <t>Cả 2 từ khoá bị loại khỏi danh sách hiển thị dù volume/velocity cao, đúng logic FR-PS-02 ("chỉ hiển thị từ khoá có kết quả &gt; 0" và "tự động filter qua Từ điển Cấm").</t>
        </is>
      </c>
      <c r="K11" s="9" t="inlineStr">
        <is>
          <t>High</t>
        </is>
      </c>
      <c r="L11" s="10" t="n"/>
      <c r="M11" s="10" t="inlineStr">
        <is>
          <t>Not Run</t>
        </is>
      </c>
      <c r="N11" s="10" t="n"/>
      <c r="O11" s="10" t="n"/>
      <c r="P11" s="9" t="inlineStr">
        <is>
          <t>QnA-51</t>
        </is>
      </c>
      <c r="Q11" s="9" t="inlineStr">
        <is>
          <t>RESOLVED QnA-51 (BA 27/08/2026): BA xác nhận Trending chỉ hiển thị từ khoá có kết quả &gt;0 + đã qua profanity filter - TC test đúng, giữ nguyên Expected.</t>
        </is>
      </c>
    </row>
    <row r="12" ht="89.25" customHeight="1">
      <c r="A12" s="9" t="inlineStr">
        <is>
          <t>SS-SCR-001-SC3-TC4</t>
        </is>
      </c>
      <c r="B12" s="9" t="inlineStr">
        <is>
          <t>SS-SCR-001-SC3</t>
        </is>
      </c>
      <c r="C12" s="9" t="inlineStr">
        <is>
          <t>SS-SCR-001</t>
        </is>
      </c>
      <c r="D12" s="9" t="inlineStr">
        <is>
          <t>FR-IS-02, FR-VS-02, FR-PS-01, FR-PS-02, FR-PS-03, FR-PS-04</t>
        </is>
      </c>
      <c r="E12" s="9" t="inlineStr">
        <is>
          <t>Functional</t>
        </is>
      </c>
      <c r="F12" s="9" t="inlineStr">
        <is>
          <t>Chạm vào 1 từ khoá Xu hướng tìm kiếm sẽ đổ từ khoá vào Search Bar, tìm lại và được thêm vào Tìm kiếm gần đây</t>
        </is>
      </c>
      <c r="G12" s="9" t="inlineStr">
        <is>
          <t>Khối "Xu hướng tìm kiếm" hiển thị ≥1 từ khoá.</t>
        </is>
      </c>
      <c r="H12" s="9" t="inlineStr">
        <is>
          <t>1. Ghi nhận danh sách "Tìm kiếm gần đây" hiện tại (nếu có).
2. Chạm vào 1 từ khoá trong khối "Xu hướng tìm kiếm" (VD: hạng #2).
3. Kiểm tra nội dung ô nhập Search Bar và kết quả tìm kiếm hiển thị.
4. Quay lại Pre-search, kiểm tra khối "Tìm kiếm gần đây".</t>
        </is>
      </c>
      <c r="I12" s="9" t="inlineStr">
        <is>
          <t>Khối Xu hướng tìm kiếm hiển thị Top 5, chạm vào từ khoá hạng #2.</t>
        </is>
      </c>
      <c r="J12" s="9" t="inlineStr">
        <is>
          <t>Chạm vào từ khoá Xu hướng sẽ ghi đè nội dung Search Bar bằng đúng từ khoá đó (giống hành vi chạm chip Tìm kiếm gần đây, xem SS-SCR-001-SC2-TC4) và chạy tìm kiếm ngay. Quay lại Pre-search, từ khoá Xu hướng vừa chạm được thêm vào đầu "Tìm kiếm gần đây" (theo đúng cơ chế FIFO ở SS-SCR-001-SC2-TC1), xác nhận rằng chạm vào Xu hướng cũng được tính là 1 lượt tìm kiếm thật cho mục đích lưu lịch sử.</t>
        </is>
      </c>
      <c r="K12" s="9" t="inlineStr">
        <is>
          <t>Medium</t>
        </is>
      </c>
      <c r="L12" s="10" t="n"/>
      <c r="M12" s="10" t="inlineStr">
        <is>
          <t>Not Run</t>
        </is>
      </c>
      <c r="N12" s="10" t="n"/>
      <c r="O12" s="10" t="n"/>
      <c r="P12" s="9" t="n"/>
      <c r="Q12" s="9" t="n"/>
    </row>
    <row r="13" ht="89.25" customHeight="1">
      <c r="A13" s="9" t="inlineStr">
        <is>
          <t>SS-SCR-001-SC3-TC5</t>
        </is>
      </c>
      <c r="B13" s="9" t="inlineStr">
        <is>
          <t>SS-SCR-001-SC3</t>
        </is>
      </c>
      <c r="C13" s="9" t="inlineStr">
        <is>
          <t>SS-SCR-001</t>
        </is>
      </c>
      <c r="D13" s="9" t="inlineStr">
        <is>
          <t>FR-PS-02; SRS Simplify User Flow Slide 5-6 (AC-03 Serving Store)</t>
        </is>
      </c>
      <c r="E13" s="9" t="inlineStr">
        <is>
          <t>Functional</t>
        </is>
      </c>
      <c r="F13" s="9" t="inlineStr">
        <is>
          <t>"Xu hướng tìm kiếm" tính theo Serving Store đang chọn, không gộp toàn hệ thống</t>
        </is>
      </c>
      <c r="G13" s="9" t="inlineStr">
        <is>
          <t>2 store đều có lưu lượng tìm kiếm đủ lớn (không rơi vào cold-start). Có 1 từ khoá chỉ hot ở Store B.</t>
        </is>
      </c>
      <c r="H13" s="9" t="inlineStr">
        <is>
          <t>1. Tạo lưu lượng tìm kiếm cao cho từ khoá K chỉ ở Store B (Store A gần như không ai tìm K).
2. Chọn Serving Store = A, mở Pre-search, ghi lại khối "Xu hướng tìm kiếm".
3. Đổi Serving Store = B, mở lại Pre-search, ghi lại khối.</t>
        </is>
      </c>
      <c r="I13" s="9" t="inlineStr">
        <is>
          <t>Từ khoá K: Top trending ở Store B, ngoài Top 10 ở Store A.</t>
        </is>
      </c>
      <c r="J13" s="9" t="inlineStr">
        <is>
          <t>Store A: K KHÔNG xuất hiện (Volume/Velocity tính trên dữ liệu tìm kiếm của Store A). Store B: K xuất hiện đúng thứ hạng. Hai store có danh sách trending khác nhau.</t>
        </is>
      </c>
      <c r="K13" s="9" t="inlineStr">
        <is>
          <t>Medium</t>
        </is>
      </c>
      <c r="L13" s="10" t="n"/>
      <c r="M13" s="10" t="inlineStr">
        <is>
          <t>Not Run</t>
        </is>
      </c>
      <c r="N13" s="10" t="n"/>
      <c r="O13" s="10" t="n"/>
      <c r="P13" s="9" t="inlineStr">
        <is>
          <t>QnA-64</t>
        </is>
      </c>
      <c r="Q13" s="9" t="inlineStr">
        <is>
          <t>Thêm mới 28/09/2026 theo QnA-64 ý (2): trending mặc định theo từng Serving Store.</t>
        </is>
      </c>
    </row>
    <row r="14" ht="89.25" customHeight="1">
      <c r="A14" s="9" t="inlineStr">
        <is>
          <t>SS-SCR-001-SC3-TC6</t>
        </is>
      </c>
      <c r="B14" s="9" t="inlineStr">
        <is>
          <t>SS-SCR-001-SC3</t>
        </is>
      </c>
      <c r="C14" s="9" t="inlineStr">
        <is>
          <t>SS-SCR-001</t>
        </is>
      </c>
      <c r="D14" s="9" t="inlineStr">
        <is>
          <t>FR-PS-02; SRS Simplify User Flow Slide 5-6 (AC-03 Serving Store)</t>
        </is>
      </c>
      <c r="E14" s="9" t="inlineStr">
        <is>
          <t>Edge</t>
        </is>
      </c>
      <c r="F14" s="9" t="inlineStr">
        <is>
          <t>Store lưu lượng thấp (cold-start): "Xu hướng tìm kiếm" fallback sang trending khu vực/toàn hệ thống — TBD ngưỡng</t>
        </is>
      </c>
      <c r="G14" s="9" t="inlineStr">
        <is>
          <t>1 Serving Store mới hoặc có rất ít lượt tìm kiếm trong kỳ tính Trending.</t>
        </is>
      </c>
      <c r="H14" s="9" t="inlineStr">
        <is>
          <t>1. Chọn Serving Store có lưu lượng tìm kiếm rất thấp.
2. Mở Pre-search, quan sát khối "Xu hướng tìm kiếm".</t>
        </is>
      </c>
      <c r="I14" s="9" t="inlineStr">
        <is>
          <t>Store cold-start (số lượt tìm dưới ngưỡng - ngưỡng chưa định nghĩa).</t>
        </is>
      </c>
      <c r="J14" s="9" t="inlineStr">
        <is>
          <t>Theo QnA-64 ý (2): khối không rỗng / không quá ít - hệ thống fallback sang trending khu vực hoặc toàn hệ thống. CHƯA chấm Pass/Fail được: chưa có (a) ngưỡng thế nào là "lưu lượng quá thấp", (b) fallback sang "khu vực" hay "toàn hệ thống" và khu vực định nghĩa ra sao.</t>
        </is>
      </c>
      <c r="K14" s="9" t="inlineStr">
        <is>
          <t>Medium</t>
        </is>
      </c>
      <c r="L14" s="10" t="n"/>
      <c r="M14" s="10" t="inlineStr">
        <is>
          <t>N/A</t>
        </is>
      </c>
      <c r="N14" s="10" t="n"/>
      <c r="O14" s="10" t="n"/>
      <c r="P14" s="9" t="inlineStr">
        <is>
          <t>QnA-64</t>
        </is>
      </c>
      <c r="Q14" s="9" t="inlineStr">
        <is>
          <t>Thêm mới 28/09/2026. Cần hỏi tiếp BA/TD: ngưỡng cold-start và phạm vi fallback.</t>
        </is>
      </c>
    </row>
    <row r="15" ht="38.25" customHeight="1">
      <c r="A15" s="18" t="inlineStr">
        <is>
          <t>SS-SCR-001-SC4-TC1</t>
        </is>
      </c>
      <c r="B15" s="18" t="inlineStr">
        <is>
          <t>SS-SCR-001-SC4</t>
        </is>
      </c>
      <c r="C15" s="18" t="inlineStr">
        <is>
          <t>SS-SCR-001</t>
        </is>
      </c>
      <c r="D15" s="18" t="inlineStr">
        <is>
          <t>FR-IS-02, FR-VS-02, FR-PS-01, FR-PS-02, FR-PS-03, FR-PS-04</t>
        </is>
      </c>
      <c r="E15" s="18" t="inlineStr">
        <is>
          <t>Ranking</t>
        </is>
      </c>
      <c r="F15" s="18" t="inlineStr">
        <is>
          <t>Xếp hạng "Thường mua" theo số Đơn hàng (Order Count), không theo số lượng SKU</t>
        </is>
      </c>
      <c r="G15" s="18" t="inlineStr">
        <is>
          <t>OMS có dữ liệu Order History; tồn kho một số SKU = 0.
Các SKU dùng trong TC này đều thuộc catalogue Serving Store đang chọn và còn hàng (để lớp lọc theo store của QnA-24 không làm lệch kết quả - lớp đó kiểm ở SS-SCR-001-SC4-TC5).</t>
        </is>
      </c>
      <c r="H15" s="18" t="inlineStr">
        <is>
          <t>1. Đăng nhập tài khoản có lịch sử mua: SKU-A mua trong 3 đơn hàng khác nhau (mỗi đơn 1 sản phẩm), SKU-B mua trong 1 đơn hàng (số lượng 5 sản phẩm/đơn).
2. Vào Pre-search Screen, quan sát khối "Thường mua".
3. So sánh vị trí SKU-A và SKU-B.</t>
        </is>
      </c>
      <c r="I15" s="18" t="inlineStr">
        <is>
          <t>SKU-A: 3 đơn hàng x 1 sp; SKU-B: 1 đơn hàng x 5 sp</t>
        </is>
      </c>
      <c r="J15" s="18" t="inlineStr">
        <is>
          <t>SKU-A xếp trước SKU-B vì đếm theo SỐ ĐƠN HÀNG (3 &gt; 1), không phải theo tổng số lượng sản phẩm (1x3=3 so với 5) — đúng logic FR-PS-03: "tuyệt đối KHÔNG đếm theo số lượng/quantity bên trong đơn hàng". [QnA-24: cửa sổ lịch sử đơn hàng theo BRD = thích ứng 3-6 tháng, tính trên đơn COMPLETED của khách ở MỌI serving store - kết luận đếm theo số đơn không phụ thuộc độ dài cửa sổ.]</t>
        </is>
      </c>
      <c r="K15" s="18" t="inlineStr">
        <is>
          <t>High</t>
        </is>
      </c>
      <c r="L15" s="10" t="n"/>
      <c r="M15" s="10" t="inlineStr">
        <is>
          <t>Not Run</t>
        </is>
      </c>
      <c r="N15" s="10" t="n"/>
      <c r="O15" s="10" t="n"/>
      <c r="P15" s="18" t="inlineStr">
        <is>
          <t>QnA-24</t>
        </is>
      </c>
      <c r="Q15" s="18" t="inlineStr">
        <is>
          <t>RESOLVED QnA-24 (BA 24/08/2026): dùng rule BRD - cửa sổ thích ứng 3-6 tháng (khởi đầu 3 tháng, +1 tháng nếu tháng đó không có đơn, tối đa 6 tháng); phạm vi = mọi store, không giới hạn 1 serving store.
QnA-24 BA cập nhật (nạp 28/09/2026): tách 2 lớp - lịch sử tính trên mọi store, hiển thị lọc theo Serving Store + còn hàng. Câu trả lời mới không nhắc lại cửa sổ thời gian; vẫn giữ cửa sổ thích ứng 3-6 tháng theo trả lời 24/08.</t>
        </is>
      </c>
    </row>
    <row r="16" ht="38.25" customHeight="1">
      <c r="A16" s="11" t="inlineStr">
        <is>
          <t>SS-SCR-001-SC4-TC2</t>
        </is>
      </c>
      <c r="B16" s="11" t="inlineStr">
        <is>
          <t>SS-SCR-001-SC4</t>
        </is>
      </c>
      <c r="C16" s="11" t="inlineStr">
        <is>
          <t>SS-SCR-001</t>
        </is>
      </c>
      <c r="D16" s="11" t="inlineStr">
        <is>
          <t>FR-IS-02, FR-VS-02, FR-PS-01, FR-PS-02, FR-PS-03, FR-PS-04</t>
        </is>
      </c>
      <c r="E16" s="11" t="inlineStr">
        <is>
          <t>Negative</t>
        </is>
      </c>
      <c r="F16" s="11" t="inlineStr">
        <is>
          <t>Khối "Thường mua" với Khách vãng lai (chưa đăng nhập)</t>
        </is>
      </c>
      <c r="G16" s="11" t="inlineStr">
        <is>
          <t>OMS có dữ liệu Order History; tồn kho một số SKU = 0.</t>
        </is>
      </c>
      <c r="H16" s="11" t="inlineStr">
        <is>
          <t>1. Mở app ở chế độ Khách vãng lai (không đăng nhập).
2. Vào Pre-search Screen.
3. Quan sát có/không có khối "Thường mua".</t>
        </is>
      </c>
      <c r="I16" s="11" t="inlineStr">
        <is>
          <t>Phiên khách vãng lai, không có Order History</t>
        </is>
      </c>
      <c r="J16" s="11" t="inlineStr">
        <is>
          <t>ĐÃ XÁC NHẬN (QnA-01): với Khách vãng lai / chưa đăng nhập, khối "Thường mua" ẨN HOÀN TOÀN (không có lịch sử đơn hàng -&gt; không hiển thị). Khối thay thế "Bán chạy tại LOTTE Mart" là hạng mục RIÊNG, độc lập, đang chờ Mart confirm - KHÔNG thuộc phạm vi test hiện tại. Pass = với Khách vãng lai, khối "Thường mua" không xuất hiện; không có khối thay thế nào ở bản này.</t>
        </is>
      </c>
      <c r="K16" s="11" t="inlineStr">
        <is>
          <t>Medium</t>
        </is>
      </c>
      <c r="L16" s="10" t="n"/>
      <c r="M16" s="10" t="inlineStr">
        <is>
          <t>N/A</t>
        </is>
      </c>
      <c r="N16" s="10" t="n"/>
      <c r="O16" s="10" t="n"/>
      <c r="P16" s="11" t="inlineStr">
        <is>
          <t>QnA-01</t>
        </is>
      </c>
      <c r="Q16" s="11" t="inlineStr">
        <is>
          <t>RESOLVED QnA-01 (BA 24/08/2026): 2 khối độc lập; ẩn khối 'Thường mua' cho khách chưa đăng nhập; khối 'Bán chạy tại LOTTE Mart' tách riêng, chờ Mart. Nhất quán với QnA-23.</t>
        </is>
      </c>
    </row>
    <row r="17" ht="38.25" customHeight="1">
      <c r="A17" s="11" t="inlineStr">
        <is>
          <t>SS-SCR-001-SC4-TC3</t>
        </is>
      </c>
      <c r="B17" s="11" t="inlineStr">
        <is>
          <t>SS-SCR-001-SC4</t>
        </is>
      </c>
      <c r="C17" s="11" t="inlineStr">
        <is>
          <t>SS-SCR-001</t>
        </is>
      </c>
      <c r="D17" s="11" t="inlineStr">
        <is>
          <t>FR-IS-02, FR-VS-02, FR-PS-01, FR-PS-02, FR-PS-03, FR-PS-04</t>
        </is>
      </c>
      <c r="E17" s="11" t="inlineStr">
        <is>
          <t>Boundary</t>
        </is>
      </c>
      <c r="F17" s="11" t="inlineStr">
        <is>
          <t>Ranh giới cửa sổ 90 ngày (~3 tháng) của lịch sử đơn hàng ảnh hưởng xếp hạng "Thường mua"</t>
        </is>
      </c>
      <c r="G17" s="11" t="inlineStr">
        <is>
          <t>Tài khoản Thành viên có các đơn hàng COMPLETED đặt ở nhiều mốc thời gian khác nhau so với hiện tại; dữ liệu cá nhân hoá theo từng tài khoản riêng biệt.
Các SKU dùng trong TC này đều thuộc catalogue Serving Store đang chọn và còn hàng (để lớp lọc theo store của QnA-24 không làm lệch kết quả - lớp đó kiểm ở SS-SCR-001-SC4-TC5).</t>
        </is>
      </c>
      <c r="H17" s="11" t="inlineStr">
        <is>
          <t>1. Chuẩn bị 1 tài khoản Thành viên với 5 SKU khác nhau, mỗi SKU gắn 1 đơn hàng COMPLETED đặt cách ngày kiểm thử: SKU-A = 85 ngày, SKU-B = 95 ngày, SKU-C = 130 ngày (~tháng thứ 5), SKU-D = 165 ngày (~tháng thứ 6), SKU-E = 210 ngày trở lên (~tháng thứ 7 trở đi).
2. Đăng nhập tài khoản này, vào Pre-search Screen, quan sát khối "Thường mua".
3. Kiểm tra SKU nào xuất hiện, SKU nào không.
4. Đăng nhập 1 tài khoản KHÁC (không có các đơn hàng trên) và xác nhận khối "Thường mua" của tài khoản này không bị ảnh hưởng bởi dữ liệu của tài khoản đầu.</t>
        </is>
      </c>
      <c r="I17" s="11" t="inlineStr">
        <is>
          <t>5 SKU với đơn COMPLETED cách hiện tại 85/95/130/165/≥210 ngày (~3/4/5/6/7+ tháng); 1 tài khoản đối chứng không có các đơn này.</t>
        </is>
      </c>
      <c r="J17" s="11" t="inlineStr">
        <is>
          <t>ĐÃ XÁC NHẬN (QnA-24): áp dụng rule BRD - cửa sổ THÍCH ỨNG 3-6 tháng: khởi đầu 3 tháng gần nhất; nếu 3 tháng đó (và các tháng kế tiếp) không có đơn COMPLETED thì mở rộng thêm +1 tháng mỗi lần, tối đa 6 tháng. Tính trên đơn COMPLETED của khách ở MỌI serving store (không giới hạn store đang chọn). Với dữ liệu test: SKU-A (85 ngày) luôn trong cửa sổ; SKU-B (95 ngày, ~tháng 4) và SKU-C (130 ngày, ~tháng 5) chỉ được tính nếu cửa sổ đã mở rộng tới tháng tương ứng. Kết quả chỉ áp dụng cho tài khoản đang đăng nhập. Có thể chấm Pass/Fail theo rule thích ứng này.</t>
        </is>
      </c>
      <c r="K17" s="11" t="inlineStr">
        <is>
          <t>Medium</t>
        </is>
      </c>
      <c r="L17" s="10" t="n"/>
      <c r="M17" s="10" t="inlineStr">
        <is>
          <t>N/A</t>
        </is>
      </c>
      <c r="N17" s="10" t="n"/>
      <c r="O17" s="10" t="n"/>
      <c r="P17" s="11" t="inlineStr">
        <is>
          <t>QnA-24</t>
        </is>
      </c>
      <c r="Q17" s="11" t="inlineStr">
        <is>
          <t>RESOLVED QnA-24 (BA 24/08/2026): theo rule BRD (cửa sổ thích ứng 3-6 tháng), cross-store. Storyboard '90 ngày cố định' bị bác bỏ.
QnA-24 BA cập nhật (nạp 28/09/2026): tách 2 lớp - lịch sử tính trên mọi store, hiển thị lọc theo Serving Store + còn hàng. Câu trả lời mới không nhắc lại cửa sổ thời gian; vẫn giữ cửa sổ thích ứng 3-6 tháng theo trả lời 24/08.</t>
        </is>
      </c>
    </row>
    <row r="18" ht="89.25" customHeight="1">
      <c r="A18" s="11" t="inlineStr">
        <is>
          <t>SS-SCR-001-SC4-TC4</t>
        </is>
      </c>
      <c r="B18" s="11" t="inlineStr">
        <is>
          <t>SS-SCR-001-SC4</t>
        </is>
      </c>
      <c r="C18" s="11" t="inlineStr">
        <is>
          <t>SS-SCR-001</t>
        </is>
      </c>
      <c r="D18" s="11" t="inlineStr">
        <is>
          <t>FR-IS-02, FR-VS-02, FR-PS-01, FR-PS-02, FR-PS-03, FR-PS-04</t>
        </is>
      </c>
      <c r="E18" s="11" t="inlineStr">
        <is>
          <t>Edge</t>
        </is>
      </c>
      <c r="F18" s="11" t="inlineStr">
        <is>
          <t>Khối "Thường mua" cho Thành viên đã đăng nhập nhưng chưa từng có đơn hàng thành công</t>
        </is>
      </c>
      <c r="G18" s="11" t="inlineStr">
        <is>
          <t>Tài khoản Thành viên hợp lệ, đã đăng nhập, nhưng KHÔNG có bất kỳ đơn hàng COMPLETED nào trong lịch sử (tài khoản mới/chưa từng mua hàng).</t>
        </is>
      </c>
      <c r="H18" s="11" t="inlineStr">
        <is>
          <t>1. Đăng nhập bằng 1 tài khoản Thành viên mới, chưa từng phát sinh đơn hàng thành công (Order History rỗng).
2. Vào Pre-search Screen.
3. Quan sát có/không có khối "Thường mua", và nếu có thì hiển thị nội dung gì.</t>
        </is>
      </c>
      <c r="I18" s="11" t="inlineStr">
        <is>
          <t>Tài khoản Thành viên với Order History rỗng (0 đơn COMPLETED)</t>
        </is>
      </c>
      <c r="J18" s="11" t="inlineStr">
        <is>
          <t>ĐÃ XÁC NHẬN (QnA-23): Thành viên đã đăng nhập nhưng CHƯA có đơn COMPLETED -&gt; khối "Thường mua" ẨN HOÀN TOÀN (không thay bằng "Bán chạy tại LOTTE Mart" hay khối khác trong v1). Pass = khối "Thường mua" không xuất hiện với Thành viên có Order History rỗng.</t>
        </is>
      </c>
      <c r="K18" s="11" t="inlineStr">
        <is>
          <t>Medium</t>
        </is>
      </c>
      <c r="L18" s="10" t="n"/>
      <c r="M18" s="10" t="inlineStr">
        <is>
          <t>N/A</t>
        </is>
      </c>
      <c r="N18" s="10" t="n"/>
      <c r="O18" s="10" t="n"/>
      <c r="P18" s="11" t="inlineStr">
        <is>
          <t>QnA-23</t>
        </is>
      </c>
      <c r="Q18" s="11" t="inlineStr">
        <is>
          <t>RESOLVED QnA-23 (BA 24/08/2026): ẩn khối 'Thường mua' khi không có lịch sử mua. Nhất quán với QnA-01.</t>
        </is>
      </c>
    </row>
    <row r="19" ht="89.25" customHeight="1">
      <c r="A19" s="11" t="inlineStr">
        <is>
          <t>SS-SCR-001-SC4-TC5</t>
        </is>
      </c>
      <c r="B19" s="11" t="inlineStr">
        <is>
          <t>SS-SCR-001-SC4</t>
        </is>
      </c>
      <c r="C19" s="11" t="inlineStr">
        <is>
          <t>SS-SCR-001</t>
        </is>
      </c>
      <c r="D19" s="11" t="inlineStr">
        <is>
          <t>FR-IS-02, FR-VS-02, FR-PS-01, FR-PS-02, FR-PS-03, FR-PS-04</t>
        </is>
      </c>
      <c r="E19" s="11" t="inlineStr">
        <is>
          <t>Functional</t>
        </is>
      </c>
      <c r="F19" s="11" t="inlineStr">
        <is>
          <t>"Thường mua" tính lịch sử trên mọi store nhưng chỉ hiển thị SKU có ở Serving Store đang chọn và còn hàng</t>
        </is>
      </c>
      <c r="G19" s="11" t="inlineStr">
        <is>
          <t>Thành viên có đơn COMPLETED (trong cửa sổ lịch sử) ở 2 store: Store A và Store B. App cho đổi Serving Store.</t>
        </is>
      </c>
      <c r="H19" s="11" t="inlineStr">
        <is>
          <t>1. Chuẩn bị đơn COMPLETED: SKU-P 1 đơn ở A + 3 đơn ở B; SKU-Q 2 đơn ở B; SKU-R 5 đơn ở B; SKU-S 3 đơn ở A.
2. Chọn Serving Store = A, vào Pre-search, ghi lại khối "Thường mua".
3. Đổi Serving Store = B, quay lại Pre-search, ghi lại khối "Thường mua".</t>
        </is>
      </c>
      <c r="I19" s="11" t="inlineStr">
        <is>
          <t>Store A: có SKU-P, SKU-Q (còn hàng); KHÔNG có SKU-R; SKU-S tồn kho = 0.
Store B: có SKU-P, SKU-Q, SKU-R (còn hàng); không có SKU-S.</t>
        </is>
      </c>
      <c r="J19" s="11" t="inlineStr">
        <is>
          <t>Bước 2 (Store A): SKU-P xếp trước SKU-Q vì Order Count gộp mọi store = 4 (không phải 1 nếu chỉ đếm store A); SKU-R KHÔNG hiện dù nhiều đơn nhất (không thuộc catalogue A); SKU-S KHÔNG hiện (hết hàng tại A).
Bước 3 (Store B): thứ tự SKU-R (5) &gt; SKU-P (4) &gt; SKU-Q (2); SKU-S không hiện (không thuộc catalogue B). Số đơn của mỗi SKU giống hệt bước 2 - đổi store chỉ đổi lớp lọc, không làm mất lịch sử.</t>
        </is>
      </c>
      <c r="K19" s="11" t="inlineStr">
        <is>
          <t>High</t>
        </is>
      </c>
      <c r="L19" s="10" t="n"/>
      <c r="M19" s="10" t="inlineStr">
        <is>
          <t>Not Run</t>
        </is>
      </c>
      <c r="N19" s="10" t="n"/>
      <c r="O19" s="10" t="n"/>
      <c r="P19" s="11" t="inlineStr">
        <is>
          <t>QnA-24</t>
        </is>
      </c>
      <c r="Q19" s="11" t="inlineStr">
        <is>
          <t>Thêm mới 28/09/2026 theo câu trả lời cập nhật QnA-24 (tách lớp tính lịch sử / lớp lọc khả dụng).</t>
        </is>
      </c>
    </row>
    <row r="20" ht="76.5" customHeight="1">
      <c r="A20" s="9" t="inlineStr">
        <is>
          <t>SS-SCR-001-SC5-TC1</t>
        </is>
      </c>
      <c r="B20" s="9" t="inlineStr">
        <is>
          <t>SS-SCR-001-SC5</t>
        </is>
      </c>
      <c r="C20" s="9" t="inlineStr">
        <is>
          <t>SS-SCR-001</t>
        </is>
      </c>
      <c r="D20" s="9" t="inlineStr">
        <is>
          <t>FR-IS-02, FR-VS-02, FR-PS-01, FR-PS-02, FR-PS-03, FR-PS-04</t>
        </is>
      </c>
      <c r="E20" s="9" t="inlineStr">
        <is>
          <t>Normal</t>
        </is>
      </c>
      <c r="F20" s="9" t="inlineStr">
        <is>
          <t>Placeholder xoay vòng đúng chu kỳ 3 giây, đồng bộ nguồn Trending</t>
        </is>
      </c>
      <c r="G20" s="9" t="inlineStr">
        <is>
          <t>Search Bar rỗng, chưa focus; danh sách Trending đã có dữ liệu.</t>
        </is>
      </c>
      <c r="H20" s="9" t="inlineStr">
        <is>
          <t>1. Vào Pre-search Screen, không chạm vào Search Bar.
2. Quan sát nội dung placeholder trong ô nhập tại thời điểm 0s, 3s, 6s, 9s.
3. Đối chiếu từng giá trị placeholder với danh sách "Xu hướng tìm kiếm" hiển thị bên dưới.
4. Chạm vào ô nhập (focus) và quan sát placeholder.</t>
        </is>
      </c>
      <c r="I20" s="9" t="inlineStr">
        <is>
          <t>Danh sách Trending mẫu (Trứng gà sạch, Rau muống hữu cơ, Mì Hảo Hảo tôm chua, ...)</t>
        </is>
      </c>
      <c r="J20" s="9" t="inlineStr">
        <is>
          <t>Bước 2-3: placeholder đổi giá trị mỗi 3 giây, mỗi giá trị là 1 trong các từ khoá thuộc Top 10 Xu hướng tìm kiếm (hạng #1 tới #10) — đúng FR-PS-04 ("Nguồn dữ liệu được đồng bộ trực tiếp từ danh sách Xu hướng tìm kiếm, lấy trong phạm vi Top 10... xoay vòng mỗi 3 giây"). Bước 4: khi focus/gõ, placeholder ngừng xoay vòng (bị thay thế bởi con trỏ nhập/nội dung gõ).</t>
        </is>
      </c>
      <c r="K20" s="9" t="inlineStr">
        <is>
          <t>Low</t>
        </is>
      </c>
      <c r="L20" s="10" t="n"/>
      <c r="M20" s="10" t="inlineStr">
        <is>
          <t>Not Run</t>
        </is>
      </c>
      <c r="N20" s="10" t="n"/>
      <c r="O20" s="10" t="n"/>
      <c r="P20" s="9" t="n"/>
      <c r="Q20" s="9" t="n"/>
    </row>
    <row r="21" ht="76.5" customHeight="1">
      <c r="A21" s="9" t="inlineStr">
        <is>
          <t>SS-SCR-001-SC5-TC2</t>
        </is>
      </c>
      <c r="B21" s="9" t="inlineStr">
        <is>
          <t>SS-SCR-001-SC5</t>
        </is>
      </c>
      <c r="C21" s="9" t="inlineStr">
        <is>
          <t>SS-SCR-001</t>
        </is>
      </c>
      <c r="D21" s="9" t="inlineStr">
        <is>
          <t>FR-IS-02, FR-VS-02, FR-PS-01, FR-PS-02, FR-PS-03, FR-PS-04</t>
        </is>
      </c>
      <c r="E21" s="9" t="inlineStr">
        <is>
          <t>Boundary</t>
        </is>
      </c>
      <c r="F21" s="9" t="inlineStr">
        <is>
          <t>Placeholder xoay vòng lấy nguồn từ toàn bộ Top 10 Xu hướng tìm kiếm (hạng #1 tới #10)</t>
        </is>
      </c>
      <c r="G21" s="9" t="inlineStr">
        <is>
          <t>Có ≥10 từ khoá trending hợp lệ.</t>
        </is>
      </c>
      <c r="H21" s="9" t="inlineStr">
        <is>
          <t>1. Ghi nhận danh sách đầy đủ Top 10 từ khoá trending (hạng #1-10) từ dữ liệu backend/admin.
2. Quan sát placeholder xoay vòng trên Search Bar trong ít nhất 30 giây (nhiều chu kỳ xoay), không gõ gì.
3. Ghi lại toàn bộ các từ khoá khác nhau xuất hiện trong placeholder.
4. Đối chiếu tập từ khoá của placeholder với danh sách Top 10 đầy đủ.</t>
        </is>
      </c>
      <c r="I21" s="9" t="inlineStr">
        <is>
          <t>Danh sách Top 10 trending đầy đủ (hạng #1-10).</t>
        </is>
      </c>
      <c r="J21" s="9" t="inlineStr">
        <is>
          <t>ĐÃ XÁC NHẬN: placeholder xoay vòng lấy nguồn từ toàn bộ Top 10 Xu hướng tìm kiếm (hạng #1 tới #10), không giới hạn riêng ở phần hạng #6-10. Mọi từ khoá xuất hiện trong placeholder đều phải thuộc tập Top 10 này; không có từ khoá ngoài Top 10 xuất hiện.</t>
        </is>
      </c>
      <c r="K21" s="9" t="inlineStr">
        <is>
          <t>Medium</t>
        </is>
      </c>
      <c r="L21" s="10" t="n"/>
      <c r="M21" s="10" t="inlineStr">
        <is>
          <t>Not Run</t>
        </is>
      </c>
      <c r="N21" s="10" t="n"/>
      <c r="O21" s="10" t="n"/>
      <c r="P21" s="9" t="n"/>
      <c r="Q21" s="9" t="n"/>
    </row>
    <row r="22" ht="38.25" customHeight="1">
      <c r="A22" s="9" t="inlineStr">
        <is>
          <t>SS-SCR-001-SC6-TC1</t>
        </is>
      </c>
      <c r="B22" s="9" t="inlineStr">
        <is>
          <t>SS-SCR-001-SC6</t>
        </is>
      </c>
      <c r="C22" s="9" t="inlineStr">
        <is>
          <t>SS-SCR-001</t>
        </is>
      </c>
      <c r="D22" s="9" t="inlineStr">
        <is>
          <t>FR-IS-02, FR-VS-02, FR-PS-01, FR-PS-02, FR-PS-03, FR-PS-04</t>
        </is>
      </c>
      <c r="E22" s="9" t="inlineStr">
        <is>
          <t>Boundary</t>
        </is>
      </c>
      <c r="F22" s="9" t="inlineStr">
        <is>
          <t>Badge ẩn khi giỏ trống, hiện đúng số ở mức bình thường</t>
        </is>
      </c>
      <c r="G22" s="9" t="inlineStr">
        <is>
          <t>Global Header hiển thị trên mọi màn hình.</t>
        </is>
      </c>
      <c r="H22" s="9" t="inlineStr">
        <is>
          <t>1. Đảm bảo giỏ hàng trống (0 sản phẩm), quan sát icon Giỏ hàng.
2. Thêm 45 sản phẩm vào giỏ, quan sát badge.</t>
        </is>
      </c>
      <c r="I22" s="9" t="inlineStr">
        <is>
          <t>0 sp / 45 sp</t>
        </is>
      </c>
      <c r="J22" s="9" t="inlineStr">
        <is>
          <t>0 sp: không có badge hiển thị trên icon. 45 sp: badge hiện đúng số "45".</t>
        </is>
      </c>
      <c r="K22" s="9" t="inlineStr">
        <is>
          <t>Low</t>
        </is>
      </c>
      <c r="L22" s="10" t="n"/>
      <c r="M22" s="10" t="inlineStr">
        <is>
          <t>Not Run</t>
        </is>
      </c>
      <c r="N22" s="10" t="n"/>
      <c r="O22" s="10" t="n"/>
      <c r="P22" s="9" t="n"/>
      <c r="Q22" s="9" t="n"/>
    </row>
    <row r="23" ht="51" customHeight="1">
      <c r="A23" s="11" t="inlineStr">
        <is>
          <t>SS-SCR-001-SC6-TC2</t>
        </is>
      </c>
      <c r="B23" s="11" t="inlineStr">
        <is>
          <t>SS-SCR-001-SC6</t>
        </is>
      </c>
      <c r="C23" s="11" t="inlineStr">
        <is>
          <t>SS-SCR-001</t>
        </is>
      </c>
      <c r="D23" s="11" t="inlineStr">
        <is>
          <t>FR-IS-02, FR-VS-02, FR-PS-01, FR-PS-02, FR-PS-03, FR-PS-04</t>
        </is>
      </c>
      <c r="E23" s="11" t="inlineStr">
        <is>
          <t>Boundary</t>
        </is>
      </c>
      <c r="F23" s="11" t="inlineStr">
        <is>
          <t>Định dạng badge khi vượt ngưỡng 2 chữ số (99+)</t>
        </is>
      </c>
      <c r="G23" s="11" t="inlineStr">
        <is>
          <t>Global Header hiển thị trên mọi màn hình.</t>
        </is>
      </c>
      <c r="H23" s="11" t="inlineStr">
        <is>
          <t>1. Thiết lập giỏ hàng có 130 sản phẩm.
2. Quan sát định dạng hiển thị trên badge.</t>
        </is>
      </c>
      <c r="I23" s="11" t="inlineStr">
        <is>
          <t>130 sp</t>
        </is>
      </c>
      <c r="J23" s="11" t="inlineStr">
        <is>
          <t>TBD — chưa có quy định chính thức về ngưỡng rút gọn (99+) hay hiển thị số đầy đủ; không chấm Pass/Fail cho tới khi UX xác nhận. Xem QnA-20.</t>
        </is>
      </c>
      <c r="K23" s="11" t="inlineStr">
        <is>
          <t>Low</t>
        </is>
      </c>
      <c r="L23" s="10" t="n"/>
      <c r="M23" s="10" t="inlineStr">
        <is>
          <t>N/A</t>
        </is>
      </c>
      <c r="N23" s="10" t="n"/>
      <c r="O23" s="10" t="n"/>
      <c r="P23" s="11" t="inlineStr">
        <is>
          <t>QnA-20</t>
        </is>
      </c>
      <c r="Q23" s="11" t="n"/>
    </row>
    <row r="24" ht="63.75" customHeight="1">
      <c r="A24" s="9" t="inlineStr">
        <is>
          <t>SS-SCR-001-SC7-TC1</t>
        </is>
      </c>
      <c r="B24" s="9" t="inlineStr">
        <is>
          <t>SS-SCR-001-SC7</t>
        </is>
      </c>
      <c r="C24" s="9" t="inlineStr">
        <is>
          <t>SS-SCR-001</t>
        </is>
      </c>
      <c r="D24" s="9" t="inlineStr">
        <is>
          <t>FR-IS-02, FR-VS-02, FR-PS-01, FR-PS-02, FR-PS-03, FR-PS-04</t>
        </is>
      </c>
      <c r="E24" s="9" t="inlineStr">
        <is>
          <t>Functional</t>
        </is>
      </c>
      <c r="F24" s="9" t="inlineStr">
        <is>
          <t>Tap Product Card mở đúng PDP</t>
        </is>
      </c>
      <c r="G24" s="9" t="inlineStr">
        <is>
          <t>Đã đăng nhập, khối "Thường mua" hiển thị ≥1 sản phẩm.</t>
        </is>
      </c>
      <c r="H24" s="9" t="inlineStr">
        <is>
          <t>1. Ở Pre-search, xác định 1 SKU trong khối "Thường mua".
2. Tap vào card (không phải nút +).
3. Quan sát trang mở ra.</t>
        </is>
      </c>
      <c r="I24" s="9" t="inlineStr">
        <is>
          <t>1 SKU trong Thường mua</t>
        </is>
      </c>
      <c r="J24" s="9" t="inlineStr">
        <is>
          <t>Mở đúng trang PDP của SKU đã tap, hiển thị đầy đủ thông tin sản phẩm.</t>
        </is>
      </c>
      <c r="K24" s="9" t="inlineStr">
        <is>
          <t>Medium</t>
        </is>
      </c>
      <c r="L24" s="10" t="n"/>
      <c r="M24" s="10" t="inlineStr">
        <is>
          <t>Not Run</t>
        </is>
      </c>
      <c r="N24" s="10" t="n"/>
      <c r="O24" s="10" t="n"/>
      <c r="P24" s="9" t="n"/>
      <c r="Q24" s="9" t="n"/>
    </row>
    <row r="25" ht="63.75" customHeight="1">
      <c r="A25" s="9" t="inlineStr">
        <is>
          <t>SS-SCR-001-SC7-TC2</t>
        </is>
      </c>
      <c r="B25" s="9" t="inlineStr">
        <is>
          <t>SS-SCR-001-SC7</t>
        </is>
      </c>
      <c r="C25" s="9" t="inlineStr">
        <is>
          <t>SS-SCR-001</t>
        </is>
      </c>
      <c r="D25" s="9" t="inlineStr">
        <is>
          <t>FR-IS-02, FR-VS-02, FR-PS-01, FR-PS-02, FR-PS-03, FR-PS-04</t>
        </is>
      </c>
      <c r="E25" s="9" t="inlineStr">
        <is>
          <t>Functional</t>
        </is>
      </c>
      <c r="F25" s="9" t="inlineStr">
        <is>
          <t>Tap (+) trên card Thường mua thêm nhanh không rời Pre-search</t>
        </is>
      </c>
      <c r="G25" s="9" t="inlineStr">
        <is>
          <t>Đã đăng nhập, khối "Thường mua" hiển thị ≥1 sản phẩm.</t>
        </is>
      </c>
      <c r="H25" s="9" t="inlineStr">
        <is>
          <t>1. Tap nút (+) trên 1 card còn hàng trong khối "Thường mua".
2. Quan sát badge giỏ hàng và Toast xác nhận.
3. Xác nhận vẫn đang ở Pre-search Screen.</t>
        </is>
      </c>
      <c r="I25" s="9" t="inlineStr">
        <is>
          <t>1 SKU còn hàng</t>
        </is>
      </c>
      <c r="J25" s="9" t="inlineStr">
        <is>
          <t>Badge tăng, Toast "Đã thêm vào giỏ hàng" hiện đúng theo SS-SCR-011; màn hình vẫn là Pre-search, không điều hướng đi nơi khác.</t>
        </is>
      </c>
      <c r="K25" s="9" t="inlineStr">
        <is>
          <t>Medium</t>
        </is>
      </c>
      <c r="L25" s="10" t="n"/>
      <c r="M25" s="10" t="inlineStr">
        <is>
          <t>Not Run</t>
        </is>
      </c>
      <c r="N25" s="10" t="n"/>
      <c r="O25" s="10" t="n"/>
      <c r="P25" s="9" t="n"/>
      <c r="Q25" s="9" t="n"/>
    </row>
    <row r="26" ht="63.75" customHeight="1">
      <c r="A26" s="9" t="inlineStr">
        <is>
          <t>SS-SCR-001-SC8-TC1</t>
        </is>
      </c>
      <c r="B26" s="9" t="inlineStr">
        <is>
          <t>SS-SCR-001-SC8</t>
        </is>
      </c>
      <c r="C26" s="9" t="inlineStr">
        <is>
          <t>SS-SCR-001</t>
        </is>
      </c>
      <c r="D26" s="9" t="inlineStr">
        <is>
          <t>FR-IS-02, FR-VS-02, FR-PS-01, FR-PS-02, FR-PS-03, FR-PS-04</t>
        </is>
      </c>
      <c r="E26" s="9" t="inlineStr">
        <is>
          <t>Boundary</t>
        </is>
      </c>
      <c r="F26" s="9" t="inlineStr">
        <is>
          <t>Tải thêm lô 10 SKU kế tiếp khi cuộn hết lô đầu</t>
        </is>
      </c>
      <c r="G26" s="9" t="inlineStr">
        <is>
          <t>Khách hàng có &gt;10 SKU đủ điều kiện xếp vào "Thường mua".</t>
        </is>
      </c>
      <c r="H26" s="9" t="inlineStr">
        <is>
          <t>1. Khách hàng có 25 SKU đủ điều kiện "Thường mua".
2. Cuộn ngang hết 10 card đầu tiên.
3. Tiếp tục cuộn, quan sát có tải thêm SKU không.
4. Cuộn tới khi hết toàn bộ 25 SKU.</t>
        </is>
      </c>
      <c r="I26" s="9" t="inlineStr">
        <is>
          <t>25 SKU đủ điều kiện</t>
        </is>
      </c>
      <c r="J26" s="9" t="inlineStr">
        <is>
          <t>Sau lô 10 đầu, hệ thống tự tải tiếp lô kế tiếp (SKU thứ 11-20, rồi 21-25) theo đúng thứ tự tần suất mua giảm dần; không SKU nào bị lặp lại; dừng tải mượt khi hết danh sách (không loading vô hạn). [QnA-53: không có giới hạn tối đa cứng - lazy load tiếp tục theo từng lô 10 SKU cho tới khi hết toàn bộ lịch sử mua đủ điều kiện của khách; không chặn ở ngưỡng số lượng cố định.]</t>
        </is>
      </c>
      <c r="K26" s="9" t="inlineStr">
        <is>
          <t>Medium</t>
        </is>
      </c>
      <c r="L26" s="10" t="n"/>
      <c r="M26" s="10" t="inlineStr">
        <is>
          <t>Not Run</t>
        </is>
      </c>
      <c r="N26" s="10" t="n"/>
      <c r="O26" s="10" t="n"/>
      <c r="P26" s="9" t="inlineStr">
        <is>
          <t>QnA-53</t>
        </is>
      </c>
      <c r="Q26" s="9" t="inlineStr">
        <is>
          <t>RESOLVED QnA-53 (BA 27/08/2026): cơ chế lazy loading, KHÔNG giới hạn tối đa.</t>
        </is>
      </c>
    </row>
    <row r="27" ht="63.75" customHeight="1">
      <c r="A27" s="11" t="inlineStr">
        <is>
          <t>SS-SCR-001-SC9-TC1</t>
        </is>
      </c>
      <c r="B27" s="11" t="inlineStr">
        <is>
          <t>SS-SCR-001-SC9</t>
        </is>
      </c>
      <c r="C27" s="11" t="inlineStr">
        <is>
          <t>SS-SCR-001</t>
        </is>
      </c>
      <c r="D27" s="11" t="inlineStr">
        <is>
          <t>FR-IS-02, FR-VS-02, FR-PS-01, FR-PS-02, FR-PS-03, FR-PS-04</t>
        </is>
      </c>
      <c r="E27" s="11" t="inlineStr">
        <is>
          <t>Exception</t>
        </is>
      </c>
      <c r="F27" s="11" t="inlineStr">
        <is>
          <t>Hành vi UI khi mất mạng lúc tải Pre-search — chưa có đặc tả</t>
        </is>
      </c>
      <c r="G27" s="11" t="inlineStr">
        <is>
          <t>Thiết bị test có thể giả lập mất mạng.</t>
        </is>
      </c>
      <c r="H27" s="11" t="inlineStr">
        <is>
          <t>1. Giả lập mất kết nối mạng hoàn toàn.
2. Mở app, vào Pre-search Screen.
3. Quan sát UI của khối Trending và Thường mua.</t>
        </is>
      </c>
      <c r="I27" s="11" t="inlineStr">
        <is>
          <t>Mất mạng hoàn toàn</t>
        </is>
      </c>
      <c r="J27" s="11" t="inlineStr">
        <is>
          <t>TBD — BRD/Storyboard chưa quy định UI cụ thể (skeleton loading? thông báo lỗi cục bộ theo từng khối? ẩn khối?) cho trường hợp mất mạng ngay tại Pre-search. Không chấm Pass/Fail cho tới khi UX xác nhận. Xem QnA-21. Yêu cầu tối thiểu: không crash, không để toàn màn hình trắng, Search Bar vẫn hiển thị và có thể gõ được.</t>
        </is>
      </c>
      <c r="K27" s="11" t="inlineStr">
        <is>
          <t>Medium</t>
        </is>
      </c>
      <c r="L27" s="10" t="n"/>
      <c r="M27" s="10" t="inlineStr">
        <is>
          <t>N/A</t>
        </is>
      </c>
      <c r="N27" s="10" t="n"/>
      <c r="O27" s="10" t="n"/>
      <c r="P27" s="11" t="inlineStr">
        <is>
          <t>QnA-21</t>
        </is>
      </c>
      <c r="Q27" s="11" t="n"/>
    </row>
    <row r="28" ht="51" customHeight="1">
      <c r="A28" s="9" t="inlineStr">
        <is>
          <t>SS-SCR-002-SC1-TC1</t>
        </is>
      </c>
      <c r="B28" s="9" t="inlineStr">
        <is>
          <t>SS-SCR-002-SC1</t>
        </is>
      </c>
      <c r="C28" s="9" t="inlineStr">
        <is>
          <t>SS-SCR-002</t>
        </is>
      </c>
      <c r="D28" s="9" t="inlineStr">
        <is>
          <t>FR-SP-01, FR-GD-02</t>
        </is>
      </c>
      <c r="E28" s="9" t="inlineStr">
        <is>
          <t>Normal</t>
        </is>
      </c>
      <c r="F28" s="9" t="inlineStr">
        <is>
          <t>Hiển thị gợi ý đúng debounce 300ms + highlight ký tự khớp</t>
        </is>
      </c>
      <c r="G28" s="9" t="inlineStr">
        <is>
          <t>Search bar auto-focus, bàn phím hệ thống hiện sẵn.</t>
        </is>
      </c>
      <c r="H28" s="9" t="inlineStr">
        <is>
          <t>1. Chạm Search Bar, mở Autocomplete Screen.
2. Gõ "sữa" và dừng gõ.
3. Đo thời gian từ lúc dừng gõ tới lúc danh sách gợi ý xuất hiện.
4. Kiểm tra phần chữ "sữa" trong mỗi dòng gợi ý có được in đậm/đổi màu không.
5. Đếm số dòng gợi ý hiển thị.</t>
        </is>
      </c>
      <c r="I28" s="9" t="inlineStr">
        <is>
          <t>"sữa"</t>
        </is>
      </c>
      <c r="J28" s="9" t="inlineStr">
        <is>
          <t>Gợi ý xuất hiện trong vòng 300ms sau khi dừng gõ (P95 theo NFR-002 - ĐÃ XÁC NHẬN QnA-62: NFR-002 chính thức = 300ms, khớp KPI-02); tối đa 10 dòng; chuỗi "sữa" được in đậm trong từng dòng gợi ý. [QnA-55: khi gõ KHÔNG DẤU, Autocomplete vẫn hiển thị gợi ý CÓ DẤU đã chuẩn hoá - theo BRD FR-SM-06.]</t>
        </is>
      </c>
      <c r="K28" s="9" t="inlineStr">
        <is>
          <t>High</t>
        </is>
      </c>
      <c r="L28" s="10" t="n"/>
      <c r="M28" s="10" t="inlineStr">
        <is>
          <t>Not Run</t>
        </is>
      </c>
      <c r="N28" s="10" t="n"/>
      <c r="O28" s="10" t="n"/>
      <c r="P28" s="9" t="inlineStr">
        <is>
          <t>QnA-54, QnA-62, QnA-55</t>
        </is>
      </c>
      <c r="Q28" s="9" t="inlineStr">
        <is>
          <t>RESOLVED QnA-62 (BA 28/08/2026): NFR-002 đã update = 300ms. RESOLVED (một phần) QnA-55: gõ không dấu -&gt; gợi ý có dấu (BRD FR-SM-06); thứ tự ưu tiên hiển thị giữa các loại gợi ý vẫn chờ TD (QnA-55 còn Open).</t>
        </is>
      </c>
    </row>
    <row r="29" ht="51" customHeight="1">
      <c r="A29" s="9" t="inlineStr">
        <is>
          <t>SS-SCR-002-SC1-TC2</t>
        </is>
      </c>
      <c r="B29" s="9" t="inlineStr">
        <is>
          <t>SS-SCR-002-SC1</t>
        </is>
      </c>
      <c r="C29" s="9" t="inlineStr">
        <is>
          <t>SS-SCR-002</t>
        </is>
      </c>
      <c r="D29" s="9" t="inlineStr">
        <is>
          <t>FR-SP-01, FR-GD-02</t>
        </is>
      </c>
      <c r="E29" s="9" t="inlineStr">
        <is>
          <t>Boundary</t>
        </is>
      </c>
      <c r="F29" s="9" t="inlineStr">
        <is>
          <t>Debounce chặn request khi gõ liên tục &lt;300ms</t>
        </is>
      </c>
      <c r="G29" s="9" t="inlineStr">
        <is>
          <t>Search bar auto-focus, bàn phím hệ thống hiện sẵn.</t>
        </is>
      </c>
      <c r="H29" s="9" t="inlineStr">
        <is>
          <t>1. Mở Autocomplete Screen.
2. Gõ liên tục "s" "sữ" "sữa" "sữa " "sữa t" trong tổng thời gian &lt;300ms giữa mỗi ký tự (không dừng).
3. Theo dõi số lượng API call/gợi ý được gọi qua công cụ giám sát mạng.
4. Dừng gõ hẳn ở "sữa tươi" và chờ.</t>
        </is>
      </c>
      <c r="I29" s="9" t="inlineStr">
        <is>
          <t>Chuỗi gõ nhanh liên tục, không có khoảng dừng &gt;300ms cho tới ký tự cuối</t>
        </is>
      </c>
      <c r="J29" s="9" t="inlineStr">
        <is>
          <t>Không có request gợi ý nào được gửi trong lúc gõ liên tục; chỉ 1 request duy nhất được gửi sau khi khách dừng gõ đủ 300ms tại "sữa tươi" — đúng logic debounce FR-SP-01.</t>
        </is>
      </c>
      <c r="K29" s="9" t="inlineStr">
        <is>
          <t>High</t>
        </is>
      </c>
      <c r="L29" s="10" t="n"/>
      <c r="M29" s="10" t="inlineStr">
        <is>
          <t>Not Run</t>
        </is>
      </c>
      <c r="N29" s="10" t="n"/>
      <c r="O29" s="10" t="n"/>
      <c r="P29" s="9" t="n"/>
      <c r="Q29" s="9" t="n"/>
    </row>
    <row r="30" ht="51" customHeight="1">
      <c r="A30" s="19" t="inlineStr">
        <is>
          <t>SS-SCR-002-SC1-TC3</t>
        </is>
      </c>
      <c r="B30" s="19" t="inlineStr">
        <is>
          <t>SS-SCR-002-SC1</t>
        </is>
      </c>
      <c r="C30" s="19" t="inlineStr">
        <is>
          <t>SS-SCR-002</t>
        </is>
      </c>
      <c r="D30" s="19" t="inlineStr">
        <is>
          <t>FR-SP-01, FR-GD-02</t>
        </is>
      </c>
      <c r="E30" s="19" t="inlineStr">
        <is>
          <t>Functional</t>
        </is>
      </c>
      <c r="F30" s="19" t="inlineStr">
        <is>
          <t>Gợi ý Autocomplete xếp hạng theo số từ khoá khớp trong tên sản phẩm (product name match count), không theo search volume lịch sử</t>
        </is>
      </c>
      <c r="G30" s="19" t="inlineStr">
        <is>
          <t>Catalogue đã index tên sản phẩm; có ≥2 sản phẩm cùng chứa tiền tố/cụm từ đang gõ trong tên nhưng số từ trong query khớp tên sản phẩm khác nhau.</t>
        </is>
      </c>
      <c r="H30" s="19" t="inlineStr">
        <is>
          <t>1. Gõ 1 cụm từ khớp tên nhiều sản phẩm trong catalogue, trong đó có sản phẩm khớp NHIỀU từ trong query hơn sản phẩm khác (VD gõ "sữa tươi" — "Sữa tươi tiệt trùng" khớp 2 từ, "Sữa chua" chỉ khớp 1 từ).
2. Quan sát danh sách gợi ý và thứ tự hiển thị.
3. Xác nhận danh sách gợi ý được sinh ra dựa trên tên sản phẩm trong catalogue (không phải từ khoá tìm kiếm lịch sử của khách hàng khác), và sản phẩm/cụm từ khớp NHIỀU từ trong query hơn được xếp lên trước.</t>
        </is>
      </c>
      <c r="I30" s="19" t="inlineStr">
        <is>
          <t>"sữa tươi" (khớp tên nhiều sản phẩm với số từ khớp khác nhau)</t>
        </is>
      </c>
      <c r="J30" s="19" t="inlineStr">
        <is>
          <t>Danh sách gợi ý được sinh ra từ TÊN SẢN PHẨM trong catalogue (đúng FR-SP-01: "dựa trên keyword xuất hiện ở tên sản phẩm nào nhiều nhất"), KHÔNG dựa trên lịch sử search volume của khách hàng khác. Gợi ý ứng với cụm từ khớp NHIỀU từ trong query hơn được xếp lên TRƯỚC — khớp đúng rule xếp hạng đã BA xác nhận tại cuộc họp 2026-08-24 (rule 5: đếm số từ khoá match, xem QnA-54 đã Resolved) và nhất quán với 2 test case mới SS-SCR-005-SC11-TC1 (kết quả tìm kiếm) và INT-01-SC3-TC1 (Ranking Engine).</t>
        </is>
      </c>
      <c r="K30" s="19" t="inlineStr">
        <is>
          <t>High</t>
        </is>
      </c>
      <c r="L30" s="10" t="n"/>
      <c r="M30" s="10" t="inlineStr">
        <is>
          <t>Not Run</t>
        </is>
      </c>
      <c r="N30" s="10" t="n"/>
      <c r="O30" s="10" t="n"/>
      <c r="P30" s="19" t="inlineStr">
        <is>
          <t>QnA-54</t>
        </is>
      </c>
      <c r="Q30" s="19" t="inlineStr">
        <is>
          <t>Đã rà soát và sửa lại theo QnA-54 (Resolved, BA meeting 2026-08-24, rule 5: đếm số từ khoá match trong tên sản phẩm là tiêu chí xếp hạng chính thức, không phải search volume lịch sử). TC trước đây viết theo diễn giải của Storyboard (đã bị bác bỏ) — xem thêm SS-SCR-005-SC11-TC1, INT-01-SC3-TC1.</t>
        </is>
      </c>
    </row>
    <row r="31" ht="51" customHeight="1">
      <c r="A31" s="9" t="inlineStr">
        <is>
          <t>SS-SCR-002-SC1-TC4</t>
        </is>
      </c>
      <c r="B31" s="9" t="inlineStr">
        <is>
          <t>SS-SCR-002-SC1</t>
        </is>
      </c>
      <c r="C31" s="9" t="inlineStr">
        <is>
          <t>SS-SCR-002</t>
        </is>
      </c>
      <c r="D31" s="9" t="inlineStr">
        <is>
          <t>FR-SP-01, FR-GD-02</t>
        </is>
      </c>
      <c r="E31" s="9" t="inlineStr">
        <is>
          <t>Typo</t>
        </is>
      </c>
      <c r="F31" s="9" t="inlineStr">
        <is>
          <t>Autocomplete tự động tìm mờ (fuzzy, sai số tối đa 1 ký tự) khi gõ sai hoặc thiếu ký tự</t>
        </is>
      </c>
      <c r="G31" s="9" t="inlineStr">
        <is>
          <t>Search Bar đang focus, Autocomplete Screen đang mở.</t>
        </is>
      </c>
      <c r="H31" s="9" t="inlineStr">
        <is>
          <t>1. Gõ "vinamild" (sai 1 ký tự cuối so với "vinamilk").
2. Quan sát danh sách gợi ý có xuất hiện các từ khoá/thương hiệu liên quan tới "vinamilk" không.
3. Xoá, gõ "chocopi" (thiếu 1 ký tự so với "chocopie").
4. Quan sát danh sách gợi ý có xuất hiện các từ khoá liên quan tới "chocopie" không.</t>
        </is>
      </c>
      <c r="I31" s="9" t="inlineStr">
        <is>
          <t>"vinamild" (sai 1 ký tự) / "chocopi" (thiếu 1 ký tự)</t>
        </is>
      </c>
      <c r="J31" s="9" t="inlineStr">
        <is>
          <t>Cả 2 trường hợp đều trả về gợi ý liên quan đúng ("vinamilk", "chocopie", ...) dù chuỗi gõ có 1 lỗi sai/thiếu ký tự — hệ thống áp dụng fuzzy-match ngay trong Autocomplete (sai số tối đa Levenshtein = 1 ký tự) theo FR-SP-01, không cần đợi tới bước Auto-Correct Banner (SS-SCR-003) sau khi submit tìm kiếm.</t>
        </is>
      </c>
      <c r="K31" s="9" t="inlineStr">
        <is>
          <t>High</t>
        </is>
      </c>
      <c r="L31" s="10" t="n"/>
      <c r="M31" s="10" t="inlineStr">
        <is>
          <t>Not Run</t>
        </is>
      </c>
      <c r="N31" s="10" t="n"/>
      <c r="O31" s="10" t="n"/>
      <c r="P31" s="9" t="n"/>
      <c r="Q31" s="9" t="n"/>
    </row>
    <row r="32" ht="38.25" customHeight="1">
      <c r="A32" s="9" t="inlineStr">
        <is>
          <t>SS-SCR-002-SC1-TC5</t>
        </is>
      </c>
      <c r="B32" s="9" t="inlineStr">
        <is>
          <t>SS-SCR-002-SC1</t>
        </is>
      </c>
      <c r="C32" s="9" t="inlineStr">
        <is>
          <t>SS-SCR-002</t>
        </is>
      </c>
      <c r="D32" s="9" t="inlineStr">
        <is>
          <t>FR-SP-01, FR-GD-02</t>
        </is>
      </c>
      <c r="E32" s="9" t="inlineStr">
        <is>
          <t>Functional</t>
        </is>
      </c>
      <c r="F32" s="9" t="inlineStr">
        <is>
          <t>Chạm nút Back trên header Autocomplete thoát về màn hình trước đó, không giữ nội dung đang gõ dở</t>
        </is>
      </c>
      <c r="G32" s="9" t="inlineStr">
        <is>
          <t>Đang ở Autocomplete Screen (đã mở từ Pre-search qua Search Bar), có nội dung đang gõ dở nhưng CHƯA submit tìm kiếm.</t>
        </is>
      </c>
      <c r="H32" s="9" t="inlineStr">
        <is>
          <t>1. Từ Pre-search, chạm Search Bar để mở Autocomplete.
2. Gõ dở 1 chuỗi bất kỳ, KHÔNG nhấn Enter và KHÔNG tap gợi ý nào (chưa search).
3. Chạm nút Back (mũi tên quay lại) trên header Autocomplete Screen.
4. Quan sát màn hình đích và trạng thái Search Bar sau khi back.</t>
        </is>
      </c>
      <c r="I32" s="9" t="inlineStr">
        <is>
          <t>Gõ dở "sữa tư" (chưa submit), chạm nút Back</t>
        </is>
      </c>
      <c r="J32" s="9" t="inlineStr">
        <is>
          <t>Chạm Back điều hướng đúng về màn hình trước đó (Pre-search), KHÔNG chạy tìm kiếm với nội dung đang gõ dở. Nội dung "sữa tư" bị huỷ bỏ (không được lưu vào Tìm kiếm gần đây vì chưa phải 1 lượt tìm kiếm thật sự); Search Bar trở về trạng thái rỗng/placeholder như trước khi mở Autocomplete.</t>
        </is>
      </c>
      <c r="K32" s="9" t="inlineStr">
        <is>
          <t>Medium</t>
        </is>
      </c>
      <c r="L32" s="10" t="n"/>
      <c r="M32" s="10" t="inlineStr">
        <is>
          <t>Not Run</t>
        </is>
      </c>
      <c r="N32" s="10" t="n"/>
      <c r="O32" s="10" t="n"/>
      <c r="P32" s="9" t="n"/>
      <c r="Q32" s="9" t="n"/>
    </row>
    <row r="33" ht="102" customHeight="1">
      <c r="A33" s="9" t="inlineStr">
        <is>
          <t>SS-SCR-002-SC2-TC1</t>
        </is>
      </c>
      <c r="B33" s="9" t="inlineStr">
        <is>
          <t>SS-SCR-002-SC2</t>
        </is>
      </c>
      <c r="C33" s="9" t="inlineStr">
        <is>
          <t>SS-SCR-002</t>
        </is>
      </c>
      <c r="D33" s="9" t="inlineStr">
        <is>
          <t>FR-SP-01, FR-GD-02</t>
        </is>
      </c>
      <c r="E33" s="9" t="inlineStr">
        <is>
          <t>Edge</t>
        </is>
      </c>
      <c r="F33" s="9" t="inlineStr">
        <is>
          <t>API rỗng → ẩn danh sách, không hiện trạng thái trống</t>
        </is>
      </c>
      <c r="G33" s="9" t="inlineStr">
        <is>
          <t>Catalogue đã index; API trả rỗng cho input này.</t>
        </is>
      </c>
      <c r="H33" s="9" t="inlineStr">
        <is>
          <t>1. Mở Autocomplete Screen.
2. Gõ một chuỗi mà API gợi ý chắc chắn trả về rỗng (VD: "x").
3. Chờ hết thời gian debounce.
4. Quan sát UI.</t>
        </is>
      </c>
      <c r="I33" s="9" t="inlineStr">
        <is>
          <t>"x"</t>
        </is>
      </c>
      <c r="J33" s="9" t="inlineStr">
        <is>
          <t>Không xuất hiện danh sách dropdown, không xuất hiện bất kỳ empty-state message nào; nội dung Pre-search (Tìm kiếm gần đây/Xu hướng/Thường mua) vẫn hiển thị nguyên vẹn phía dưới ô nhập — đúng FR-SP-01: "Nếu API không trả gợi ý nào → ẩn danh sách, giữ nguyên màn hình Pre-search bên dưới".</t>
        </is>
      </c>
      <c r="K33" s="9" t="inlineStr">
        <is>
          <t>High</t>
        </is>
      </c>
      <c r="L33" s="10" t="n"/>
      <c r="M33" s="10" t="inlineStr">
        <is>
          <t>Not Run</t>
        </is>
      </c>
      <c r="N33" s="10" t="n"/>
      <c r="O33" s="10" t="n"/>
      <c r="P33" s="9" t="n"/>
      <c r="Q33" s="9" t="n"/>
    </row>
    <row r="34" ht="114.75" customHeight="1">
      <c r="A34" s="9" t="inlineStr">
        <is>
          <t>SS-SCR-002-SC3-TC1</t>
        </is>
      </c>
      <c r="B34" s="9" t="inlineStr">
        <is>
          <t>SS-SCR-002-SC3</t>
        </is>
      </c>
      <c r="C34" s="9" t="inlineStr">
        <is>
          <t>SS-SCR-002</t>
        </is>
      </c>
      <c r="D34" s="9" t="inlineStr">
        <is>
          <t>FR-SP-01, FR-GD-02</t>
        </is>
      </c>
      <c r="E34" s="9" t="inlineStr">
        <is>
          <t>Functional</t>
        </is>
      </c>
      <c r="F34" s="9" t="inlineStr">
        <is>
          <t>Tap gợi ý dùng đúng từ khoá của dòng được chọn (không nhất thiết là dòng đầu)</t>
        </is>
      </c>
      <c r="G34" s="9" t="inlineStr">
        <is>
          <t>Danh sách gợi ý đang hiển thị.</t>
        </is>
      </c>
      <c r="H34" s="9" t="inlineStr">
        <is>
          <t>1. Gõ "sữa", đợi danh sách gợi ý hiện ra (≥3 dòng).
2. Tap vào dòng gợi ý thứ 3 (không phải dòng đầu).
3. Quan sát từ khoá được tìm.</t>
        </is>
      </c>
      <c r="I34" s="9" t="inlineStr">
        <is>
          <t>"sữa", tap dòng gợi ý #3</t>
        </is>
      </c>
      <c r="J34" s="9" t="inlineStr">
        <is>
          <t>Ô nhập được đổ đúng nội dung của dòng gợi ý #3 (không phải dòng #1); hệ thống chạy tìm kiếm theo đúng từ khoá đó.</t>
        </is>
      </c>
      <c r="K34" s="9" t="inlineStr">
        <is>
          <t>High</t>
        </is>
      </c>
      <c r="L34" s="10" t="n"/>
      <c r="M34" s="10" t="inlineStr">
        <is>
          <t>Not Run</t>
        </is>
      </c>
      <c r="N34" s="10" t="n"/>
      <c r="O34" s="10" t="n"/>
      <c r="P34" s="9" t="n"/>
      <c r="Q34" s="9" t="n"/>
    </row>
    <row r="35" ht="89.25" customHeight="1">
      <c r="A35" s="9" t="inlineStr">
        <is>
          <t>SS-SCR-002-SC3-TC2</t>
        </is>
      </c>
      <c r="B35" s="9" t="inlineStr">
        <is>
          <t>SS-SCR-002-SC3</t>
        </is>
      </c>
      <c r="C35" s="9" t="inlineStr">
        <is>
          <t>SS-SCR-002</t>
        </is>
      </c>
      <c r="D35" s="9" t="inlineStr">
        <is>
          <t>FR-SP-01, FR-GD-02</t>
        </is>
      </c>
      <c r="E35" s="9" t="inlineStr">
        <is>
          <t>Functional</t>
        </is>
      </c>
      <c r="F35" s="9" t="inlineStr">
        <is>
          <t>Nhấn Enter tìm đúng chuỗi đang gõ, bỏ qua gợi ý</t>
        </is>
      </c>
      <c r="G35" s="9" t="inlineStr">
        <is>
          <t>Danh sách gợi ý đang hiển thị.</t>
        </is>
      </c>
      <c r="H35" s="9" t="inlineStr">
        <is>
          <t>1. Gõ "sữa tươi ít béo" (một chuỗi không trùng khớp hoàn toàn với gợi ý #1 đang hiển thị).
2. Nhấn Enter trên bàn phím thay vì tap gợi ý.
3. Quan sát từ khoá được tìm.</t>
        </is>
      </c>
      <c r="I35" s="9" t="inlineStr">
        <is>
          <t>"sữa tươi ít béo"</t>
        </is>
      </c>
      <c r="J35" s="9" t="inlineStr">
        <is>
          <t>Hệ thống tìm đúng theo nguyên văn "sữa tươi ít béo" khách đã gõ, KHÔNG tự thay bằng gợi ý #1 đang hiển thị trên danh sách.</t>
        </is>
      </c>
      <c r="K35" s="9" t="inlineStr">
        <is>
          <t>High</t>
        </is>
      </c>
      <c r="L35" s="10" t="n"/>
      <c r="M35" s="10" t="inlineStr">
        <is>
          <t>Not Run</t>
        </is>
      </c>
      <c r="N35" s="10" t="n"/>
      <c r="O35" s="10" t="n"/>
      <c r="P35" s="9" t="n"/>
      <c r="Q35" s="9" t="n"/>
    </row>
    <row r="36" ht="38.25" customHeight="1">
      <c r="A36" s="9" t="inlineStr">
        <is>
          <t>SS-SCR-002-SC4-TC1</t>
        </is>
      </c>
      <c r="B36" s="9" t="inlineStr">
        <is>
          <t>SS-SCR-002-SC4</t>
        </is>
      </c>
      <c r="C36" s="9" t="inlineStr">
        <is>
          <t>SS-SCR-002</t>
        </is>
      </c>
      <c r="D36" s="9" t="inlineStr">
        <is>
          <t>FR-SP-01, FR-GD-02</t>
        </is>
      </c>
      <c r="E36" s="9" t="inlineStr">
        <is>
          <t>Boundary</t>
        </is>
      </c>
      <c r="F36" s="9" t="inlineStr">
        <is>
          <t>Xoá về rỗng quay lại đúng nội dung Pre-search, không sót gợi ý cũ</t>
        </is>
      </c>
      <c r="G36" s="9" t="inlineStr">
        <is>
          <t>Đang ở Autocomplete Screen với gợi ý hiển thị.</t>
        </is>
      </c>
      <c r="H36" s="9" t="inlineStr">
        <is>
          <t>1. Gõ "sữa", đợi gợi ý hiện ra.
2. Xoá từng ký tự (backspace) cho tới khi ô nhập rỗng hoàn toàn.
3. Quan sát màn hình ngay sau ký tự cuối cùng bị xoá.</t>
        </is>
      </c>
      <c r="I36" s="9" t="inlineStr">
        <is>
          <t>"sữa" → xoá dần → rỗng</t>
        </is>
      </c>
      <c r="J36" s="9" t="inlineStr">
        <is>
          <t>Khi ô nhập rỗng, màn hình hiển thị lại đúng nội dung Pre-search (Tìm kiếm gần đây/Xu hướng/Thường mua), không còn sót danh sách gợi ý của ký tự trước đó.</t>
        </is>
      </c>
      <c r="K36" s="9" t="inlineStr">
        <is>
          <t>Medium</t>
        </is>
      </c>
      <c r="L36" s="10" t="n"/>
      <c r="M36" s="10" t="inlineStr">
        <is>
          <t>Not Run</t>
        </is>
      </c>
      <c r="N36" s="10" t="n"/>
      <c r="O36" s="10" t="n"/>
      <c r="P36" s="9" t="n"/>
      <c r="Q36" s="9" t="n"/>
    </row>
    <row r="37" ht="51" customHeight="1">
      <c r="A37" s="9" t="inlineStr">
        <is>
          <t>SS-SCR-002-SC4-TC2</t>
        </is>
      </c>
      <c r="B37" s="9" t="inlineStr">
        <is>
          <t>SS-SCR-002-SC4</t>
        </is>
      </c>
      <c r="C37" s="9" t="inlineStr">
        <is>
          <t>SS-SCR-002</t>
        </is>
      </c>
      <c r="D37" s="9" t="inlineStr">
        <is>
          <t>FR-SP-01, FR-GD-02</t>
        </is>
      </c>
      <c r="E37" s="9" t="inlineStr">
        <is>
          <t>Boundary</t>
        </is>
      </c>
      <c r="F37" s="9" t="inlineStr">
        <is>
          <t>Chạm nút (X) xoá ngay lập tức toàn bộ nội dung, quay về đúng trạng thái Pre-search</t>
        </is>
      </c>
      <c r="G37" s="9" t="inlineStr">
        <is>
          <t>Đang ở Autocomplete Screen, ô nhập có sẵn nội dung và nút (X) đang hiển thị.</t>
        </is>
      </c>
      <c r="H37" s="9" t="inlineStr">
        <is>
          <t>1. Gõ "sữa tươi", đợi gợi ý hiện ra.
2. Chạm nút (X) ở cuối ô nhập (không xoá từng ký tự bằng bàn phím).
3. Quan sát ô nhập và màn hình ngay sau khi chạm (X).</t>
        </is>
      </c>
      <c r="I37" s="9" t="inlineStr">
        <is>
          <t>"sữa tươi", chạm nút (X)</t>
        </is>
      </c>
      <c r="J37" s="9" t="inlineStr">
        <is>
          <t>Nút (X) xoá NGAY LẬP TỨC toàn bộ nội dung ô nhập trong 1 lần chạm; màn hình quay lại đúng trạng thái Pre-search, giống hệt kết quả ở SS-SCR-002-SC4-TC1 khi xoá thủ công tới rỗng — không còn sót gợi ý cũ. Bàn phím vẫn hiển thị, ô nhập vẫn giữ focus.</t>
        </is>
      </c>
      <c r="K37" s="9" t="inlineStr">
        <is>
          <t>Medium</t>
        </is>
      </c>
      <c r="L37" s="10" t="n"/>
      <c r="M37" s="10" t="inlineStr">
        <is>
          <t>Not Run</t>
        </is>
      </c>
      <c r="N37" s="10" t="n"/>
      <c r="O37" s="10" t="n"/>
      <c r="P37" s="9" t="n"/>
      <c r="Q37" s="9" t="n"/>
    </row>
    <row r="38" ht="63.75" customHeight="1">
      <c r="A38" s="9" t="inlineStr">
        <is>
          <t>SS-SCR-002-SC5-TC1</t>
        </is>
      </c>
      <c r="B38" s="9" t="inlineStr">
        <is>
          <t>SS-SCR-002-SC5</t>
        </is>
      </c>
      <c r="C38" s="9" t="inlineStr">
        <is>
          <t>SS-SCR-002</t>
        </is>
      </c>
      <c r="D38" s="9" t="inlineStr">
        <is>
          <t>FR-SP-01, FR-GD-02</t>
        </is>
      </c>
      <c r="E38" s="9" t="inlineStr">
        <is>
          <t>Edge</t>
        </is>
      </c>
      <c r="F38" s="9" t="inlineStr">
        <is>
          <t>Nhập ký tự đặc biệt/emoji không làm crash hay lỗi UI</t>
        </is>
      </c>
      <c r="G38" s="9" t="inlineStr">
        <is>
          <t>Search Bar đang focus.</t>
        </is>
      </c>
      <c r="H38" s="9" t="inlineStr">
        <is>
          <t>1. Gõ chuỗi ký tự đặc biệt "@@@###!!!" vào ô tìm kiếm.
2. Quan sát UI.
3. Xoá và gõ emoji "😀🥛".
4. Quan sát UI.</t>
        </is>
      </c>
      <c r="I38" s="9" t="inlineStr">
        <is>
          <t>"@@@###!!!" / "😀🥛"</t>
        </is>
      </c>
      <c r="J38" s="9" t="inlineStr">
        <is>
          <t>Không crash app; danh sách gợi ý ẩn (theo đúng logic API-rỗng của FR-SP-01) hoặc hiển thị thông báo phù hợp; không có lỗi giao diện (UI vỡ layout).</t>
        </is>
      </c>
      <c r="K38" s="9" t="inlineStr">
        <is>
          <t>Medium</t>
        </is>
      </c>
      <c r="L38" s="10" t="n"/>
      <c r="M38" s="10" t="inlineStr">
        <is>
          <t>Not Run</t>
        </is>
      </c>
      <c r="N38" s="10" t="n"/>
      <c r="O38" s="10" t="n"/>
      <c r="P38" s="9" t="n"/>
      <c r="Q38" s="9" t="n"/>
    </row>
    <row r="39" ht="76.5" customHeight="1">
      <c r="A39" s="11" t="inlineStr">
        <is>
          <t>SS-SCR-002-SC5-TC2</t>
        </is>
      </c>
      <c r="B39" s="11" t="inlineStr">
        <is>
          <t>SS-SCR-002-SC5</t>
        </is>
      </c>
      <c r="C39" s="11" t="inlineStr">
        <is>
          <t>SS-SCR-002</t>
        </is>
      </c>
      <c r="D39" s="11" t="inlineStr">
        <is>
          <t>FR-SP-01, FR-GD-02</t>
        </is>
      </c>
      <c r="E39" s="11" t="inlineStr">
        <is>
          <t>Boundary</t>
        </is>
      </c>
      <c r="F39" s="11" t="inlineStr">
        <is>
          <t>Giới hạn độ dài chuỗi nhập tối đa — chưa được BRD quy định</t>
        </is>
      </c>
      <c r="G39" s="11" t="inlineStr">
        <is>
          <t>Search Bar đang focus.</t>
        </is>
      </c>
      <c r="H39" s="11" t="inlineStr">
        <is>
          <t>1. Gõ hoặc dán một chuỗi 200 ký tự vào ô tìm kiếm.
2. Quan sát ô nhập có chặn nhập tiếp, cắt bớt, hay chấp nhận toàn bộ.</t>
        </is>
      </c>
      <c r="I39" s="11" t="inlineStr">
        <is>
          <t>Chuỗi 200 ký tự</t>
        </is>
      </c>
      <c r="J39" s="11" t="inlineStr">
        <is>
          <t>TBD — BRD không quy định độ dài tối đa cho input tìm kiếm. Yêu cầu tối thiểu: ô nhập không vỡ layout, không crash khi nhận chuỗi dài. Không chấm Pass/Fail theo một con số cụ thể cho tới khi có quy định chính thức. Xem QnA-03.</t>
        </is>
      </c>
      <c r="K39" s="11" t="inlineStr">
        <is>
          <t>Low</t>
        </is>
      </c>
      <c r="L39" s="10" t="n"/>
      <c r="M39" s="10" t="inlineStr">
        <is>
          <t>N/A</t>
        </is>
      </c>
      <c r="N39" s="10" t="n"/>
      <c r="O39" s="10" t="n"/>
      <c r="P39" s="11" t="inlineStr">
        <is>
          <t>QnA-03</t>
        </is>
      </c>
      <c r="Q39" s="11" t="n"/>
    </row>
    <row r="40" ht="76.5" customHeight="1">
      <c r="A40" s="9" t="inlineStr">
        <is>
          <t>SS-SCR-002-SC6-TC1</t>
        </is>
      </c>
      <c r="B40" s="9" t="inlineStr">
        <is>
          <t>SS-SCR-002-SC6</t>
        </is>
      </c>
      <c r="C40" s="9" t="inlineStr">
        <is>
          <t>SS-SCR-002</t>
        </is>
      </c>
      <c r="D40" s="9" t="inlineStr">
        <is>
          <t>FR-SP-01, FR-GD-02</t>
        </is>
      </c>
      <c r="E40" s="9" t="inlineStr">
        <is>
          <t>Exception</t>
        </is>
      </c>
      <c r="F40" s="9" t="inlineStr">
        <is>
          <t>Lỗi mạng API gợi ý không chặn được luồng tìm kiếm chính</t>
        </is>
      </c>
      <c r="G40" s="9" t="inlineStr">
        <is>
          <t>Giả lập lỗi mạng cho endpoint autocomplete.</t>
        </is>
      </c>
      <c r="H40" s="9" t="inlineStr">
        <is>
          <t>1. Giả lập API autocomplete trả lỗi timeout.
2. Gõ "sữa" và chờ hết debounce.
3. Quan sát danh sách gợi ý.
4. Nhấn Enter trên bàn phím.</t>
        </is>
      </c>
      <c r="I40" s="9" t="inlineStr">
        <is>
          <t>"sữa" + API gợi ý lỗi timeout</t>
        </is>
      </c>
      <c r="J40" s="9" t="inlineStr">
        <is>
          <t>Bước 3: không có danh sách gợi ý nào hiển thị (không crash, không lỗi UI hiển thị lộ ra ngoài). Bước 4: nhấn Enter vẫn chạy được tìm kiếm chính bình thường theo "sữa", không phụ thuộc vào việc autocomplete có lỗi hay không.</t>
        </is>
      </c>
      <c r="K40" s="9" t="inlineStr">
        <is>
          <t>High</t>
        </is>
      </c>
      <c r="L40" s="10" t="n"/>
      <c r="M40" s="10" t="inlineStr">
        <is>
          <t>Not Run</t>
        </is>
      </c>
      <c r="N40" s="10" t="n"/>
      <c r="O40" s="10" t="n"/>
      <c r="P40" s="9" t="n"/>
      <c r="Q40" s="9" t="n"/>
    </row>
    <row r="41" ht="38.25" customHeight="1">
      <c r="A41" s="9" t="inlineStr">
        <is>
          <t>SS-SCR-003-SC1-TC1</t>
        </is>
      </c>
      <c r="B41" s="9" t="inlineStr">
        <is>
          <t>SS-SCR-003-SC1</t>
        </is>
      </c>
      <c r="C41" s="9" t="inlineStr">
        <is>
          <t>SS-SCR-003</t>
        </is>
      </c>
      <c r="D41" s="9" t="inlineStr">
        <is>
          <t>FR-AC-01, FR-AC-03</t>
        </is>
      </c>
      <c r="E41" s="9" t="inlineStr">
        <is>
          <t>Typo</t>
        </is>
      </c>
      <c r="F41" s="9" t="inlineStr">
        <is>
          <t>Banner gợi ý sửa lỗi xuất hiện, không tự động ghi đè input</t>
        </is>
      </c>
      <c r="G41" s="9" t="inlineStr">
        <is>
          <t>Bộ so khớp mờ (fuzzy match) đang hoạt động.</t>
        </is>
      </c>
      <c r="H41" s="9" t="inlineStr">
        <is>
          <t>1. Mở Autocomplete Screen.
2. Gõ "sua toui".
3. Quan sát nội dung ô nhập và banner gợi ý.
4. Chạm vào liên kết từ khoá đã sửa ("sữa tươi").</t>
        </is>
      </c>
      <c r="I41" s="9" t="inlineStr">
        <is>
          <t>"sua toui"</t>
        </is>
      </c>
      <c r="J41" s="9" t="inlineStr">
        <is>
          <t>Bước 3: ô nhập vẫn hiển thị nguyên văn "sua toui"; banner xuất hiện với đề xuất "sữa tươi". Bước 4: hệ thống chạy tìm kiếm theo "sữa tươi" và chuyển sang trang kết quả (SS-SCR-005).</t>
        </is>
      </c>
      <c r="K41" s="9" t="inlineStr">
        <is>
          <t>High</t>
        </is>
      </c>
      <c r="L41" s="10" t="n"/>
      <c r="M41" s="10" t="inlineStr">
        <is>
          <t>Not Run</t>
        </is>
      </c>
      <c r="N41" s="10" t="n"/>
      <c r="O41" s="10" t="n"/>
      <c r="P41" s="9" t="n"/>
      <c r="Q41" s="9" t="n"/>
    </row>
    <row r="42" ht="51" customHeight="1">
      <c r="A42" s="9" t="inlineStr">
        <is>
          <t>SS-SCR-003-SC1-TC2</t>
        </is>
      </c>
      <c r="B42" s="9" t="inlineStr">
        <is>
          <t>SS-SCR-003-SC1</t>
        </is>
      </c>
      <c r="C42" s="9" t="inlineStr">
        <is>
          <t>SS-SCR-003</t>
        </is>
      </c>
      <c r="D42" s="9" t="inlineStr">
        <is>
          <t>FR-AC-01, FR-AC-03</t>
        </is>
      </c>
      <c r="E42" s="9" t="inlineStr">
        <is>
          <t>Negative</t>
        </is>
      </c>
      <c r="F42" s="9" t="inlineStr">
        <is>
          <t>Đóng banner bằng nút "X" — hệ thống không tự sửa</t>
        </is>
      </c>
      <c r="G42" s="9" t="inlineStr">
        <is>
          <t>Bộ so khớp mờ (fuzzy match) đang hoạt động.</t>
        </is>
      </c>
      <c r="H42" s="9" t="inlineStr">
        <is>
          <t>1. Gõ "sua toui", chờ banner xuất hiện.
2. Chạm nút "X" trên banner.
3. Quan sát UI và tiếp tục gõ thêm ký tự.</t>
        </is>
      </c>
      <c r="I42" s="9" t="inlineStr">
        <is>
          <t>"sua toui" + tap X</t>
        </is>
      </c>
      <c r="J42" s="9" t="inlineStr">
        <is>
          <t>Banner đóng lại ngay; input field vẫn giữ nguyên chuỗi gốc "sua toui" do khách tự nhập; không có việc tự động chuyển hướng hay ghi đè.</t>
        </is>
      </c>
      <c r="K42" s="9" t="inlineStr">
        <is>
          <t>Medium</t>
        </is>
      </c>
      <c r="L42" s="10" t="n"/>
      <c r="M42" s="10" t="inlineStr">
        <is>
          <t>Not Run</t>
        </is>
      </c>
      <c r="N42" s="10" t="n"/>
      <c r="O42" s="10" t="n"/>
      <c r="P42" s="9" t="n"/>
      <c r="Q42" s="9" t="n"/>
    </row>
    <row r="43" ht="51" customHeight="1">
      <c r="A43" s="9" t="inlineStr">
        <is>
          <t>SS-SCR-003-SC1-TC3</t>
        </is>
      </c>
      <c r="B43" s="9" t="inlineStr">
        <is>
          <t>SS-SCR-003-SC1</t>
        </is>
      </c>
      <c r="C43" s="9" t="inlineStr">
        <is>
          <t>SS-SCR-003</t>
        </is>
      </c>
      <c r="D43" s="9" t="inlineStr">
        <is>
          <t>FR-AC-01, FR-AC-03</t>
        </is>
      </c>
      <c r="E43" s="9" t="inlineStr">
        <is>
          <t>Edge</t>
        </is>
      </c>
      <c r="F43" s="9" t="inlineStr">
        <is>
          <t>Đóng banner bằng "X" rồi gõ nối thêm ký tự — banner không hiện lại (tôn trọng lựa chọn của khách)</t>
        </is>
      </c>
      <c r="G43" s="9" t="inlineStr">
        <is>
          <t>Banner gợi ý đang hiển thị cho "sua toui" (đề xuất "sữa tươi").</t>
        </is>
      </c>
      <c r="H43" s="9" t="inlineStr">
        <is>
          <t>1. Gõ "sua toui", chờ banner xuất hiện.
2. Chạm nút "X" đóng banner.
3. Gõ nối thêm ký tự vào cụm đã lưu, ví dụ thành "sua toui tuoi" (không xoá gì, chỉ gõ thêm).
4. Quan sát banner có hiện lại không.
5. Xoá lùi (backspace) một vài ký tự cho tới khi phá vỡ cụm từ gốc đã lưu (VD xoá về "sua to").
6. Quan sát banner sau bước 5.</t>
        </is>
      </c>
      <c r="I43" s="9" t="inlineStr">
        <is>
          <t>"sua toui" → X → "sua toui tuoi" → backspace về "sua to"</t>
        </is>
      </c>
      <c r="J43" s="9" t="inlineStr">
        <is>
          <t>Bước 4: banner KHÔNG hiện lại dù chuỗi vẫn còn chứa nguyên "sua toui" đã bị đóng trước đó — hệ thống tôn trọng lựa chọn đóng banner của khách khi khách chỉ gõ nối thêm. Bước 6: sau khi xoá lùi phá vỡ cụm từ đã lưu, quy tắc "đã đóng" được reset — nếu chuỗi còn lại vẫn fuzzy-match được, banner có quyền hiện lại bình thường.</t>
        </is>
      </c>
      <c r="K43" s="9" t="inlineStr">
        <is>
          <t>High</t>
        </is>
      </c>
      <c r="L43" s="10" t="n"/>
      <c r="M43" s="10" t="inlineStr">
        <is>
          <t>Not Run</t>
        </is>
      </c>
      <c r="N43" s="10" t="n"/>
      <c r="O43" s="10" t="n"/>
      <c r="P43" s="9" t="n"/>
      <c r="Q43" s="9" t="n"/>
    </row>
    <row r="44" ht="63.75" customHeight="1">
      <c r="A44" s="9" t="inlineStr">
        <is>
          <t>SS-SCR-003-SC1-TC4</t>
        </is>
      </c>
      <c r="B44" s="9" t="inlineStr">
        <is>
          <t>SS-SCR-003-SC1</t>
        </is>
      </c>
      <c r="C44" s="9" t="inlineStr">
        <is>
          <t>SS-SCR-003</t>
        </is>
      </c>
      <c r="D44" s="9" t="inlineStr">
        <is>
          <t>FR-AC-01, FR-AC-03</t>
        </is>
      </c>
      <c r="E44" s="9" t="inlineStr">
        <is>
          <t>Functional</t>
        </is>
      </c>
      <c r="F44" s="9" t="inlineStr">
        <is>
          <t>Từ khoá gợi ý trên banner đảm bảo trả về ≥1 SKU đang Active</t>
        </is>
      </c>
      <c r="G44" s="9" t="inlineStr">
        <is>
          <t>Bộ so khớp mờ đang hoạt động; catalogue có SKU active khớp từ khoá đã sửa.</t>
        </is>
      </c>
      <c r="H44" s="9" t="inlineStr">
        <is>
          <t>1. Gõ "sua toui", chờ banner xuất hiện đề xuất "sữa tươi".
2. Chạm vào liên kết từ khoá đã sửa trên banner.
3. Quan sát trang kết quả trả về.
4. Kiểm tra số lượng sản phẩm trạng thái Active trong kết quả.</t>
        </is>
      </c>
      <c r="I44" s="9" t="inlineStr">
        <is>
          <t>"sua toui" → tap "sữa tươi"</t>
        </is>
      </c>
      <c r="J44" s="9" t="inlineStr">
        <is>
          <t>Trang kết quả trả về ≥1 sản phẩm đang ở trạng thái Active (còn bán) cho đúng từ khoá đã sửa; hệ thống không được đề xuất một từ khoá "chính xác hơn" nhưng lại dẫn tới Zero Result hoặc toàn bộ SKU Inactive — banner chỉ được gợi ý các cụm từ đã xác thực có ≥1 SKU Active trong catalogue.</t>
        </is>
      </c>
      <c r="K44" s="9" t="inlineStr">
        <is>
          <t>High</t>
        </is>
      </c>
      <c r="L44" s="10" t="n"/>
      <c r="M44" s="10" t="inlineStr">
        <is>
          <t>Not Run</t>
        </is>
      </c>
      <c r="N44" s="10" t="n"/>
      <c r="O44" s="10" t="n"/>
      <c r="P44" s="9" t="n"/>
      <c r="Q44" s="9" t="n"/>
    </row>
    <row r="45" ht="89.25" customHeight="1">
      <c r="A45" s="9" t="inlineStr">
        <is>
          <t>SS-SCR-003-SC2-TC1</t>
        </is>
      </c>
      <c r="B45" s="9" t="inlineStr">
        <is>
          <t>SS-SCR-003-SC2</t>
        </is>
      </c>
      <c r="C45" s="9" t="inlineStr">
        <is>
          <t>SS-SCR-003</t>
        </is>
      </c>
      <c r="D45" s="9" t="inlineStr">
        <is>
          <t>FR-AC-01, FR-AC-03</t>
        </is>
      </c>
      <c r="E45" s="9" t="inlineStr">
        <is>
          <t>Exception</t>
        </is>
      </c>
      <c r="F45" s="9" t="inlineStr">
        <is>
          <t>Không hiện banner khi từ khoá đã là brand/từ điển hợp lệ</t>
        </is>
      </c>
      <c r="G45" s="9" t="inlineStr">
        <is>
          <t>"Milo" tồn tại như brand/catalog term hợp lệ.</t>
        </is>
      </c>
      <c r="H45" s="9" t="inlineStr">
        <is>
          <t>1. Mở Autocomplete Screen.
2. Gõ "Milo".
3. Quan sát UI có banner gợi ý sửa lỗi hay không.</t>
        </is>
      </c>
      <c r="I45" s="9" t="inlineStr">
        <is>
          <t>"Milo"</t>
        </is>
      </c>
      <c r="J45" s="9" t="inlineStr">
        <is>
          <t>Không có banner gợi ý sửa lỗi nào xuất hiện — đúng FR-AC-03: "Hệ thống sẽ ẩn Banner gợi ý sửa lỗi nếu truy vấn đã là một thuật ngữ sản phẩm, tên thương hiệu hoặc từ điển hợp lệ".</t>
        </is>
      </c>
      <c r="K45" s="9" t="inlineStr">
        <is>
          <t>Medium</t>
        </is>
      </c>
      <c r="L45" s="10" t="n"/>
      <c r="M45" s="10" t="inlineStr">
        <is>
          <t>Not Run</t>
        </is>
      </c>
      <c r="N45" s="10" t="n"/>
      <c r="O45" s="10" t="n"/>
      <c r="P45" s="9" t="n"/>
      <c r="Q45" s="9" t="n"/>
    </row>
    <row r="46" ht="63.75" customHeight="1">
      <c r="A46" s="9" t="inlineStr">
        <is>
          <t>SS-SCR-003-SC3-TC1</t>
        </is>
      </c>
      <c r="B46" s="9" t="inlineStr">
        <is>
          <t>SS-SCR-003-SC3</t>
        </is>
      </c>
      <c r="C46" s="9" t="inlineStr">
        <is>
          <t>SS-SCR-003</t>
        </is>
      </c>
      <c r="D46" s="9" t="inlineStr">
        <is>
          <t>FR-AC-01, FR-AC-03</t>
        </is>
      </c>
      <c r="E46" s="9" t="inlineStr">
        <is>
          <t>Edge</t>
        </is>
      </c>
      <c r="F46" s="9" t="inlineStr">
        <is>
          <t>Banner cập nhật theo input mới khi khách tiếp tục gõ</t>
        </is>
      </c>
      <c r="G46" s="9" t="inlineStr">
        <is>
          <t>Banner gợi ý sửa lỗi đang hiển thị cho "sua toui".</t>
        </is>
      </c>
      <c r="H46" s="9" t="inlineStr">
        <is>
          <t>1. Gõ "sua toui", đợi banner "sữa tươi" xuất hiện.
2. Gõ tiếp thành "sua tuoi khong duong" mà không tap banner.
3. Quan sát nội dung banner sau khi gõ thêm.</t>
        </is>
      </c>
      <c r="I46" s="9" t="inlineStr">
        <is>
          <t>"sua toui" → "sua tuoi khong duong"</t>
        </is>
      </c>
      <c r="J46" s="9" t="inlineStr">
        <is>
          <t>Banner cập nhật gợi ý mới phù hợp với toàn bộ chuỗi hiện tại (VD: "sữa tươi không đường"), không còn hiển thị gợi ý cũ "sữa tươi" đơn thuần đã lỗi thời.</t>
        </is>
      </c>
      <c r="K46" s="9" t="inlineStr">
        <is>
          <t>Medium</t>
        </is>
      </c>
      <c r="L46" s="10" t="n"/>
      <c r="M46" s="10" t="inlineStr">
        <is>
          <t>Not Run</t>
        </is>
      </c>
      <c r="N46" s="10" t="n"/>
      <c r="O46" s="10" t="n"/>
      <c r="P46" s="9" t="n"/>
      <c r="Q46" s="9" t="n"/>
    </row>
    <row r="47" ht="63.75" customHeight="1">
      <c r="A47" s="9" t="inlineStr">
        <is>
          <t>SS-SCR-003-SC4-TC1</t>
        </is>
      </c>
      <c r="B47" s="9" t="inlineStr">
        <is>
          <t>SS-SCR-003-SC4</t>
        </is>
      </c>
      <c r="C47" s="9" t="inlineStr">
        <is>
          <t>SS-SCR-003</t>
        </is>
      </c>
      <c r="D47" s="9" t="inlineStr">
        <is>
          <t>FR-AC-01, FR-AC-03</t>
        </is>
      </c>
      <c r="E47" s="9" t="inlineStr">
        <is>
          <t>Multilingual</t>
        </is>
      </c>
      <c r="F47" s="9" t="inlineStr">
        <is>
          <t>Phát hiện lỗi chính tả cho từ khoá tiếng Anh khi UI tiếng Việt</t>
        </is>
      </c>
      <c r="G47" s="9" t="inlineStr">
        <is>
          <t>UI language = VI; "milkk" là lỗi gõ thừa 1 ký tự của "milk".</t>
        </is>
      </c>
      <c r="H47" s="9" t="inlineStr">
        <is>
          <t>1. Đặt UI language = VI.
2. Gõ "milkk" (thừa 1 chữ k).
3. Quan sát banner gợi ý.</t>
        </is>
      </c>
      <c r="I47" s="9" t="inlineStr">
        <is>
          <t>"milkk" (UI=VI)</t>
        </is>
      </c>
      <c r="J47" s="9" t="inlineStr">
        <is>
          <t>Banner gợi ý đúng "milk", không bị bỏ qua chỉ vì input là tiếng Anh trong khi UI đang là tiếng Việt.</t>
        </is>
      </c>
      <c r="K47" s="9" t="inlineStr">
        <is>
          <t>Medium</t>
        </is>
      </c>
      <c r="L47" s="10" t="n"/>
      <c r="M47" s="10" t="inlineStr">
        <is>
          <t>Not Run</t>
        </is>
      </c>
      <c r="N47" s="10" t="n"/>
      <c r="O47" s="10" t="n"/>
      <c r="P47" s="9" t="n"/>
      <c r="Q47" s="9" t="n"/>
    </row>
    <row r="48" ht="51" customHeight="1">
      <c r="A48" s="18" t="inlineStr">
        <is>
          <t>SS-SCR-003-SC4-TC2</t>
        </is>
      </c>
      <c r="B48" s="18" t="inlineStr">
        <is>
          <t>SS-SCR-003-SC4</t>
        </is>
      </c>
      <c r="C48" s="18" t="inlineStr">
        <is>
          <t>SS-SCR-003</t>
        </is>
      </c>
      <c r="D48" s="18" t="inlineStr">
        <is>
          <t>FR-AC-01, FR-AC-03</t>
        </is>
      </c>
      <c r="E48" s="18" t="inlineStr">
        <is>
          <t>Multilingual</t>
        </is>
      </c>
      <c r="F48" s="18" t="inlineStr">
        <is>
          <t>Gợi ý song ngữ khi gõ từ tiếng Anh/Nga lúc UI=VI — TBD hành vi</t>
        </is>
      </c>
      <c r="G48" s="18" t="inlineStr">
        <is>
          <t>UI language = VI; "moloko" (tiếng Nga, nghĩa "sữa") hoặc "milk" (tiếng Anh) được gõ vào ô tìm kiếm.</t>
        </is>
      </c>
      <c r="H48" s="18" t="inlineStr">
        <is>
          <t>1. Đặt UI language = VI.
2. Gõ "milk" (tiếng Anh, đúng chính tả).
3. Quan sát nội dung banner/gợi ý.
4. Lặp lại với từ tiếng Nga "moloko".</t>
        </is>
      </c>
      <c r="I48" s="18" t="inlineStr">
        <is>
          <t>"milk" / "moloko" (UI=VI)</t>
        </is>
      </c>
      <c r="J48" s="18" t="inlineStr">
        <is>
          <t>ĐÃ XÁC NHẬN (QnA-31 - Out of scope v1): gợi ý SONG NGỮ đồng thời KHÔNG đưa vào v1, dời phase sau. Hành vi v1: banner CHỈ hiển thị gợi ý theo đúng NGÔN NGỮ ĐANG NHẬP (tiếng Anh/Nga). Pass = banner gợi ý đúng theo ngôn ngữ nhập, KHÔNG hiển thị thêm gợi ý tiếng Việt song song; hệ thống vẫn trả kết quả liên quan tới 'sữa'.</t>
        </is>
      </c>
      <c r="K48" s="18" t="inlineStr">
        <is>
          <t>Medium</t>
        </is>
      </c>
      <c r="L48" s="10" t="n"/>
      <c r="M48" s="10" t="inlineStr">
        <is>
          <t>N/A</t>
        </is>
      </c>
      <c r="N48" s="10" t="n"/>
      <c r="O48" s="10" t="n"/>
      <c r="P48" s="18" t="inlineStr">
        <is>
          <t>QnA-31</t>
        </is>
      </c>
      <c r="Q48" s="18" t="inlineStr">
        <is>
          <t>RESOLVED QnA-31 (BA 27/08/2026): gợi ý song ngữ = Out of scope v1; v1 ưu tiên hiển thị theo ngôn ngữ đang nhập.</t>
        </is>
      </c>
    </row>
    <row r="49" ht="63.75" customHeight="1">
      <c r="A49" s="18" t="inlineStr">
        <is>
          <t>SS-SCR-003-SC4-TC3</t>
        </is>
      </c>
      <c r="B49" s="18" t="inlineStr">
        <is>
          <t>SS-SCR-003-SC4</t>
        </is>
      </c>
      <c r="C49" s="18" t="inlineStr">
        <is>
          <t>SS-SCR-003</t>
        </is>
      </c>
      <c r="D49" s="18" t="inlineStr">
        <is>
          <t>FR-AC-01, FR-AC-03</t>
        </is>
      </c>
      <c r="E49" s="18" t="inlineStr">
        <is>
          <t>Multilingual</t>
        </is>
      </c>
      <c r="F49" s="18" t="inlineStr">
        <is>
          <t>Sai chính tả từ tiếng Việt không dấu — gợi ý kèm từ đồng nghĩa/liên quan tương đương</t>
        </is>
      </c>
      <c r="G49" s="18" t="inlineStr">
        <is>
          <t>UI language = VI; "sua tuoiii" là lỗi gõ thừa ký tự của "sua tuoi" (không dấu của "sữa tươi").</t>
        </is>
      </c>
      <c r="H49" s="18" t="inlineStr">
        <is>
          <t>1. Đặt UI language = VI.
2. Gõ "sua tuoiii" (không dấu, sai chính tả).
3. Quan sát banner gợi ý.
4. Kiểm tra banner có gợi ý thêm từ đồng nghĩa/từ liên quan nghĩa tương đương (VD "fresh milk", "sữa nước") ngoài từ đã sửa lỗi chính tả trực tiếp hay không.</t>
        </is>
      </c>
      <c r="I49" s="18" t="inlineStr">
        <is>
          <t>"sua tuoiii"</t>
        </is>
      </c>
      <c r="J49" s="18" t="inlineStr">
        <is>
          <t>ĐÃ XÁC NHẬN (QnA-31 - Out of scope v1): banner phải gợi ý đúng "sữa tươi" (sửa lỗi chính tả + chuẩn hoá không dấu theo FR-SM-06). Việc kèm thêm gợi ý mở rộng đồng nghĩa/từ liên quan NGAY TRÊN BANNER = Out of scope v1 (hệ thống vẫn tự mở rộng đồng nghĩa NGẦM khi tính kết quả theo FR-SM-04). Pass = banner gợi ý 'sữa tươi' đã chuẩn hoá; không yêu cầu banner tự liệt kê từ đồng nghĩa.</t>
        </is>
      </c>
      <c r="K49" s="18" t="inlineStr">
        <is>
          <t>Medium</t>
        </is>
      </c>
      <c r="L49" s="10" t="n"/>
      <c r="M49" s="10" t="inlineStr">
        <is>
          <t>N/A</t>
        </is>
      </c>
      <c r="N49" s="10" t="n"/>
      <c r="O49" s="10" t="n"/>
      <c r="P49" s="18" t="inlineStr">
        <is>
          <t>QnA-31</t>
        </is>
      </c>
      <c r="Q49" s="18" t="inlineStr">
        <is>
          <t>RESOLVED QnA-31 (BA 27/08/2026): xem QnA-31.</t>
        </is>
      </c>
    </row>
    <row r="50" ht="63.75" customHeight="1">
      <c r="A50" s="11" t="inlineStr">
        <is>
          <t>SS-SCR-004-SC1-TC1</t>
        </is>
      </c>
      <c r="B50" s="11" t="inlineStr">
        <is>
          <t>SS-SCR-004-SC1</t>
        </is>
      </c>
      <c r="C50" s="11" t="inlineStr">
        <is>
          <t>SS-SCR-004</t>
        </is>
      </c>
      <c r="D50" s="11" t="inlineStr">
        <is>
          <t>FR-GD-01, FR-GD-03 (loading UI — NFR ID chưa xác nhận, xem QnA-08)</t>
        </is>
      </c>
      <c r="E50" s="11" t="inlineStr">
        <is>
          <t>Performance</t>
        </is>
      </c>
      <c r="F50" s="11" t="inlineStr">
        <is>
          <t>Ngưỡng hiển thị Loading UI (&gt;300ms) và fallback lỗi mạng (&gt;5s)</t>
        </is>
      </c>
      <c r="G50" s="11" t="inlineStr">
        <is>
          <t>Thiết bị test có khả năng giả lập độ trễ mạng.</t>
        </is>
      </c>
      <c r="H50" s="11" t="inlineStr">
        <is>
          <t>1. Giả lập độ trễ backend = 200ms, thực hiện tìm kiếm văn bản, quan sát có/không hiện Loading Screen.
2. Giả lập độ trễ = 1.5s, lặp lại, quan sát Loading Screen (ripple 3 lớp + "Đang tìm kiếm cho bạn..." + chip từ khoá).
3. Giả lập độ trễ = 6s, lặp lại, quan sát UI sau ngưỡng 5s.</t>
        </is>
      </c>
      <c r="I50" s="11" t="inlineStr">
        <is>
          <t>Độ trễ mạng giả lập: 200ms / 1.5s / 6s</t>
        </is>
      </c>
      <c r="J50" s="11" t="inlineStr">
        <is>
          <t>200ms: Loading Screen KHÔNG xuất hiện (chuyển thẳng sang kết quả). 1.5s: Loading Screen xuất hiện đúng với ripple + message + chip từ khoá đang xử lý. 6s: sau mốc 5s, UI chuyển sang thông báo lỗi mạng + nút "Thử lại", không đứng yên ở Loading vô thời hạn.</t>
        </is>
      </c>
      <c r="K50" s="11" t="inlineStr">
        <is>
          <t>High</t>
        </is>
      </c>
      <c r="L50" s="10" t="n"/>
      <c r="M50" s="10" t="inlineStr">
        <is>
          <t>N/A</t>
        </is>
      </c>
      <c r="N50" s="10" t="n"/>
      <c r="O50" s="10" t="n"/>
      <c r="P50" s="11" t="inlineStr">
        <is>
          <t>QnA-08</t>
        </is>
      </c>
      <c r="Q50" s="11" t="inlineStr">
        <is>
          <t>Ghi nhận: màn hình này được storyboard gắn REQ ID 'NFR-SS-01' — mã này không tồn tại trong BRD v0.0.3 (NFR-001..014). Cần BA xác nhận NFR chính thức áp dụng (khả năng là NFR-001/004/005). Xem QnA-08.</t>
        </is>
      </c>
    </row>
    <row r="51" ht="63.75" customHeight="1">
      <c r="A51" s="9" t="inlineStr">
        <is>
          <t>SS-SCR-004-SC1-TC2</t>
        </is>
      </c>
      <c r="B51" s="9" t="inlineStr">
        <is>
          <t>SS-SCR-004-SC1</t>
        </is>
      </c>
      <c r="C51" s="9" t="inlineStr">
        <is>
          <t>SS-SCR-004</t>
        </is>
      </c>
      <c r="D51" s="9" t="inlineStr">
        <is>
          <t>FR-GD-01, FR-GD-03 (loading UI — NFR ID chưa xác nhận, xem QnA-08)</t>
        </is>
      </c>
      <c r="E51" s="9" t="inlineStr">
        <is>
          <t>Integration</t>
        </is>
      </c>
      <c r="F51" s="9" t="inlineStr">
        <is>
          <t>Component Loading dùng chung cho cả Text/Image/Voice</t>
        </is>
      </c>
      <c r="G51" s="9" t="inlineStr">
        <is>
          <t>Thiết bị test có khả năng giả lập độ trễ mạng.</t>
        </is>
      </c>
      <c r="H51" s="9" t="inlineStr">
        <is>
          <t>1. Thực hiện tìm kiếm văn bản có độ trễ &gt;300ms, chụp ảnh màn hình Loading.
2. Thực hiện tìm kiếm hình ảnh (SS-SCR-013 → SS-SCR-004) với cùng độ trễ, chụp ảnh màn hình Loading.
3. Thực hiện tìm kiếm giọng nói (SS-SCR-017 → SS-SCR-004) với cùng độ trễ, chụp ảnh màn hình Loading.
4. So sánh 3 ảnh chụp.</t>
        </is>
      </c>
      <c r="I51" s="9" t="inlineStr">
        <is>
          <t>3 truy vấn cùng độ trễ mô phỏng ~1.5s</t>
        </is>
      </c>
      <c r="J51" s="9" t="inlineStr">
        <is>
          <t>Cả 3 luồng dùng chung một component Loading (ripple 3 lớp quanh icon kính lúp + message + waveform); chỉ khác nội dung chip từ khoá/kết quả nhận diện đang hiển thị.</t>
        </is>
      </c>
      <c r="K51" s="9" t="inlineStr">
        <is>
          <t>Low</t>
        </is>
      </c>
      <c r="L51" s="10" t="n"/>
      <c r="M51" s="10" t="inlineStr">
        <is>
          <t>Not Run</t>
        </is>
      </c>
      <c r="N51" s="10" t="n"/>
      <c r="O51" s="10" t="n"/>
      <c r="P51" s="9" t="n"/>
      <c r="Q51" s="9" t="n"/>
    </row>
    <row r="52" ht="63.75" customHeight="1">
      <c r="A52" s="9" t="inlineStr">
        <is>
          <t>SS-SCR-004-SC2-TC1</t>
        </is>
      </c>
      <c r="B52" s="9" t="inlineStr">
        <is>
          <t>SS-SCR-004-SC2</t>
        </is>
      </c>
      <c r="C52" s="9" t="inlineStr">
        <is>
          <t>SS-SCR-004</t>
        </is>
      </c>
      <c r="D52" s="9" t="inlineStr">
        <is>
          <t>FR-GD-01, FR-GD-03 (loading UI — NFR ID chưa xác nhận, xem QnA-08)</t>
        </is>
      </c>
      <c r="E52" s="9" t="inlineStr">
        <is>
          <t>Edge</t>
        </is>
      </c>
      <c r="F52" s="9" t="inlineStr">
        <is>
          <t>Nhấn Back khi đang Loading huỷ đúng request, không bị kẹt màn hình</t>
        </is>
      </c>
      <c r="G52" s="9" t="inlineStr">
        <is>
          <t>Đang ở Loading Screen (SS-SCR-004) chờ kết quả.</t>
        </is>
      </c>
      <c r="H52" s="9" t="inlineStr">
        <is>
          <t>1. Gõ 1 từ khoá và submit, quan sát chuyển sang Loading Screen.
2. Trong lúc đang Loading, nhấn nút Back (hệ thống hoặc trong app).
3. Quan sát màn hình sau khi Back.
4. Chờ thêm vài giây, kiểm tra kết quả tìm kiếm cũ có bất ngờ hiện ra không.</t>
        </is>
      </c>
      <c r="I52" s="9" t="inlineStr">
        <is>
          <t>1 từ khoá bất kỳ + Back giữa chừng</t>
        </is>
      </c>
      <c r="J52" s="9" t="inlineStr">
        <is>
          <t>Quay lại đúng màn hình trước Loading; không bị kẹt ở Loading; kết quả của request đã huỷ KHÔNG bất ngờ hiện ra sau đó (race condition).</t>
        </is>
      </c>
      <c r="K52" s="9" t="inlineStr">
        <is>
          <t>Medium</t>
        </is>
      </c>
      <c r="L52" s="10" t="n"/>
      <c r="M52" s="10" t="inlineStr">
        <is>
          <t>Not Run</t>
        </is>
      </c>
      <c r="N52" s="10" t="n"/>
      <c r="O52" s="10" t="n"/>
      <c r="P52" s="9" t="n"/>
      <c r="Q52" s="9" t="n"/>
    </row>
    <row r="53" ht="51" customHeight="1">
      <c r="A53" s="9" t="inlineStr">
        <is>
          <t>SS-SCR-004-SC3-TC1</t>
        </is>
      </c>
      <c r="B53" s="9" t="inlineStr">
        <is>
          <t>SS-SCR-004-SC3</t>
        </is>
      </c>
      <c r="C53" s="9" t="inlineStr">
        <is>
          <t>SS-SCR-004</t>
        </is>
      </c>
      <c r="D53" s="9" t="inlineStr">
        <is>
          <t>FR-GD-01, FR-GD-03 (loading UI — NFR ID chưa xác nhận, xem QnA-08)</t>
        </is>
      </c>
      <c r="E53" s="9" t="inlineStr">
        <is>
          <t>Boundary</t>
        </is>
      </c>
      <c r="F53" s="9" t="inlineStr">
        <is>
          <t>Chip từ khoá dài không làm vỡ layout Loading Screen</t>
        </is>
      </c>
      <c r="G53" s="9" t="inlineStr">
        <is>
          <t>Đang ở Loading Screen.</t>
        </is>
      </c>
      <c r="H53" s="9" t="inlineStr">
        <is>
          <t>1. Tìm kiếm 1 từ khoá rất dài (~60 ký tự).
2. Quan sát chip từ khoá hiển thị trên Loading Screen.</t>
        </is>
      </c>
      <c r="I53" s="9" t="inlineStr">
        <is>
          <t>Chuỗi 60 ký tự</t>
        </is>
      </c>
      <c r="J53" s="9" t="inlineStr">
        <is>
          <t>Chip hiển thị rút gọn (ellipsis "...") hợp lý, không tràn ra ngoài khung màn hình, không đẩy lệch các thành phần khác.</t>
        </is>
      </c>
      <c r="K53" s="9" t="inlineStr">
        <is>
          <t>Low</t>
        </is>
      </c>
      <c r="L53" s="10" t="n"/>
      <c r="M53" s="10" t="inlineStr">
        <is>
          <t>Not Run</t>
        </is>
      </c>
      <c r="N53" s="10" t="n"/>
      <c r="O53" s="10" t="n"/>
      <c r="P53" s="9" t="n"/>
      <c r="Q53" s="9" t="n"/>
    </row>
    <row r="54" ht="76.5" customHeight="1">
      <c r="A54" s="11" t="inlineStr">
        <is>
          <t>SS-SCR-005-SC1-TC1</t>
        </is>
      </c>
      <c r="B54" s="11" t="inlineStr">
        <is>
          <t>SS-SCR-005-SC1</t>
        </is>
      </c>
      <c r="C54" s="11" t="inlineStr">
        <is>
          <t>SS-SCR-005</t>
        </is>
      </c>
      <c r="D54" s="11" t="inlineStr">
        <is>
          <t>FR-PR-01, FR-PR-02, FR-PR-05, FR-PR-07, FR-SF-01</t>
        </is>
      </c>
      <c r="E54" s="11" t="inlineStr">
        <is>
          <t>Functional</t>
        </is>
      </c>
      <c r="F54" s="11" t="inlineStr">
        <is>
          <t>Sticky Sort/Filter bar khi cuộn trang kết quả</t>
        </is>
      </c>
      <c r="G54" s="11" t="inlineStr">
        <is>
          <t>Kết quả tìm kiếm đã trả về.</t>
        </is>
      </c>
      <c r="H54" s="11" t="inlineStr">
        <is>
          <t>1. Tìm kiếm "sữa", vào trang kết quả dạng lưới.
2. Cuộn xuống danh sách sản phẩm.
3. Quan sát thanh Sắp xếp &amp; Bộ lọc.</t>
        </is>
      </c>
      <c r="I54" s="11" t="inlineStr">
        <is>
          <t>"sữa"</t>
        </is>
      </c>
      <c r="J54" s="11" t="inlineStr">
        <is>
          <t>Thanh Sắp xếp &amp; Bộ lọc vẫn dính (sticky) ở đầu vùng nội dung dù đã cuộn xuống sâu; "Bộ lọc" mở SS-SCR-009, "Liên quan nhất" mở màn hình sắp xếp (xem QnA-11 về SS-SCR-007).</t>
        </is>
      </c>
      <c r="K54" s="11" t="inlineStr">
        <is>
          <t>Medium</t>
        </is>
      </c>
      <c r="L54" s="10" t="n"/>
      <c r="M54" s="10" t="inlineStr">
        <is>
          <t>N/A</t>
        </is>
      </c>
      <c r="N54" s="10" t="n"/>
      <c r="O54" s="10" t="n"/>
      <c r="P54" s="11" t="inlineStr">
        <is>
          <t>QnA-11</t>
        </is>
      </c>
      <c r="Q54" s="11" t="n"/>
    </row>
    <row r="55" ht="51" customHeight="1">
      <c r="A55" s="9" t="inlineStr">
        <is>
          <t>SS-SCR-005-SC1-TC2</t>
        </is>
      </c>
      <c r="B55" s="9" t="inlineStr">
        <is>
          <t>SS-SCR-005-SC1</t>
        </is>
      </c>
      <c r="C55" s="9" t="inlineStr">
        <is>
          <t>SS-SCR-005</t>
        </is>
      </c>
      <c r="D55" s="9" t="inlineStr">
        <is>
          <t>FR-PR-01, FR-PR-02, FR-PR-05, FR-PR-07, FR-SF-01</t>
        </is>
      </c>
      <c r="E55" s="9" t="inlineStr">
        <is>
          <t>Boundary</t>
        </is>
      </c>
      <c r="F55" s="9" t="inlineStr">
        <is>
          <t>Toggle chế độ xem Lưới ⇄ Danh sách lưu trạng thái theo phiên</t>
        </is>
      </c>
      <c r="G55" s="9" t="inlineStr">
        <is>
          <t>Kết quả tìm kiếm đã trả về.</t>
        </is>
      </c>
      <c r="H55" s="9" t="inlineStr">
        <is>
          <t>1. Ở trang kết quả (mặc định Grid), chạm toggle chuyển sang List (SS-SCR-006).
2. Thoát khỏi trang kết quả, tìm kiếm một từ khoá khác.
3. Vào lại trang kết quả mới.</t>
        </is>
      </c>
      <c r="I55" s="9" t="inlineStr">
        <is>
          <t>Đổi 1 lần Grid → List</t>
        </is>
      </c>
      <c r="J55" s="9" t="inlineStr">
        <is>
          <t>Trang kết quả của từ khoá mới hiển thị đúng ở chế độ List (chế độ được nhớ theo lựa chọn gần nhất của người dùng, lưu ở Local Storage) — đúng FR-PR-07.</t>
        </is>
      </c>
      <c r="K55" s="9" t="inlineStr">
        <is>
          <t>Medium</t>
        </is>
      </c>
      <c r="L55" s="10" t="n"/>
      <c r="M55" s="10" t="inlineStr">
        <is>
          <t>Not Run</t>
        </is>
      </c>
      <c r="N55" s="10" t="n"/>
      <c r="O55" s="10" t="n"/>
      <c r="P55" s="9" t="n"/>
      <c r="Q55" s="9" t="n"/>
    </row>
    <row r="56" ht="127.5" customHeight="1">
      <c r="A56" s="18" t="inlineStr">
        <is>
          <t>SS-SCR-005-SC1-TC3</t>
        </is>
      </c>
      <c r="B56" s="18" t="inlineStr">
        <is>
          <t>SS-SCR-005-SC1</t>
        </is>
      </c>
      <c r="C56" s="18" t="inlineStr">
        <is>
          <t>SS-SCR-005</t>
        </is>
      </c>
      <c r="D56" s="18" t="inlineStr">
        <is>
          <t>FR-PR-01, FR-PR-02, FR-PR-05, FR-PR-07, FR-SF-01</t>
        </is>
      </c>
      <c r="E56" s="18" t="inlineStr">
        <is>
          <t>Boundary</t>
        </is>
      </c>
      <c r="F56" s="18" t="inlineStr">
        <is>
          <t>Chế độ xem (Grid/List) khi Thành viên đăng nhập lần đầu trên thiết bị khác — TBD đồng bộ</t>
        </is>
      </c>
      <c r="G56" s="18" t="inlineStr">
        <is>
          <t>Thành viên đã từng chọn chế độ List trên Thiết bị A (đã lưu Local Storage của A).</t>
        </is>
      </c>
      <c r="H56" s="18" t="inlineStr">
        <is>
          <t>1. Trên Thiết bị A, đăng nhập Thành viên, đổi chế độ xem sang List.
2. Đăng nhập cùng tài khoản Thành viên đó trên Thiết bị B (chưa từng mở app/tìm kiếm trên B trước đó).
3. Vào trang kết quả tìm kiếm lần đầu trên Thiết bị B.
4. Quan sát chế độ xem mặc định trên Thiết bị B.</t>
        </is>
      </c>
      <c r="I56" s="18" t="inlineStr">
        <is>
          <t>Cùng 1 tài khoản, List trên A, lần đầu vào B</t>
        </is>
      </c>
      <c r="J56" s="18" t="inlineStr">
        <is>
          <t>ĐÃ XÁC NHẬN (QnA-29): Thiết bị B đăng nhập lần đầu KHÔNG kế thừa chế độ List từ tài khoản (chế độ xem không lưu server-side theo tài khoản) - mặc định GRID như thiết bị mới. Pass = Thiết bị B hiển thị Grid.</t>
        </is>
      </c>
      <c r="K56" s="18" t="inlineStr">
        <is>
          <t>Low</t>
        </is>
      </c>
      <c r="L56" s="10" t="n"/>
      <c r="M56" s="10" t="inlineStr">
        <is>
          <t>N/A</t>
        </is>
      </c>
      <c r="N56" s="10" t="n"/>
      <c r="O56" s="10" t="n"/>
      <c r="P56" s="18" t="inlineStr">
        <is>
          <t>QnA-29</t>
        </is>
      </c>
      <c r="Q56" s="18" t="inlineStr">
        <is>
          <t>RESOLVED QnA-29 (BA 26/08/2026): không đồng bộ chế độ xem theo tài khoản; thiết bị mới mặc định Grid.</t>
        </is>
      </c>
    </row>
    <row r="57" ht="76.5" customHeight="1">
      <c r="A57" s="18" t="inlineStr">
        <is>
          <t>SS-SCR-005-SC1-TC4</t>
        </is>
      </c>
      <c r="B57" s="18" t="inlineStr">
        <is>
          <t>SS-SCR-005-SC1</t>
        </is>
      </c>
      <c r="C57" s="18" t="inlineStr">
        <is>
          <t>SS-SCR-005</t>
        </is>
      </c>
      <c r="D57" s="18" t="inlineStr">
        <is>
          <t>FR-PR-01, FR-PR-02, FR-PR-05, FR-PR-07, FR-SF-01</t>
        </is>
      </c>
      <c r="E57" s="18" t="inlineStr">
        <is>
          <t>Boundary</t>
        </is>
      </c>
      <c r="F57" s="18" t="inlineStr">
        <is>
          <t>Chế độ xem khi 2 tài khoản khác nhau đăng nhập lần lượt trên cùng 1 thiết bị — TBD kế thừa</t>
        </is>
      </c>
      <c r="G57" s="18" t="inlineStr">
        <is>
          <t>Thiết bị dùng chung; Account 1 đã từng chọn List trên thiết bị này.</t>
        </is>
      </c>
      <c r="H57" s="18" t="inlineStr">
        <is>
          <t>1. Account 1 đăng nhập trên thiết bị, đổi chế độ xem sang List, sau đó logout.
2. Account 2 đăng nhập trên cùng thiết bị (Account 2 chưa từng đổi chế độ xem trước đó).
3. Vào trang kết quả tìm kiếm.
4. Quan sát chế độ xem mặc định cho Account 2.</t>
        </is>
      </c>
      <c r="I57" s="18" t="inlineStr">
        <is>
          <t>Account 1 (List) logout → Account 2 login, cùng thiết bị</t>
        </is>
      </c>
      <c r="J57" s="18" t="inlineStr">
        <is>
          <t>ĐÃ XÁC NHẬN (QnA-29): 2 tài khoản đăng nhập lần lượt trên CÙNG 1 thiết bị - Account 2 KẾ THỪA trạng thái List của Account 1 (Local Storage gắn với thiết bị, không phân biệt user đang đăng nhập). Pass = sau khi Account 1 chọn List rồi logout, Account 2 login thấy List.</t>
        </is>
      </c>
      <c r="K57" s="18" t="inlineStr">
        <is>
          <t>Low</t>
        </is>
      </c>
      <c r="L57" s="10" t="n"/>
      <c r="M57" s="10" t="inlineStr">
        <is>
          <t>N/A</t>
        </is>
      </c>
      <c r="N57" s="10" t="n"/>
      <c r="O57" s="10" t="n"/>
      <c r="P57" s="18" t="inlineStr">
        <is>
          <t>QnA-29</t>
        </is>
      </c>
      <c r="Q57" s="18" t="inlineStr">
        <is>
          <t>RESOLVED QnA-29 (BA 26/08/2026): Local Storage theo thiết bị, không tách theo user.</t>
        </is>
      </c>
    </row>
    <row r="58" ht="63.75" customHeight="1">
      <c r="A58" s="9" t="inlineStr">
        <is>
          <t>SS-SCR-005-SC2-TC1</t>
        </is>
      </c>
      <c r="B58" s="9" t="inlineStr">
        <is>
          <t>SS-SCR-005-SC2</t>
        </is>
      </c>
      <c r="C58" s="9" t="inlineStr">
        <is>
          <t>SS-SCR-005</t>
        </is>
      </c>
      <c r="D58" s="9" t="inlineStr">
        <is>
          <t>FR-PR-01, FR-PR-02, FR-PR-05, FR-PR-07, FR-SF-01</t>
        </is>
      </c>
      <c r="E58" s="9" t="inlineStr">
        <is>
          <t>Sponsored</t>
        </is>
      </c>
      <c r="F58" s="9" t="inlineStr">
        <is>
          <t>Nhãn Sponsored hiển thị rõ ràng, không bị ẩn</t>
        </is>
      </c>
      <c r="G58" s="9" t="inlineStr">
        <is>
          <t>Có ≥1 sản phẩm tài trợ trong tập kết quả.</t>
        </is>
      </c>
      <c r="H58" s="9" t="inlineStr">
        <is>
          <t>1. Tìm kiếm "sữa chua" khi có chiến dịch tài trợ đang chạy.
2. Xác định (các) card có gắn Sponsored.
3. Kiểm tra nhãn có bị che bởi ảnh sản phẩm, badge giảm giá, hoặc nút (+) hay không ở cả chế độ Lưới và Danh sách.</t>
        </is>
      </c>
      <c r="I58" s="9" t="inlineStr">
        <is>
          <t>"sữa chua", ≥1 SKU tài trợ</t>
        </is>
      </c>
      <c r="J58" s="9" t="inlineStr">
        <is>
          <t>OUT OF SCOPE v1 (QnA-04/26/58): tính năng sản phẩm Sponsored tạm SKIP - Mart chưa chốt có/không config sản phẩm tài trợ. Không thực thi TC này ở v1. Giữ nguyên nội dung TC để kích hoạt lại khi Mart confirm.</t>
        </is>
      </c>
      <c r="K58" s="9" t="inlineStr">
        <is>
          <t>High</t>
        </is>
      </c>
      <c r="L58" s="10" t="n"/>
      <c r="M58" s="10" t="inlineStr">
        <is>
          <t>Not Run</t>
        </is>
      </c>
      <c r="N58" s="10" t="n"/>
      <c r="O58" s="10" t="n"/>
      <c r="P58" s="9" t="inlineStr">
        <is>
          <t>QnA-04, QnA-26, QnA-58</t>
        </is>
      </c>
      <c r="Q58" s="9" t="inlineStr">
        <is>
          <t>OUT OF SCOPE v1 - QnA-04/26/58 (BA 24-28/08/2026): Sponsored chưa chốt config bên Mart =&gt; tạm skip.</t>
        </is>
      </c>
    </row>
    <row r="59" ht="89.25" customHeight="1">
      <c r="A59" s="11" t="inlineStr">
        <is>
          <t>SS-SCR-005-SC2-TC2</t>
        </is>
      </c>
      <c r="B59" s="11" t="inlineStr">
        <is>
          <t>SS-SCR-005-SC2</t>
        </is>
      </c>
      <c r="C59" s="11" t="inlineStr">
        <is>
          <t>SS-SCR-005</t>
        </is>
      </c>
      <c r="D59" s="11" t="inlineStr">
        <is>
          <t>FR-PR-01, FR-PR-02, FR-PR-05, FR-PR-07, FR-SF-01</t>
        </is>
      </c>
      <c r="E59" s="11" t="inlineStr">
        <is>
          <t>Boundary</t>
        </is>
      </c>
      <c r="F59" s="11" t="inlineStr">
        <is>
          <t>Sản phẩm Sponsored hết hàng vẫn bị đẩy xuống dưới hàng còn hàng</t>
        </is>
      </c>
      <c r="G59" s="11" t="inlineStr">
        <is>
          <t>Có ≥1 sản phẩm tài trợ trong tập kết quả.</t>
        </is>
      </c>
      <c r="H59" s="11" t="inlineStr">
        <is>
          <t>1. Thiết lập 1 SKU Sponsored có tồn kho = 0.
2. Tìm kiếm từ khoá kích hoạt chiến dịch của SKU đó.
3. Quan sát vị trí SKU trong danh sách kết quả so với các SKU còn hàng khác (kể cả SKU không tài trợ).</t>
        </is>
      </c>
      <c r="I59" s="11" t="inlineStr">
        <is>
          <t>SKU Sponsored, stock = 0</t>
        </is>
      </c>
      <c r="J59" s="11" t="inlineStr">
        <is>
          <t>OUT OF SCOPE v1 (QnA-04/26/58): tính năng sản phẩm Sponsored tạm SKIP - Mart chưa chốt có/không config sản phẩm tài trợ. Không thực thi TC này ở v1. Giữ nguyên nội dung TC để kích hoạt lại khi Mart confirm.</t>
        </is>
      </c>
      <c r="K59" s="11" t="inlineStr">
        <is>
          <t>High</t>
        </is>
      </c>
      <c r="L59" s="10" t="n"/>
      <c r="M59" s="10" t="inlineStr">
        <is>
          <t>N/A</t>
        </is>
      </c>
      <c r="N59" s="10" t="n"/>
      <c r="O59" s="10" t="n"/>
      <c r="P59" s="11" t="inlineStr">
        <is>
          <t>QnA-04, QnA-26, QnA-58</t>
        </is>
      </c>
      <c r="Q59" s="11" t="inlineStr">
        <is>
          <t>OUT OF SCOPE v1 - QnA-04/26/58 (BA 24-28/08/2026): Sponsored chưa chốt config bên Mart =&gt; tạm skip.</t>
        </is>
      </c>
    </row>
    <row r="60" ht="63.75" customHeight="1">
      <c r="A60" s="9" t="inlineStr">
        <is>
          <t>SS-SCR-005-SC3-TC1</t>
        </is>
      </c>
      <c r="B60" s="9" t="inlineStr">
        <is>
          <t>SS-SCR-005-SC3</t>
        </is>
      </c>
      <c r="C60" s="9" t="inlineStr">
        <is>
          <t>SS-SCR-005</t>
        </is>
      </c>
      <c r="D60" s="9" t="inlineStr">
        <is>
          <t>FR-PR-01, FR-PR-02, FR-PR-05, FR-PR-07, FR-SF-01</t>
        </is>
      </c>
      <c r="E60" s="9" t="inlineStr">
        <is>
          <t>Functional</t>
        </is>
      </c>
      <c r="F60" s="9" t="inlineStr">
        <is>
          <t>Tap Product Card (ngoài nút +) mở đúng PDP</t>
        </is>
      </c>
      <c r="G60" s="9" t="inlineStr">
        <is>
          <t>Trang kết quả đã tải.</t>
        </is>
      </c>
      <c r="H60" s="9" t="inlineStr">
        <is>
          <t>1. Ở trang kết quả "sữa", tap vào vùng ảnh/tên sản phẩm của 1 card (không tap vào nút +).
2. Quan sát trang mở ra.</t>
        </is>
      </c>
      <c r="I60" s="9" t="inlineStr">
        <is>
          <t>1 card bất kỳ</t>
        </is>
      </c>
      <c r="J60" s="9" t="inlineStr">
        <is>
          <t>Mở đúng PDP của sản phẩm đã tap; không kích hoạt add-to-cart nhầm.</t>
        </is>
      </c>
      <c r="K60" s="9" t="inlineStr">
        <is>
          <t>High</t>
        </is>
      </c>
      <c r="L60" s="10" t="n"/>
      <c r="M60" s="10" t="inlineStr">
        <is>
          <t>Not Run</t>
        </is>
      </c>
      <c r="N60" s="10" t="n"/>
      <c r="O60" s="10" t="n"/>
      <c r="P60" s="9" t="n"/>
      <c r="Q60" s="9" t="n"/>
    </row>
    <row r="61" ht="63.75" customHeight="1">
      <c r="A61" s="9" t="inlineStr">
        <is>
          <t>SS-SCR-005-SC3-TC2</t>
        </is>
      </c>
      <c r="B61" s="9" t="inlineStr">
        <is>
          <t>SS-SCR-005-SC3</t>
        </is>
      </c>
      <c r="C61" s="9" t="inlineStr">
        <is>
          <t>SS-SCR-005</t>
        </is>
      </c>
      <c r="D61" s="9" t="inlineStr">
        <is>
          <t>FR-PR-01, FR-PR-02, FR-PR-05, FR-PR-07, FR-SF-01</t>
        </is>
      </c>
      <c r="E61" s="9" t="inlineStr">
        <is>
          <t>Functional</t>
        </is>
      </c>
      <c r="F61" s="9" t="inlineStr">
        <is>
          <t>Nút (✕) trên Search Bar xoá từ khoá và mở lại Autocomplete</t>
        </is>
      </c>
      <c r="G61" s="9" t="inlineStr">
        <is>
          <t>Trang kết quả đã tải.</t>
        </is>
      </c>
      <c r="H61" s="9" t="inlineStr">
        <is>
          <t>1. Ở trang kết quả "sữa", tap nút (✕) trên Search Bar.
2. Quan sát UI ngay sau khi xoá.</t>
        </is>
      </c>
      <c r="I61" s="9" t="inlineStr">
        <is>
          <t>Từ khoá "sữa"</t>
        </is>
      </c>
      <c r="J61" s="9" t="inlineStr">
        <is>
          <t>Ô nhập được xoá trắng; hệ thống chuyển sang trạng thái nhập liệu (Autocomplete Screen, bàn phím hiện), không đơn thuần hiển thị trang kết quả trống.</t>
        </is>
      </c>
      <c r="K61" s="9" t="inlineStr">
        <is>
          <t>Medium</t>
        </is>
      </c>
      <c r="L61" s="10" t="n"/>
      <c r="M61" s="10" t="inlineStr">
        <is>
          <t>Not Run</t>
        </is>
      </c>
      <c r="N61" s="10" t="n"/>
      <c r="O61" s="10" t="n"/>
      <c r="P61" s="9" t="n"/>
      <c r="Q61" s="9" t="n"/>
    </row>
    <row r="62" ht="51" customHeight="1">
      <c r="A62" s="18" t="inlineStr">
        <is>
          <t>SS-SCR-005-SC3-TC3</t>
        </is>
      </c>
      <c r="B62" s="18" t="inlineStr">
        <is>
          <t>SS-SCR-005-SC3</t>
        </is>
      </c>
      <c r="C62" s="18" t="inlineStr">
        <is>
          <t>SS-SCR-005</t>
        </is>
      </c>
      <c r="D62" s="18" t="inlineStr">
        <is>
          <t>FR-PR-01, FR-PR-02, FR-PR-05, FR-PR-07, FR-SF-01</t>
        </is>
      </c>
      <c r="E62" s="18" t="inlineStr">
        <is>
          <t>Edge</t>
        </is>
      </c>
      <c r="F62" s="18" t="inlineStr">
        <is>
          <t>Trạng thái trang kết quả phía sau lớp Autocomplete sau khi xoá từ khoá bằng (✕) — TBD giữ filter/kết quả cũ</t>
        </is>
      </c>
      <c r="G62" s="18" t="inlineStr">
        <is>
          <t>Trang kết quả đã tải với filter "Không đường" đang active và sort "Giá thấp-cao".</t>
        </is>
      </c>
      <c r="H62" s="18" t="inlineStr">
        <is>
          <t>1. Ở trang kết quả "sữa" với filter "Không đường" + sort "Giá thấp-cao" đang áp dụng.
2. Tap nút (✕) trên Search Bar.
3. Không gõ từ khoá mới, tap ra ngoài hoặc nhấn Back để đóng lớp Autocomplete.
4. Quan sát trang kết quả có hiện lại không, và filter chip "Không đường"/sort có còn giữ hay không.</t>
        </is>
      </c>
      <c r="I62" s="18" t="inlineStr">
        <is>
          <t>"sữa" + filter/sort active → tap (✕) → đóng Autocomplete không tìm mới</t>
        </is>
      </c>
      <c r="J62" s="18" t="inlineStr">
        <is>
          <t>ĐÃ XÁC NHẬN (QnA-28): trang kết quả + filter chip + sort cũ được GIỮ NGUYÊN, ẩn phía sau lớp Autocomplete; hiện lại y hệt nếu khách đóng Autocomplete mà KHÔNG tìm từ mới - nhất quán với pattern 'giữ nguyên Pre-search bên dưới' ở SS-SCR-002. Chỉ khi khách submit từ khoá mới thì filter/sort cũ mới bị xoá (theo SS-SCR-010-SC4). Có thể chấm Pass/Fail.</t>
        </is>
      </c>
      <c r="K62" s="18" t="inlineStr">
        <is>
          <t>Medium</t>
        </is>
      </c>
      <c r="L62" s="10" t="n"/>
      <c r="M62" s="10" t="inlineStr">
        <is>
          <t>N/A</t>
        </is>
      </c>
      <c r="N62" s="10" t="n"/>
      <c r="O62" s="10" t="n"/>
      <c r="P62" s="18" t="inlineStr">
        <is>
          <t>QnA-28</t>
        </is>
      </c>
      <c r="Q62" s="18" t="inlineStr">
        <is>
          <t>RESOLVED QnA-28 (BA 28/08/2026): giữ nguyên trạng thái nền, khôi phục khi đóng Autocomplete không tìm mới.</t>
        </is>
      </c>
    </row>
    <row r="63" ht="51" customHeight="1">
      <c r="A63" s="9" t="inlineStr">
        <is>
          <t>SS-SCR-005-SC3-TC4</t>
        </is>
      </c>
      <c r="B63" s="9" t="inlineStr">
        <is>
          <t>SS-SCR-005-SC3</t>
        </is>
      </c>
      <c r="C63" s="9" t="inlineStr">
        <is>
          <t>SS-SCR-005</t>
        </is>
      </c>
      <c r="D63" s="9" t="inlineStr">
        <is>
          <t>FR-PR-01, FR-PR-02, FR-PR-05, FR-PR-07, FR-SF-01</t>
        </is>
      </c>
      <c r="E63" s="9" t="inlineStr">
        <is>
          <t>Functional</t>
        </is>
      </c>
      <c r="F63" s="9" t="inlineStr">
        <is>
          <t>Tap nút (+) trên Product Card thêm giỏ hàng ngay tại trang kết quả, không mở nhầm PDP</t>
        </is>
      </c>
      <c r="G63" s="9" t="inlineStr">
        <is>
          <t>Trang kết quả đã tải, ≥1 sản phẩm còn hàng.</t>
        </is>
      </c>
      <c r="H63" s="9" t="inlineStr">
        <is>
          <t>1. Ở trang kết quả "sữa", tap chính xác vào nút (+) trên 1 Product Card (không tap vùng ảnh/tên).
2. Quan sát UI ngay sau khi tap.
3. Xác nhận trang hiện tại vẫn là trang kết quả (không bị điều hướng sang PDP).</t>
        </is>
      </c>
      <c r="I63" s="9" t="inlineStr">
        <is>
          <t>Tap nút (+) trên 1 card còn hàng</t>
        </is>
      </c>
      <c r="J63" s="9" t="inlineStr">
        <is>
          <t>Badge giỏ hàng tăng ngay (optimistic update), Toast xác nhận hiện ra (theo hành vi chi tiết đã test đầy đủ ở SS-SCR-011); KHÔNG điều hướng sang PDP; vùng chạm (+) tách biệt hoàn toàn khỏi vùng chạm mở PDP đã test ở SC3-TC1.</t>
        </is>
      </c>
      <c r="K63" s="9" t="inlineStr">
        <is>
          <t>High</t>
        </is>
      </c>
      <c r="L63" s="10" t="n"/>
      <c r="M63" s="10" t="inlineStr">
        <is>
          <t>Not Run</t>
        </is>
      </c>
      <c r="N63" s="10" t="n"/>
      <c r="O63" s="10" t="n"/>
      <c r="P63" s="9" t="n"/>
      <c r="Q63" s="9" t="n"/>
    </row>
    <row r="64" ht="89.25" customHeight="1">
      <c r="A64" s="9" t="inlineStr">
        <is>
          <t>SS-SCR-005-SC4-TC1</t>
        </is>
      </c>
      <c r="B64" s="9" t="inlineStr">
        <is>
          <t>SS-SCR-005-SC4</t>
        </is>
      </c>
      <c r="C64" s="9" t="inlineStr">
        <is>
          <t>SS-SCR-005</t>
        </is>
      </c>
      <c r="D64" s="9" t="inlineStr">
        <is>
          <t>FR-PR-01, FR-PR-02, FR-PR-05, FR-PR-07, FR-SF-01</t>
        </is>
      </c>
      <c r="E64" s="9" t="inlineStr">
        <is>
          <t>Boundary</t>
        </is>
      </c>
      <c r="F64" s="9" t="inlineStr">
        <is>
          <t>Hiển thị đúng tổng số kết quả ở mức 1 và mức lớn (&gt;999)</t>
        </is>
      </c>
      <c r="G64" s="9" t="inlineStr">
        <is>
          <t>Ba trường hợp truy vấn khác nhau.</t>
        </is>
      </c>
      <c r="H64" s="9" t="inlineStr">
        <is>
          <t>1. Tìm một từ khoá chỉ khớp đúng 1 sản phẩm, quan sát dòng tổng số kết quả.
2. Tìm một từ khoá phổ biến khớp &gt;999 sản phẩm, quan sát định dạng số.</t>
        </is>
      </c>
      <c r="I64" s="9" t="inlineStr">
        <is>
          <t>Từ khoá 1-kết-quả / từ khoá &gt;999-kết-quả</t>
        </is>
      </c>
      <c r="J64" s="9" t="inlineStr">
        <is>
          <t>Trường hợp 1: hiển thị "1 sản phẩm". Trường hợp 2: hiển thị đúng số lớn có phân tách hàng nghìn (VD: "1.245 sản phẩm"), không bị cắt hay tràn UI.</t>
        </is>
      </c>
      <c r="K64" s="9" t="inlineStr">
        <is>
          <t>Low</t>
        </is>
      </c>
      <c r="L64" s="10" t="n"/>
      <c r="M64" s="10" t="inlineStr">
        <is>
          <t>Not Run</t>
        </is>
      </c>
      <c r="N64" s="10" t="n"/>
      <c r="O64" s="10" t="n"/>
      <c r="P64" s="9" t="n"/>
      <c r="Q64" s="9" t="n"/>
    </row>
    <row r="65" ht="51" customHeight="1">
      <c r="A65" s="11" t="inlineStr">
        <is>
          <t>SS-SCR-005-SC5-TC1</t>
        </is>
      </c>
      <c r="B65" s="11" t="inlineStr">
        <is>
          <t>SS-SCR-005-SC5</t>
        </is>
      </c>
      <c r="C65" s="11" t="inlineStr">
        <is>
          <t>SS-SCR-005</t>
        </is>
      </c>
      <c r="D65" s="11" t="inlineStr">
        <is>
          <t>FR-PR-01, FR-PR-02, FR-PR-05, FR-PR-07, FR-SF-01</t>
        </is>
      </c>
      <c r="E65" s="11" t="inlineStr">
        <is>
          <t>Sponsored</t>
        </is>
      </c>
      <c r="F65" s="11" t="inlineStr">
        <is>
          <t>Nhiều SKU Sponsored đồng thời đều hiển thị đúng nhãn, không SKU nào bị bỏ sót</t>
        </is>
      </c>
      <c r="G65" s="11" t="inlineStr">
        <is>
          <t>Nhiều chiến dịch tài trợ đang chạy cho cùng từ khoá.</t>
        </is>
      </c>
      <c r="H65" s="11" t="inlineStr">
        <is>
          <t>1. Thiết lập 3 SKU sponsored cùng khớp từ khoá "sữa".
2. Tìm kiếm "sữa".
3. Kiểm tra từng SKU sponsored trong danh sách kết quả có đủ nhãn "Sponsored" không.</t>
        </is>
      </c>
      <c r="I65" s="11" t="inlineStr">
        <is>
          <t>3 SKU sponsored</t>
        </is>
      </c>
      <c r="J65" s="11" t="inlineStr">
        <is>
          <t>OUT OF SCOPE v1 (QnA-04/26/58): tính năng sản phẩm Sponsored tạm SKIP - Mart chưa chốt có/không config sản phẩm tài trợ. Không thực thi TC này ở v1. Giữ nguyên nội dung TC để kích hoạt lại khi Mart confirm.</t>
        </is>
      </c>
      <c r="K65" s="11" t="inlineStr">
        <is>
          <t>Medium</t>
        </is>
      </c>
      <c r="L65" s="10" t="n"/>
      <c r="M65" s="10" t="inlineStr">
        <is>
          <t>N/A</t>
        </is>
      </c>
      <c r="N65" s="10" t="n"/>
      <c r="O65" s="10" t="n"/>
      <c r="P65" s="11" t="inlineStr">
        <is>
          <t>QnA-04, QnA-26, QnA-58</t>
        </is>
      </c>
      <c r="Q65" s="11" t="inlineStr">
        <is>
          <t>OUT OF SCOPE v1 - QnA-04/26/58 (BA 24-28/08/2026): Sponsored chưa chốt config bên Mart =&gt; tạm skip.</t>
        </is>
      </c>
    </row>
    <row r="66" ht="63.75" customHeight="1">
      <c r="A66" s="11" t="inlineStr">
        <is>
          <t>SS-SCR-005-SC6-TC1</t>
        </is>
      </c>
      <c r="B66" s="11" t="inlineStr">
        <is>
          <t>SS-SCR-005-SC6</t>
        </is>
      </c>
      <c r="C66" s="11" t="inlineStr">
        <is>
          <t>SS-SCR-005</t>
        </is>
      </c>
      <c r="D66" s="11" t="inlineStr">
        <is>
          <t>FR-PR-01, FR-PR-02, FR-PR-05, FR-PR-07, FR-SF-01</t>
        </is>
      </c>
      <c r="E66" s="11" t="inlineStr">
        <is>
          <t>Functional</t>
        </is>
      </c>
      <c r="F66" s="11" t="inlineStr">
        <is>
          <t>Chuyển từ kết quả Text Search sang Voice/Image Search — trạng thái filter/sort chưa rõ</t>
        </is>
      </c>
      <c r="G66" s="11" t="inlineStr">
        <is>
          <t>Đang ở trang kết quả Text Search.</t>
        </is>
      </c>
      <c r="H66" s="11" t="inlineStr">
        <is>
          <t>1. Ở trang kết quả "sữa", áp dụng filter "Không đường" + sort "Giá thấp-cao".
2. Tap icon Camera trên Search Bar.
3. Thực hiện tìm kiếm bằng ảnh thành công, quan sát trang kết quả ảnh mới có giữ filter/sort cũ không.</t>
        </is>
      </c>
      <c r="I66" s="11" t="inlineStr">
        <is>
          <t>Filter=Không đường, Sort=Giá↑, sau đó chuyển sang Image Search</t>
        </is>
      </c>
      <c r="J66" s="11" t="inlineStr">
        <is>
          <t>ĐÃ XÁC NHẬN (QnA-14): chuyển phương thức tìm kiếm (Text -&gt; Image/Voice) xử lý GIỐNG trường hợp đổi từ khoá cùng phương thức - filter/sort của kết quả cũ TỰ ĐỘNG XOÁ/RESET về mặc định cho truy vấn mới (nhất quán SS-SCR-010-SC4). Pass = trang kết quả ảnh/voice mới không còn filter/sort của lượt Text trước đó.</t>
        </is>
      </c>
      <c r="K66" s="11" t="inlineStr">
        <is>
          <t>Medium</t>
        </is>
      </c>
      <c r="L66" s="10" t="n"/>
      <c r="M66" s="10" t="inlineStr">
        <is>
          <t>N/A</t>
        </is>
      </c>
      <c r="N66" s="10" t="n"/>
      <c r="O66" s="10" t="n"/>
      <c r="P66" s="11" t="inlineStr">
        <is>
          <t>QnA-14</t>
        </is>
      </c>
      <c r="Q66" s="11" t="inlineStr">
        <is>
          <t>RESOLVED QnA-14 (BA 24/08/2026): tương tự trường hợp cùng phương thức - tự động xoá bộ lọc.</t>
        </is>
      </c>
    </row>
    <row r="67" ht="63.75" customHeight="1">
      <c r="A67" s="9" t="inlineStr">
        <is>
          <t>SS-SCR-005-SC7-TC1</t>
        </is>
      </c>
      <c r="B67" s="9" t="inlineStr">
        <is>
          <t>SS-SCR-005-SC7</t>
        </is>
      </c>
      <c r="C67" s="9" t="inlineStr">
        <is>
          <t>SS-SCR-005</t>
        </is>
      </c>
      <c r="D67" s="9" t="inlineStr">
        <is>
          <t>FR-PR-06</t>
        </is>
      </c>
      <c r="E67" s="9" t="inlineStr">
        <is>
          <t>Boundary</t>
        </is>
      </c>
      <c r="F67" s="9" t="inlineStr">
        <is>
          <t>Sort mặc định = "Liên quan nhất" khi vào trang kết quả lần đầu</t>
        </is>
      </c>
      <c r="G67" s="9" t="inlineStr">
        <is>
          <t>Khách chưa từng chọn Sort trong phiên hiện tại.</t>
        </is>
      </c>
      <c r="H67" s="9" t="inlineStr">
        <is>
          <t>1. Tìm kiếm "sữa" lần đầu trong phiên (chưa từng mở Sort sheet trước đó).
2. Quan sát nhãn trên thanh sticky Sort.
3. Mở Sort bottom sheet (SS-SCR-008), kiểm tra tiêu chí đang được đánh dấu chọn (selected).</t>
        </is>
      </c>
      <c r="I67" s="9" t="inlineStr">
        <is>
          <t>"sữa" (lần đầu trong phiên)</t>
        </is>
      </c>
      <c r="J67" s="9" t="inlineStr">
        <is>
          <t>Nhãn sticky hiển thị đúng "Liên quan nhất" ngay từ đầu; khi mở Sort sheet, "Liên quan nhất" đang ở trạng thái được chọn (checked) mà không cần khách thao tác gì trước đó.</t>
        </is>
      </c>
      <c r="K67" s="9" t="inlineStr">
        <is>
          <t>Medium</t>
        </is>
      </c>
      <c r="L67" s="10" t="n"/>
      <c r="M67" s="10" t="inlineStr">
        <is>
          <t>Not Run</t>
        </is>
      </c>
      <c r="N67" s="10" t="n"/>
      <c r="O67" s="10" t="n"/>
      <c r="P67" s="9" t="n"/>
      <c r="Q67" s="9" t="n"/>
    </row>
    <row r="68" ht="76.5" customHeight="1">
      <c r="A68" s="9" t="inlineStr">
        <is>
          <t>SS-SCR-005-SC8-TC1</t>
        </is>
      </c>
      <c r="B68" s="9" t="inlineStr">
        <is>
          <t>SS-SCR-005-SC8</t>
        </is>
      </c>
      <c r="C68" s="9" t="inlineStr">
        <is>
          <t>SS-SCR-005</t>
        </is>
      </c>
      <c r="D68" s="9" t="inlineStr">
        <is>
          <t>FR-SF-04</t>
        </is>
      </c>
      <c r="E68" s="9" t="inlineStr">
        <is>
          <t>Boundary</t>
        </is>
      </c>
      <c r="F68" s="9" t="inlineStr">
        <is>
          <t>Nút "Bộ lọc" ở trạng thái mặc định (không badge) khi chưa áp dụng điều kiện nào</t>
        </is>
      </c>
      <c r="G68" s="9" t="inlineStr">
        <is>
          <t>Trang kết quả vừa tải, chưa từng mở/áp dụng Bộ lọc.</t>
        </is>
      </c>
      <c r="H68" s="9" t="inlineStr">
        <is>
          <t>1. Tìm kiếm "sữa", quan sát nút "Bộ lọc" trên thanh sticky.
2. Kiểm tra có badge số lượng hiển thị hay không.
3. Kiểm tra không có filter chip nào ở trạng thái active trên trang kết quả.</t>
        </is>
      </c>
      <c r="I68" s="9" t="inlineStr">
        <is>
          <t>"sữa" (chưa áp dụng filter)</t>
        </is>
      </c>
      <c r="J68" s="9" t="inlineStr">
        <is>
          <t>Nút "Bộ lọc" không hiển thị badge (hoặc badge=0 bị ẩn hoàn toàn, giống trạng thái cuối của SS-SCR-010-SC3); không có chip lọc nào active; tổng số kết quả là tập đầy đủ chưa lọc.</t>
        </is>
      </c>
      <c r="K68" s="9" t="inlineStr">
        <is>
          <t>Low</t>
        </is>
      </c>
      <c r="L68" s="10" t="n"/>
      <c r="M68" s="10" t="inlineStr">
        <is>
          <t>Not Run</t>
        </is>
      </c>
      <c r="N68" s="10" t="n"/>
      <c r="O68" s="10" t="n"/>
      <c r="P68" s="9" t="n"/>
      <c r="Q68" s="9" t="n"/>
    </row>
    <row r="69" ht="51" customHeight="1">
      <c r="A69" s="9" t="inlineStr">
        <is>
          <t>SS-SCR-005-SC9-TC1</t>
        </is>
      </c>
      <c r="B69" s="9" t="inlineStr">
        <is>
          <t>SS-SCR-005-SC9</t>
        </is>
      </c>
      <c r="C69" s="9" t="inlineStr">
        <is>
          <t>SS-SCR-005</t>
        </is>
      </c>
      <c r="D69" s="9" t="inlineStr">
        <is>
          <t>FR-SF-01, FR-SF-02, FR-SF-03</t>
        </is>
      </c>
      <c r="E69" s="9" t="inlineStr">
        <is>
          <t>Filter</t>
        </is>
      </c>
      <c r="F69" s="9" t="inlineStr">
        <is>
          <t>Tap 1 Smart Filter Chip áp dụng lọc ngay, không cần mở bảng Bộ lọc chi tiết</t>
        </is>
      </c>
      <c r="G69" s="9" t="inlineStr">
        <is>
          <t>Trang kết quả đã tải, khối Smart Filter Chips hiển thị ≥1 chip.</t>
        </is>
      </c>
      <c r="H69" s="9" t="inlineStr">
        <is>
          <t>1. Tìm kiếm "sữa", quan sát khối Smart Filter Chips ngang phía trên lưới kết quả.
2. Tap 1 chip bất kỳ (VD "Hữu cơ").
3. Quan sát trạng thái chip, badge nút Bộ lọc, và số lượng kết quả.</t>
        </is>
      </c>
      <c r="I69" s="9" t="inlineStr">
        <is>
          <t>Tap chip "Hữu cơ"</t>
        </is>
      </c>
      <c r="J69" s="9" t="inlineStr">
        <is>
          <t>Chip chuyển sang trạng thái active (đổi màu nền) ngay khi tap, không cần nút "Áp dụng" riêng; kết quả cập nhật realtime chỉ còn SKU thoả điều kiện; badge nút "Bộ lọc" tăng thêm 1; kết quả sau lọc luôn ≥1 sản phẩm (đúng FR-SF-01→03).</t>
        </is>
      </c>
      <c r="K69" s="9" t="inlineStr">
        <is>
          <t>Medium</t>
        </is>
      </c>
      <c r="L69" s="10" t="n"/>
      <c r="M69" s="10" t="inlineStr">
        <is>
          <t>Not Run</t>
        </is>
      </c>
      <c r="N69" s="10" t="n"/>
      <c r="O69" s="10" t="n"/>
      <c r="P69" s="9" t="n"/>
      <c r="Q69" s="9" t="n"/>
    </row>
    <row r="70" ht="63.75" customHeight="1">
      <c r="A70" s="9" t="inlineStr">
        <is>
          <t>SS-SCR-005-SC9-TC2</t>
        </is>
      </c>
      <c r="B70" s="9" t="inlineStr">
        <is>
          <t>SS-SCR-005-SC9</t>
        </is>
      </c>
      <c r="C70" s="9" t="inlineStr">
        <is>
          <t>SS-SCR-005</t>
        </is>
      </c>
      <c r="D70" s="9" t="inlineStr">
        <is>
          <t>FR-SF-01, FR-SF-02, FR-SF-03</t>
        </is>
      </c>
      <c r="E70" s="9" t="inlineStr">
        <is>
          <t>Filter</t>
        </is>
      </c>
      <c r="F70" s="9" t="inlineStr">
        <is>
          <t>Tap thêm chip thứ 2 kết hợp điều kiện lọc (AND) trên Smart Filter Chips</t>
        </is>
      </c>
      <c r="G70" s="9" t="inlineStr">
        <is>
          <t>Đã có 1 chip "Hữu cơ" đang active.</t>
        </is>
      </c>
      <c r="H70" s="9" t="inlineStr">
        <is>
          <t>1. Từ trạng thái đã lọc "Hữu cơ", tap thêm chip "Không đường".
2. Quan sát kết quả và badge sau khi cả 2 chip active.
3. Bỏ chọn lại chip "Hữu cơ", quan sát kết quả chỉ còn lọc theo "Không đường".</t>
        </is>
      </c>
      <c r="I70" s="9" t="inlineStr">
        <is>
          <t>Chip "Hữu cơ" + "Không đường", sau đó bỏ "Hữu cơ"</t>
        </is>
      </c>
      <c r="J70" s="9" t="inlineStr">
        <is>
          <t>Cả 2 chip active đồng thời áp dụng lọc kết hợp (AND); badge = 2; bỏ chọn 1 chip giữ nguyên chip còn lại, kết quả tự cập nhật theo đúng 1 điều kiện còn active, badge giảm về 1 — đồng bộ với hành vi bỏ chip đã test ở SS-SCR-010-SC2.</t>
        </is>
      </c>
      <c r="K70" s="9" t="inlineStr">
        <is>
          <t>Medium</t>
        </is>
      </c>
      <c r="L70" s="10" t="n"/>
      <c r="M70" s="10" t="inlineStr">
        <is>
          <t>Not Run</t>
        </is>
      </c>
      <c r="N70" s="10" t="n"/>
      <c r="O70" s="10" t="n"/>
      <c r="P70" s="9" t="n"/>
      <c r="Q70" s="9" t="n"/>
    </row>
    <row r="71" ht="114.75" customHeight="1">
      <c r="A71" s="18" t="inlineStr">
        <is>
          <t>SS-SCR-005-SC10-TC1</t>
        </is>
      </c>
      <c r="B71" s="18" t="inlineStr">
        <is>
          <t>SS-SCR-005-SC10</t>
        </is>
      </c>
      <c r="C71" s="18" t="inlineStr">
        <is>
          <t>SS-SCR-005</t>
        </is>
      </c>
      <c r="D71" s="18" t="inlineStr">
        <is>
          <t>Rule BA 2026-08-24 (rule 6); liên quan FR-ZR-02</t>
        </is>
      </c>
      <c r="E71" s="18" t="inlineStr">
        <is>
          <t>Functional</t>
        </is>
      </c>
      <c r="F71" s="18" t="inlineStr">
        <is>
          <t>Search khớp 100% đúng 1 sản phẩm — chỉ hiển thị sản phẩm đó + "Có thể bạn sẽ thích"</t>
        </is>
      </c>
      <c r="G71" s="18" t="inlineStr">
        <is>
          <t>Catalogue có 1 SKU khớp 100% tên duy nhất, không có SKU nào khác trùng/gần trùng tên gây nhập nhằng ở tier exact.</t>
        </is>
      </c>
      <c r="H71" s="18" t="inlineStr">
        <is>
          <t>1. Tìm kiếm chính xác tên đầy đủ của 1 sản phẩm không trùng tên với sản phẩm khác trong catalogue.
2. Quan sát khối kết quả chính.
3. Cuộn xuống, quan sát khối gợi ý bên dưới.</t>
        </is>
      </c>
      <c r="I71" s="18" t="inlineStr">
        <is>
          <t>Tên đầy đủ 1 SKU duy nhất (không trùng tên với SKU khác)</t>
        </is>
      </c>
      <c r="J71" s="18" t="inlineStr">
        <is>
          <t>Khối kết quả chính CHỈ hiển thị đúng 1 sản phẩm khớp 100%; bên dưới có khối "Có thể bạn sẽ thích" theo đúng thuật toán 3 tầng đã dùng ở Zero Result (FR-ZR-02/SS-SCR-012): Substitute → Cross-sell (Basket Analysis) → Best-seller.</t>
        </is>
      </c>
      <c r="K71" s="18" t="inlineStr">
        <is>
          <t>High</t>
        </is>
      </c>
      <c r="L71" s="10" t="n"/>
      <c r="M71" s="10" t="inlineStr">
        <is>
          <t>Not Run</t>
        </is>
      </c>
      <c r="N71" s="10" t="n"/>
      <c r="O71" s="10" t="n"/>
      <c r="P71" s="18" t="n"/>
      <c r="Q71" s="18" t="inlineStr">
        <is>
          <t>Rule mới bổ sung từ meeting BA 2026-08-24 (AI_CONTEXT.md §3e, rule 6) — tái dùng đúng thuật toán "Có thể bạn sẽ thích" đã có ở FR-ZR-02, chỉ đổi điều kiện kích hoạt (khớp 100% đúng 1 SP, không phải 0 kết quả). Xem thêm INT-10-SC4-TC1 (bản backend).</t>
        </is>
      </c>
    </row>
    <row r="72" ht="51" customHeight="1">
      <c r="A72" s="18" t="inlineStr">
        <is>
          <t>SS-SCR-005-SC10-TC2</t>
        </is>
      </c>
      <c r="B72" s="18" t="inlineStr">
        <is>
          <t>SS-SCR-005-SC10</t>
        </is>
      </c>
      <c r="C72" s="18" t="inlineStr">
        <is>
          <t>SS-SCR-005</t>
        </is>
      </c>
      <c r="D72" s="18" t="inlineStr">
        <is>
          <t>Rule BA 2026-08-24 (rule 6/7)</t>
        </is>
      </c>
      <c r="E72" s="18" t="inlineStr">
        <is>
          <t>Edge</t>
        </is>
      </c>
      <c r="F72" s="18" t="inlineStr">
        <is>
          <t>2 sản phẩm cùng khớp 100% tên (đồng hạng) — KHÔNG kích hoạt chế độ hiển thị 1 sản phẩm</t>
        </is>
      </c>
      <c r="G72" s="18" t="inlineStr">
        <is>
          <t>Catalogue có ≥2 SKU cùng khớp 100% (đồng hạng exact) cho cùng 1 từ khoá.</t>
        </is>
      </c>
      <c r="H72" s="18" t="inlineStr">
        <is>
          <t>1. Tìm kiếm từ khoá khớp 100% với ≥2 SKU khác nhau (VD 2 SKU cùng tên khác size/màu).
2. Quan sát trang kết quả.</t>
        </is>
      </c>
      <c r="I72" s="18" t="inlineStr">
        <is>
          <t>Từ khoá khớp 100% với ≥2 SKU</t>
        </is>
      </c>
      <c r="J72" s="18" t="inlineStr">
        <is>
          <t>Trang kết quả hiển thị bình thường dạng danh sách nhiều sản phẩm (rule 7: matching sản phẩm + liên quan), KHÔNG rơi vào chế độ 1-sản-phẩm-duy-nhất của SC10-TC1 — vì có ≥2 sản phẩm đồng hạng khớp 100%, không phải trường hợp khớp duy nhất/không nhập nhằng.</t>
        </is>
      </c>
      <c r="K72" s="18" t="inlineStr">
        <is>
          <t>Medium</t>
        </is>
      </c>
      <c r="L72" s="10" t="n"/>
      <c r="M72" s="10" t="inlineStr">
        <is>
          <t>Not Run</t>
        </is>
      </c>
      <c r="N72" s="10" t="n"/>
      <c r="O72" s="10" t="n"/>
      <c r="P72" s="18" t="n"/>
      <c r="Q72" s="18" t="inlineStr">
        <is>
          <t>Edge case bổ sung cùng rule 6/7 (meeting BA 2026-08-24) — xác nhận điều kiện kích hoạt SC10-TC1 là ĐÚNG 1 sản phẩm khớp 100% không đồng hạng, không phải hễ có sản phẩm khớp 100% là kích hoạt.</t>
        </is>
      </c>
    </row>
    <row r="73" ht="63.75" customHeight="1">
      <c r="A73" s="18" t="inlineStr">
        <is>
          <t>SS-SCR-005-SC11-TC1</t>
        </is>
      </c>
      <c r="B73" s="18" t="inlineStr">
        <is>
          <t>SS-SCR-005-SC11</t>
        </is>
      </c>
      <c r="C73" s="18" t="inlineStr">
        <is>
          <t>SS-SCR-005</t>
        </is>
      </c>
      <c r="D73" s="18" t="inlineStr">
        <is>
          <t>Rule BA 2026-08-24 (rule 5)</t>
        </is>
      </c>
      <c r="E73" s="18" t="inlineStr">
        <is>
          <t>Functional</t>
        </is>
      </c>
      <c r="F73" s="18" t="inlineStr">
        <is>
          <t>Sản phẩm match nhiều từ khoá hơn được xếp lên trên, dù cùng tier điểm số</t>
        </is>
      </c>
      <c r="G73" s="18" t="inlineStr">
        <is>
          <t>Catalogue có ≥2 sản phẩm cùng rơi vào 1 tier match (VD cùng tier Description) nhưng số từ khoá match khác nhau.</t>
        </is>
      </c>
      <c r="H73" s="18" t="inlineStr">
        <is>
          <t>1. Tìm kiếm 1 từ khoá gồm ≥3 từ, sao cho ≥2 sản phẩm cùng match qua 1 tier (VD Description/Synonym) nhưng 1 sản phẩm match nhiều từ hơn sản phẩm kia.
2. Quan sát thứ tự hiển thị của 2 sản phẩm này.</t>
        </is>
      </c>
      <c r="I73" s="18" t="inlineStr">
        <is>
          <t>Từ khoá đa từ, ≥2 SP cùng tier khác số từ match</t>
        </is>
      </c>
      <c r="J73" s="18" t="inlineStr">
        <is>
          <t>Sản phẩm match được NHIỀU từ khoá hơn hiển thị lên TRƯỚC sản phẩm match ít từ hơn, dù 2 sản phẩm thuộc cùng tier điểm số — đúng rule ưu tiên bổ sung (matching nhiều từ nhất lên đầu).</t>
        </is>
      </c>
      <c r="K73" s="18" t="inlineStr">
        <is>
          <t>Medium</t>
        </is>
      </c>
      <c r="L73" s="10" t="n"/>
      <c r="M73" s="10" t="inlineStr">
        <is>
          <t>Not Run</t>
        </is>
      </c>
      <c r="N73" s="10" t="n"/>
      <c r="O73" s="10" t="n"/>
      <c r="P73" s="18" t="n"/>
      <c r="Q73" s="18" t="inlineStr">
        <is>
          <t>Rule mới bổ sung từ meeting BA 2026-08-24 (AI_CONTEXT.md §3e, rule 5). Liên quan QnA-54 (đã trả lời theo rule này), QnA-66/QnA-67 (thứ tự ưu tiên tổng thể/tie-break Scorecard vẫn còn Open — rule 5 là 1 tiêu chí được xác nhận riêng, chưa xác định rõ vị trí tương đối với Out-of-stock/Personalization/Business rule của QnA-66).</t>
        </is>
      </c>
    </row>
    <row r="74" ht="38.25" customHeight="1">
      <c r="A74" s="18" t="inlineStr">
        <is>
          <t>SS-SCR-005-SC12-TC1</t>
        </is>
      </c>
      <c r="B74" s="18" t="inlineStr">
        <is>
          <t>SS-SCR-005-SC12</t>
        </is>
      </c>
      <c r="C74" s="18" t="inlineStr">
        <is>
          <t>SS-SCR-005</t>
        </is>
      </c>
      <c r="D74" s="18" t="inlineStr">
        <is>
          <t>Rule BA 2026-08-24 (rule 2)</t>
        </is>
      </c>
      <c r="E74" s="18" t="inlineStr">
        <is>
          <t>Functional</t>
        </is>
      </c>
      <c r="F74" s="18" t="inlineStr">
        <is>
          <t>Sản phẩm không Active (status khác 1) không hiển thị ở Search Result dù nội dung khớp</t>
        </is>
      </c>
      <c r="G74" s="18" t="inlineStr">
        <is>
          <t>Có ≥1 SKU trong catalogue ở trạng thái không Active mà tên/mô tả khớp hoàn toàn với từ khoá test.</t>
        </is>
      </c>
      <c r="H74" s="18" t="inlineStr">
        <is>
          <t>1. Xác định 1 SKU không Active, ghi nhận tên đầy đủ.
2. Tìm kiếm chính xác tên SKU đó.
3. Quan sát kết quả trả về.</t>
        </is>
      </c>
      <c r="I74" s="18" t="inlineStr">
        <is>
          <t>Tên đầy đủ 1 SKU không Active</t>
        </is>
      </c>
      <c r="J74" s="18" t="inlineStr">
        <is>
          <t>SKU không Active KHÔNG xuất hiện trong Search Result dù tên khớp 100% — Elasticsearch chỉ hiển thị sản phẩm đang Active (rule 2). Nếu SKU này là kết quả duy nhất khớp, hệ thống chuyển sang Zero Result (SS-SCR-012) thay vì hiển thị SKU không Active.</t>
        </is>
      </c>
      <c r="K74" s="18" t="inlineStr">
        <is>
          <t>High</t>
        </is>
      </c>
      <c r="L74" s="10" t="n"/>
      <c r="M74" s="10" t="inlineStr">
        <is>
          <t>Not Run</t>
        </is>
      </c>
      <c r="N74" s="10" t="n"/>
      <c r="O74" s="10" t="n"/>
      <c r="P74" s="18" t="inlineStr">
        <is>
          <t>QnA-69</t>
        </is>
      </c>
      <c r="Q74" s="18" t="inlineStr">
        <is>
          <t>Rule mới bổ sung từ meeting BA 2026-08-24 (AI_CONTEXT.md §3e, rule 2). LƯU Ý QUAN TRỌNG: field "Active" đang TẠM dùng `status` (Magento status: 1=Enabled/2=Disabled) theo chỉ định của user, CHƯA được BA/Dev xác nhận chính thức — có thể cần đổi sang ec_status/visibility_search/visibility_catalog. Xem QnA-69 (mới) và INT-09-SC5-TC1 (bản backend).</t>
        </is>
      </c>
    </row>
    <row r="75" ht="38.25" customHeight="1">
      <c r="A75" s="18" t="inlineStr">
        <is>
          <t>SS-SCR-005-SC13-TC1</t>
        </is>
      </c>
      <c r="B75" s="18" t="inlineStr">
        <is>
          <t>SS-SCR-005-SC13</t>
        </is>
      </c>
      <c r="C75" s="18" t="inlineStr">
        <is>
          <t>SS-SCR-005</t>
        </is>
      </c>
      <c r="D75" s="18" t="inlineStr">
        <is>
          <t>SRS Simplify User Flow Slide 5-6 (AC-03 Serving Store), B5</t>
        </is>
      </c>
      <c r="E75" s="18" t="inlineStr">
        <is>
          <t>Edge</t>
        </is>
      </c>
      <c r="F75" s="18" t="inlineStr">
        <is>
          <t>Đổi Serving Store khi đang ở trang kết quả: không tự reload, hỏi khách có làm mới không</t>
        </is>
      </c>
      <c r="G75" s="18" t="inlineStr">
        <is>
          <t>Đang ở trang kết quả của Store A, đã cuộn xuống giữa danh sách.</t>
        </is>
      </c>
      <c r="H75" s="18" t="inlineStr">
        <is>
          <t>1. Tìm 1 từ khoá có nhiều kết quả ở Store A, cuộn xuống giữa danh sách.
2. Đổi Serving Store sang B.
3. Quan sát trang kết quả và popup.
4. Chọn KHÔNG làm mới -&gt; quan sát.
5. Lặp lại, lần này chọn làm mới -&gt; quan sát.</t>
        </is>
      </c>
      <c r="I75" s="18" t="inlineStr">
        <is>
          <t>Từ khoá có tập kết quả khác nhau giữa Store A và Store B.</t>
        </is>
      </c>
      <c r="J75" s="18" t="inlineStr">
        <is>
          <t>Bước 3: trang KHÔNG tự reload, vị trí cuộn giữ nguyên, có popup hỏi làm mới kết quả (nội dung dạng "Đã đổi cửa hàng, bạn muốn làm mới kết quả tìm kiếm không?").
Bước 4: kết quả cũ giữ nguyên.
Bước 5: kết quả chạy lại theo Store B (catalogue/giá/tồn kho của B).</t>
        </is>
      </c>
      <c r="K75" s="18" t="inlineStr">
        <is>
          <t>Medium</t>
        </is>
      </c>
      <c r="L75" s="10" t="n"/>
      <c r="M75" s="10" t="inlineStr">
        <is>
          <t>Not Run</t>
        </is>
      </c>
      <c r="N75" s="10" t="n"/>
      <c r="O75" s="10" t="n"/>
      <c r="P75" s="18" t="inlineStr">
        <is>
          <t>QnA-64</t>
        </is>
      </c>
      <c r="Q75" s="18" t="inlineStr">
        <is>
          <t>Thêm mới 28/09/2026 theo QnA-64 ý (4). Câu chữ popup là đề xuất của BA, chấm theo ý nghĩa, không chấm từng chữ.</t>
        </is>
      </c>
    </row>
    <row r="76" ht="38.25" customHeight="1">
      <c r="A76" s="18" t="inlineStr">
        <is>
          <t>SS-SCR-005-SC13-TC2</t>
        </is>
      </c>
      <c r="B76" s="18" t="inlineStr">
        <is>
          <t>SS-SCR-005-SC13</t>
        </is>
      </c>
      <c r="C76" s="18" t="inlineStr">
        <is>
          <t>SS-SCR-005</t>
        </is>
      </c>
      <c r="D76" s="18" t="inlineStr">
        <is>
          <t>SRS Simplify User Flow Slide 5-6 (AC-03 Serving Store), B5</t>
        </is>
      </c>
      <c r="E76" s="18" t="inlineStr">
        <is>
          <t>Negative</t>
        </is>
      </c>
      <c r="F76" s="18" t="inlineStr">
        <is>
          <t>Sau khi đổi Serving Store, Thêm vào giỏ từ trang kết quả cũ luôn kiểm tra lại theo store mới</t>
        </is>
      </c>
      <c r="G76" s="18" t="inlineStr">
        <is>
          <t>Đã đổi Serving Store A -&gt; B nhưng CHƯA làm mới trang kết quả (vẫn hiện kết quả của A).</t>
        </is>
      </c>
      <c r="H76" s="18" t="inlineStr">
        <is>
          <t>1. Từ trang kết quả cũ, bấm Thêm vào giỏ SKU-U (không thuộc catalogue B).
2. Bấm Thêm vào giỏ SKU-V (thuộc B nhưng tồn kho tại B = 0).
3. Bấm Thêm vào giỏ SKU-W (thuộc B, còn hàng).
4. Mở giỏ hàng kiểm tra.</t>
        </is>
      </c>
      <c r="I76" s="18" t="inlineStr">
        <is>
          <t>SKU-U: chỉ bán ở A. SKU-V: có ở B, stock tại B = 0. SKU-W: có ở B, còn hàng.</t>
        </is>
      </c>
      <c r="J76" s="18" t="inlineStr">
        <is>
          <t>SKU-U và SKU-V: bị chặn, có thông báo lỗi rõ ràng, KHÔNG vào giỏ. SKU-W: thêm vào giỏ thành công với dữ liệu của Store B. Giỏ hàng không chứa sản phẩm nào sai store.</t>
        </is>
      </c>
      <c r="K76" s="18" t="inlineStr">
        <is>
          <t>High</t>
        </is>
      </c>
      <c r="L76" s="10" t="n"/>
      <c r="M76" s="10" t="inlineStr">
        <is>
          <t>Not Run</t>
        </is>
      </c>
      <c r="N76" s="10" t="n"/>
      <c r="O76" s="10" t="n"/>
      <c r="P76" s="18" t="inlineStr">
        <is>
          <t>QnA-64</t>
        </is>
      </c>
      <c r="Q76" s="18" t="inlineStr">
        <is>
          <t>Thêm mới 28/09/2026 theo QnA-64 ý (4) - lớp hard-validate.</t>
        </is>
      </c>
    </row>
    <row r="77" ht="63.75" customHeight="1">
      <c r="A77" s="9" t="inlineStr">
        <is>
          <t>SS-SCR-006-SC1-TC1</t>
        </is>
      </c>
      <c r="B77" s="9" t="inlineStr">
        <is>
          <t>SS-SCR-006-SC1</t>
        </is>
      </c>
      <c r="C77" s="9" t="inlineStr">
        <is>
          <t>SS-SCR-006</t>
        </is>
      </c>
      <c r="D77" s="9" t="inlineStr">
        <is>
          <t>FR-PR-01, FR-PR-07</t>
        </is>
      </c>
      <c r="E77" s="9" t="inlineStr">
        <is>
          <t>Functional</t>
        </is>
      </c>
      <c r="F77" s="9" t="inlineStr">
        <is>
          <t>Đổi chế độ xem không reset bộ lọc/sắp xếp</t>
        </is>
      </c>
      <c r="G77" s="9" t="inlineStr">
        <is>
          <t>Chế độ xem = List.</t>
        </is>
      </c>
      <c r="H77" s="9" t="inlineStr">
        <is>
          <t>1. Ở trang kết quả Grid, áp dụng filter "Không đường" và sort "Giá thấp-cao".
2. Chuyển sang chế độ List.
3. Kiểm tra filter chip "Không đường" và nhãn sort trên thanh sticky.</t>
        </is>
      </c>
      <c r="I77" s="9" t="inlineStr">
        <is>
          <t>Filter=Không đường, Sort=Giá ↑</t>
        </is>
      </c>
      <c r="J77" s="9" t="inlineStr">
        <is>
          <t>Sau khi chuyển sang List, filter "Không đường" và sort "Giá thấp-cao" vẫn được giữ nguyên, không bị reset về mặc định.</t>
        </is>
      </c>
      <c r="K77" s="9" t="inlineStr">
        <is>
          <t>Medium</t>
        </is>
      </c>
      <c r="L77" s="10" t="n"/>
      <c r="M77" s="10" t="inlineStr">
        <is>
          <t>Not Run</t>
        </is>
      </c>
      <c r="N77" s="10" t="n"/>
      <c r="O77" s="10" t="n"/>
      <c r="P77" s="9" t="n"/>
      <c r="Q77" s="9" t="n"/>
    </row>
    <row r="78" ht="51" customHeight="1">
      <c r="A78" s="9" t="inlineStr">
        <is>
          <t>SS-SCR-006-SC1-TC2</t>
        </is>
      </c>
      <c r="B78" s="9" t="inlineStr">
        <is>
          <t>SS-SCR-006-SC1</t>
        </is>
      </c>
      <c r="C78" s="9" t="inlineStr">
        <is>
          <t>SS-SCR-006</t>
        </is>
      </c>
      <c r="D78" s="9" t="inlineStr">
        <is>
          <t>FR-PR-01, FR-PR-07</t>
        </is>
      </c>
      <c r="E78" s="9" t="inlineStr">
        <is>
          <t>Boundary</t>
        </is>
      </c>
      <c r="F78" s="9" t="inlineStr">
        <is>
          <t>Cuộn vô hạn không trùng lặp SKU khi tải lô kế tiếp</t>
        </is>
      </c>
      <c r="G78" s="9" t="inlineStr">
        <is>
          <t>Chế độ xem = List.</t>
        </is>
      </c>
      <c r="H78" s="9" t="inlineStr">
        <is>
          <t>1. Ở trang kết quả List với &gt;40 sản phẩm.
2. Cuộn xuống đáy danh sách lô đầu tiên, chờ lô kế tiếp tự tải.
3. Ghi lại danh sách Product ID của 2 lô liên tiếp và so sánh.</t>
        </is>
      </c>
      <c r="I78" s="9" t="inlineStr">
        <is>
          <t>Tập kết quả &gt;40 SKU</t>
        </is>
      </c>
      <c r="J78" s="9" t="inlineStr">
        <is>
          <t>Không có Product ID trùng lặp giữa 2 lô liên tiếp; kích thước lô nhất quán theo cấu hình đã chốt (20 hoặc 40 SKU/lô — xem ghi chú storyboard 'cần chốt kích thước lô').</t>
        </is>
      </c>
      <c r="K78" s="9" t="inlineStr">
        <is>
          <t>Medium</t>
        </is>
      </c>
      <c r="L78" s="10" t="n"/>
      <c r="M78" s="10" t="inlineStr">
        <is>
          <t>Not Run</t>
        </is>
      </c>
      <c r="N78" s="10" t="n"/>
      <c r="O78" s="10" t="n"/>
      <c r="P78" s="9" t="n"/>
      <c r="Q78" s="9" t="inlineStr">
        <is>
          <t>Kích thước lô (20/40) và hành vi khi mất mạng giữa chừng chưa được storyboard chốt cụ thể; test case dùng giá trị cấu hình thực tế khi thực thi.</t>
        </is>
      </c>
    </row>
    <row r="79" ht="76.5" customHeight="1">
      <c r="A79" s="18" t="inlineStr">
        <is>
          <t>SS-SCR-006-SC1-TC3</t>
        </is>
      </c>
      <c r="B79" s="18" t="inlineStr">
        <is>
          <t>SS-SCR-006-SC1</t>
        </is>
      </c>
      <c r="C79" s="18" t="inlineStr">
        <is>
          <t>SS-SCR-006</t>
        </is>
      </c>
      <c r="D79" s="18" t="inlineStr">
        <is>
          <t>FR-PR-01, FR-PR-07</t>
        </is>
      </c>
      <c r="E79" s="18" t="inlineStr">
        <is>
          <t>Boundary</t>
        </is>
      </c>
      <c r="F79" s="18" t="inlineStr">
        <is>
          <t>Chế độ List khi Thành viên đăng nhập lần đầu trên thiết bị khác — TBD đồng bộ (song song SS-SCR-005-SC1-TC3)</t>
        </is>
      </c>
      <c r="G79" s="18" t="inlineStr">
        <is>
          <t>Thành viên đã từng chọn List trên Thiết bị A.</t>
        </is>
      </c>
      <c r="H79" s="18" t="inlineStr">
        <is>
          <t>1. Trên Thiết bị A, đổi chế độ xem sang List.
2. Đăng nhập cùng tài khoản trên Thiết bị B (lần đầu).
3. Vào trang kết quả trên Thiết bị B, quan sát chế độ xem mặc định.</t>
        </is>
      </c>
      <c r="I79" s="18" t="inlineStr">
        <is>
          <t>Cùng cơ chế với SS-SCR-005-SC1-TC3, kiểm chứng lại ở chiều List→thiết bị mới</t>
        </is>
      </c>
      <c r="J79" s="18" t="inlineStr">
        <is>
          <t>ĐÃ XÁC NHẬN (QnA-29): giống SS-SCR-005-SC1-TC3 - Thiết bị B đăng nhập lần đầu mặc định GRID, không kế thừa từ tài khoản.</t>
        </is>
      </c>
      <c r="K79" s="18" t="inlineStr">
        <is>
          <t>Low</t>
        </is>
      </c>
      <c r="L79" s="10" t="n"/>
      <c r="M79" s="10" t="inlineStr">
        <is>
          <t>N/A</t>
        </is>
      </c>
      <c r="N79" s="10" t="n"/>
      <c r="O79" s="10" t="n"/>
      <c r="P79" s="18" t="inlineStr">
        <is>
          <t>QnA-29</t>
        </is>
      </c>
      <c r="Q79" s="18" t="inlineStr">
        <is>
          <t>RESOLVED QnA-29 (BA 26/08/2026).</t>
        </is>
      </c>
    </row>
    <row r="80" ht="63.75" customHeight="1">
      <c r="A80" s="18" t="inlineStr">
        <is>
          <t>SS-SCR-006-SC1-TC4</t>
        </is>
      </c>
      <c r="B80" s="18" t="inlineStr">
        <is>
          <t>SS-SCR-006-SC1</t>
        </is>
      </c>
      <c r="C80" s="18" t="inlineStr">
        <is>
          <t>SS-SCR-006</t>
        </is>
      </c>
      <c r="D80" s="18" t="inlineStr">
        <is>
          <t>FR-PR-01, FR-PR-07</t>
        </is>
      </c>
      <c r="E80" s="18" t="inlineStr">
        <is>
          <t>Boundary</t>
        </is>
      </c>
      <c r="F80" s="18" t="inlineStr">
        <is>
          <t>Chế độ List khi 2 tài khoản đăng nhập lần lượt trên cùng thiết bị — TBD kế thừa (song song SS-SCR-005-SC1-TC4)</t>
        </is>
      </c>
      <c r="G80" s="18" t="inlineStr">
        <is>
          <t>Account 1 đã chọn List trên thiết bị dùng chung.</t>
        </is>
      </c>
      <c r="H80" s="18" t="inlineStr">
        <is>
          <t>1. Account 1 chọn List, logout.
2. Account 2 login trên cùng thiết bị, vào trang kết quả.
3. Quan sát chế độ xem mặc định cho Account 2.</t>
        </is>
      </c>
      <c r="I80" s="18" t="inlineStr">
        <is>
          <t>Cùng cơ chế với SS-SCR-005-SC1-TC4</t>
        </is>
      </c>
      <c r="J80" s="18" t="inlineStr">
        <is>
          <t>ĐÃ XÁC NHẬN (QnA-29): giống SS-SCR-005-SC1-TC4 - Account 2 kế thừa List trên cùng thiết bị.</t>
        </is>
      </c>
      <c r="K80" s="18" t="inlineStr">
        <is>
          <t>Low</t>
        </is>
      </c>
      <c r="L80" s="10" t="n"/>
      <c r="M80" s="10" t="inlineStr">
        <is>
          <t>N/A</t>
        </is>
      </c>
      <c r="N80" s="10" t="n"/>
      <c r="O80" s="10" t="n"/>
      <c r="P80" s="18" t="inlineStr">
        <is>
          <t>QnA-29</t>
        </is>
      </c>
      <c r="Q80" s="18" t="inlineStr">
        <is>
          <t>RESOLVED QnA-29 (BA 26/08/2026).</t>
        </is>
      </c>
    </row>
    <row r="81" ht="38.25" customHeight="1">
      <c r="A81" s="9" t="inlineStr">
        <is>
          <t>SS-SCR-006-SC2-TC1</t>
        </is>
      </c>
      <c r="B81" s="9" t="inlineStr">
        <is>
          <t>SS-SCR-006-SC2</t>
        </is>
      </c>
      <c r="C81" s="9" t="inlineStr">
        <is>
          <t>SS-SCR-006</t>
        </is>
      </c>
      <c r="D81" s="9" t="inlineStr">
        <is>
          <t>FR-PR-01, FR-PR-07</t>
        </is>
      </c>
      <c r="E81" s="9" t="inlineStr">
        <is>
          <t>Edge</t>
        </is>
      </c>
      <c r="F81" s="9" t="inlineStr">
        <is>
          <t>Placeholder khi ảnh sản phẩm lỗi ở chế độ Danh sách</t>
        </is>
      </c>
      <c r="G81" s="9" t="inlineStr">
        <is>
          <t>Trang kết quả List đang tải.</t>
        </is>
      </c>
      <c r="H81" s="9" t="inlineStr">
        <is>
          <t>1. Thiết lập 1 SKU có URL ảnh không hợp lệ.
2. Tìm kiếm từ khoá khớp SKU đó, chuyển sang chế độ Danh sách.
3. Quan sát ô ảnh của SKU lỗi.</t>
        </is>
      </c>
      <c r="I81" s="9" t="inlineStr">
        <is>
          <t>1 SKU ảnh lỗi</t>
        </is>
      </c>
      <c r="J81" s="9" t="inlineStr">
        <is>
          <t>Hiển thị placeholder trung tính (không phải icon vỡ ảnh mặc định của hệ thống); tên, giá, rating của dòng đó vẫn hiển thị đầy đủ, layout không bị lệch.</t>
        </is>
      </c>
      <c r="K81" s="9" t="inlineStr">
        <is>
          <t>Medium</t>
        </is>
      </c>
      <c r="L81" s="10" t="n"/>
      <c r="M81" s="10" t="inlineStr">
        <is>
          <t>Not Run</t>
        </is>
      </c>
      <c r="N81" s="10" t="n"/>
      <c r="O81" s="10" t="n"/>
      <c r="P81" s="9" t="n"/>
      <c r="Q81" s="9" t="n"/>
    </row>
    <row r="82" ht="51" customHeight="1">
      <c r="A82" s="11" t="inlineStr">
        <is>
          <t>SS-SCR-006-SC3-TC1</t>
        </is>
      </c>
      <c r="B82" s="11" t="inlineStr">
        <is>
          <t>SS-SCR-006-SC3</t>
        </is>
      </c>
      <c r="C82" s="11" t="inlineStr">
        <is>
          <t>SS-SCR-006</t>
        </is>
      </c>
      <c r="D82" s="11" t="inlineStr">
        <is>
          <t>FR-PR-01, FR-PR-07</t>
        </is>
      </c>
      <c r="E82" s="11" t="inlineStr">
        <is>
          <t>Boundary</t>
        </is>
      </c>
      <c r="F82" s="11" t="inlineStr">
        <is>
          <t>Hiển thị rating cho sản phẩm chưa có đánh giá — cách xử lý chưa rõ</t>
        </is>
      </c>
      <c r="G82" s="11" t="inlineStr">
        <is>
          <t>Sản phẩm mới, chưa có review.</t>
        </is>
      </c>
      <c r="H82" s="11" t="inlineStr">
        <is>
          <t>1. Thiết lập 1 SKU có 0 review.
2. Tìm kiếm khớp SKU đó, chuyển chế độ Danh sách.
3. Quan sát vùng rating của SKU này.</t>
        </is>
      </c>
      <c r="I82" s="11" t="inlineStr">
        <is>
          <t>1 SKU 0 review</t>
        </is>
      </c>
      <c r="J82" s="11" t="inlineStr">
        <is>
          <t>OUT OF SCOPE v1 (QnA-30): hiển thị rating cho từng SKU thuộc spec Product Card (tài liệu riêng - BRD đã trỏ 'xem rule ở tài liệu khác') =&gt; ngoài phạm vi bộ test Smart Search. Giữ nguyên TC để tham chiếu; yêu cầu tối thiểu vẫn áp dụng khi nghiệm thu Product Card: KHÔNG hiển thị '0.0 sao (0)'/NaN.</t>
        </is>
      </c>
      <c r="K82" s="11" t="inlineStr">
        <is>
          <t>Low</t>
        </is>
      </c>
      <c r="L82" s="10" t="n"/>
      <c r="M82" s="10" t="inlineStr">
        <is>
          <t>N/A</t>
        </is>
      </c>
      <c r="N82" s="10" t="n"/>
      <c r="O82" s="10" t="n"/>
      <c r="P82" s="11" t="inlineStr">
        <is>
          <t>QnA-30</t>
        </is>
      </c>
      <c r="Q82" s="11" t="inlineStr">
        <is>
          <t>OUT OF SCOPE v1 - QnA-30 (BA 27/08/2026): rating hiển thị thuộc Product Card spec.</t>
        </is>
      </c>
    </row>
    <row r="83" ht="38.25" customHeight="1">
      <c r="A83" s="9" t="inlineStr">
        <is>
          <t>SS-SCR-006-SC4-TC1</t>
        </is>
      </c>
      <c r="B83" s="9" t="inlineStr">
        <is>
          <t>SS-SCR-006-SC4</t>
        </is>
      </c>
      <c r="C83" s="9" t="inlineStr">
        <is>
          <t>SS-SCR-006</t>
        </is>
      </c>
      <c r="D83" s="9" t="inlineStr">
        <is>
          <t>FR-PR-01, FR-PR-07</t>
        </is>
      </c>
      <c r="E83" s="9" t="inlineStr">
        <is>
          <t>Functional</t>
        </is>
      </c>
      <c r="F83" s="9" t="inlineStr">
        <is>
          <t>Tap Product Card (ngoài nút +) ở chế độ List mở đúng PDP</t>
        </is>
      </c>
      <c r="G83" s="9" t="inlineStr">
        <is>
          <t>Chế độ xem = List, trang kết quả đã tải.</t>
        </is>
      </c>
      <c r="H83" s="9" t="inlineStr">
        <is>
          <t>1. Ở trang kết quả "sữa", chế độ List, tap vào vùng ảnh/tên của 1 dòng sản phẩm (không tap nút +).
2. Quan sát trang mở ra.</t>
        </is>
      </c>
      <c r="I83" s="9" t="inlineStr">
        <is>
          <t>1 dòng sản phẩm bất kỳ (List)</t>
        </is>
      </c>
      <c r="J83" s="9" t="inlineStr">
        <is>
          <t>Mở đúng PDP của sản phẩm đã tap, hành vi nhất quán với SS-SCR-005-SC3-TC1 (Grid); không kích hoạt add-to-cart nhầm.</t>
        </is>
      </c>
      <c r="K83" s="9" t="inlineStr">
        <is>
          <t>High</t>
        </is>
      </c>
      <c r="L83" s="10" t="n"/>
      <c r="M83" s="10" t="inlineStr">
        <is>
          <t>Not Run</t>
        </is>
      </c>
      <c r="N83" s="10" t="n"/>
      <c r="O83" s="10" t="n"/>
      <c r="P83" s="9" t="n"/>
      <c r="Q83" s="9" t="n"/>
    </row>
    <row r="84" ht="38.25" customHeight="1">
      <c r="A84" s="18" t="inlineStr">
        <is>
          <t>SS-SCR-006-SC5-TC1</t>
        </is>
      </c>
      <c r="B84" s="18" t="inlineStr">
        <is>
          <t>SS-SCR-006-SC5</t>
        </is>
      </c>
      <c r="C84" s="18" t="inlineStr">
        <is>
          <t>SS-SCR-006</t>
        </is>
      </c>
      <c r="D84" s="18" t="inlineStr">
        <is>
          <t>Không có FR ID rõ ràng trong BRD — xem QnA-07</t>
        </is>
      </c>
      <c r="E84" s="18" t="inlineStr">
        <is>
          <t>Functional</t>
        </is>
      </c>
      <c r="F84" s="18" t="inlineStr">
        <is>
          <t>Tap nút (+) thêm giỏ hàng ở chế độ List, không mở nhầm PDP</t>
        </is>
      </c>
      <c r="G84" s="18" t="inlineStr">
        <is>
          <t>Chế độ xem = List, ≥1 sản phẩm còn hàng.</t>
        </is>
      </c>
      <c r="H84" s="18" t="inlineStr">
        <is>
          <t>1. Ở trang kết quả "sữa", chế độ List, tap chính xác vào nút (+) của 1 dòng sản phẩm.
2. Quan sát badge giỏ hàng và Toast xác nhận.
3. Xác nhận vẫn ở trang kết quả (không bị điều hướng PDP).</t>
        </is>
      </c>
      <c r="I84" s="18" t="inlineStr">
        <is>
          <t>Tap (+) trên 1 dòng còn hàng (List)</t>
        </is>
      </c>
      <c r="J84" s="18" t="inlineStr">
        <is>
          <t>OUT OF SCOPE Smart Search (QnA-07): 'Thêm vào giỏ hàng' KHÔNG nằm trong scope Smart Search (thuộc module giỏ hàng). Giữ nguyên nội dung TC để tham chiếu / bàn giao cho bộ test module giỏ hàng.</t>
        </is>
      </c>
      <c r="K84" s="18" t="inlineStr">
        <is>
          <t>High</t>
        </is>
      </c>
      <c r="L84" s="10" t="n"/>
      <c r="M84" s="10" t="inlineStr">
        <is>
          <t>N/A</t>
        </is>
      </c>
      <c r="N84" s="10" t="n"/>
      <c r="O84" s="10" t="n"/>
      <c r="P84" s="18" t="inlineStr">
        <is>
          <t>QnA-07</t>
        </is>
      </c>
      <c r="Q84" s="18" t="inlineStr">
        <is>
          <t>OUT OF SCOPE - QnA-07 (BA 24/08/2026): Add to cart ngoài scope Smart Search.</t>
        </is>
      </c>
    </row>
    <row r="85" ht="76.5" customHeight="1">
      <c r="A85" s="9" t="inlineStr">
        <is>
          <t>SS-SCR-008-SC1-TC1</t>
        </is>
      </c>
      <c r="B85" s="9" t="inlineStr">
        <is>
          <t>SS-SCR-008-SC1</t>
        </is>
      </c>
      <c r="C85" s="9" t="inlineStr">
        <is>
          <t>SS-SCR-008</t>
        </is>
      </c>
      <c r="D85" s="9" t="inlineStr">
        <is>
          <t>FR-SF-02, FR-PR-06</t>
        </is>
      </c>
      <c r="E85" s="9" t="inlineStr">
        <is>
          <t>Sort</t>
        </is>
      </c>
      <c r="F85" s="9" t="inlineStr">
        <is>
          <t>Chọn tiêu chí sắp xếp áp dụng ngay lập tức, giữ nguyên bộ lọc</t>
        </is>
      </c>
      <c r="G85" s="9" t="inlineStr">
        <is>
          <t>Đang ở trang kết quả với bộ lọc đang áp dụng.</t>
        </is>
      </c>
      <c r="H85" s="9" t="inlineStr">
        <is>
          <t>1. Ở trang kết quả "sữa", áp dụng filter "Hữu cơ".
2. Mở bottom sheet Sắp xếp (tap "Liên quan nhất" trên thanh sticky).
3. Chọn "Giá từ thấp đến cao".
4. Quan sát UI ngay sau khi chọn.</t>
        </is>
      </c>
      <c r="I85" s="9" t="inlineStr">
        <is>
          <t>Filter=Hữu cơ, chọn Sort=Giá ↑</t>
        </is>
      </c>
      <c r="J85" s="9" t="inlineStr">
        <is>
          <t>Sheet đóng ngay không cần nút Áp dụng riêng; danh sách chạy lại truy vấn, sắp xếp theo giá tăng dần trong PHẠM VI đã lọc "Hữu cơ"; cuộn về đầu danh sách; nhãn trên thanh sticky đổi thành "Giá từ thấp đến cao".</t>
        </is>
      </c>
      <c r="K85" s="9" t="inlineStr">
        <is>
          <t>High</t>
        </is>
      </c>
      <c r="L85" s="10" t="n"/>
      <c r="M85" s="10" t="inlineStr">
        <is>
          <t>Not Run</t>
        </is>
      </c>
      <c r="N85" s="10" t="n"/>
      <c r="O85" s="10" t="n"/>
      <c r="P85" s="9" t="n"/>
      <c r="Q85" s="9" t="n"/>
    </row>
    <row r="86" ht="63.75" customHeight="1">
      <c r="A86" s="11" t="inlineStr">
        <is>
          <t>SS-SCR-008-SC1-TC2</t>
        </is>
      </c>
      <c r="B86" s="11" t="inlineStr">
        <is>
          <t>SS-SCR-008-SC1</t>
        </is>
      </c>
      <c r="C86" s="11" t="inlineStr">
        <is>
          <t>SS-SCR-008</t>
        </is>
      </c>
      <c r="D86" s="11" t="inlineStr">
        <is>
          <t>FR-SF-02, FR-PR-06</t>
        </is>
      </c>
      <c r="E86" s="11" t="inlineStr">
        <is>
          <t>Validation</t>
        </is>
      </c>
      <c r="F86" s="11" t="inlineStr">
        <is>
          <t>Danh sách 8 tiêu chí sắp xếp đúng với đặc tả đã chốt</t>
        </is>
      </c>
      <c r="G86" s="11" t="inlineStr">
        <is>
          <t>Đang ở trang kết quả với bộ lọc đang áp dụng.</t>
        </is>
      </c>
      <c r="H86" s="11" t="inlineStr">
        <is>
          <t>1. Mở bottom sheet Sắp xếp.
2. Đếm và đối chiếu tên từng tiêu chí với danh sách đã chốt chính thức.</t>
        </is>
      </c>
      <c r="I86" s="11" t="inlineStr">
        <is>
          <t>N/A</t>
        </is>
      </c>
      <c r="J86" s="11" t="inlineStr">
        <is>
          <t>ĐÃ XÁC NHẬN (QnA-12): danh sách 8 tiêu chí sắp xếp theo ĐÚNG SS-SCR-008 (Liên quan nhất, Bán chạy nhất, Xem nhiều nhất, Giảm giá nhiều nhất, Đánh giá cao nhất, Giá thấp-&gt;cao, Giá cao-&gt;thấp, Tên A-Z) - BAO GỒM 'Xem nhiều nhất'. BRD đã update khớp SS-SCR-008. Pass = sheet Sắp xếp hiển thị đúng 8 mục này, đúng thứ tự.</t>
        </is>
      </c>
      <c r="K86" s="11" t="inlineStr">
        <is>
          <t>Medium</t>
        </is>
      </c>
      <c r="L86" s="10" t="n"/>
      <c r="M86" s="10" t="inlineStr">
        <is>
          <t>N/A</t>
        </is>
      </c>
      <c r="N86" s="10" t="n"/>
      <c r="O86" s="10" t="n"/>
      <c r="P86" s="11" t="inlineStr">
        <is>
          <t>QnA-12</t>
        </is>
      </c>
      <c r="Q86" s="11" t="inlineStr">
        <is>
          <t>RESOLVED QnA-12 (BA 24/08/2026): follow SS-SCR-008, BRD đã update.</t>
        </is>
      </c>
    </row>
    <row r="87" ht="51" customHeight="1">
      <c r="A87" s="18" t="inlineStr">
        <is>
          <t>SS-SCR-008-SC1-TC3</t>
        </is>
      </c>
      <c r="B87" s="18" t="inlineStr">
        <is>
          <t>SS-SCR-008-SC1</t>
        </is>
      </c>
      <c r="C87" s="18" t="inlineStr">
        <is>
          <t>SS-SCR-008</t>
        </is>
      </c>
      <c r="D87" s="18" t="inlineStr">
        <is>
          <t>FR-SF-02, FR-PR-06</t>
        </is>
      </c>
      <c r="E87" s="18" t="inlineStr">
        <is>
          <t>Ranking</t>
        </is>
      </c>
      <c r="F87" s="18" t="inlineStr">
        <is>
          <t>Verify "Liên quan nhất" không rơi về sắp xếp mặc định khác (sanity-check AI ranking)</t>
        </is>
      </c>
      <c r="G87" s="18" t="inlineStr">
        <is>
          <t>Kết quả "sữa" có nhiều sản phẩm với giá/rating/mức giảm giá khác nhau.</t>
        </is>
      </c>
      <c r="H87" s="18" t="inlineStr">
        <is>
          <t>1. Tìm "sữa", giữ nguyên sort mặc định "Liên quan nhất".
2. Ghi lại thứ tự Top 10 sản phẩm.
3. So sánh thứ tự này với thứ tự nếu sắp theo Giá tăng dần và theo Tên A-Z.
4. Xác nhận thứ tự "Liên quan nhất" không trùng khớp hoàn toàn với 2 cách sắp xếp đơn giản trên.</t>
        </is>
      </c>
      <c r="I87" s="18" t="inlineStr">
        <is>
          <t>"sữa" (Top 10)</t>
        </is>
      </c>
      <c r="J87" s="18" t="inlineStr">
        <is>
          <t>Thứ tự Top 10 theo "Liên quan nhất" khác với thứ tự theo Giá tăng dần và khác thứ tự theo Tên A-Z (trừ trùng ngẫu nhiên hiếm gặp) — xác nhận hệ thống đang áp dụng AI Scorecard Ranking (Relevance/Purchase Affinity/Margin/Promotion/Trending theo BRD) chứ không lặng lẽ fallback về sort đơn giản. Trọng số cụ thể không thể verify độc lập bởi QC — xem QnA-32.</t>
        </is>
      </c>
      <c r="K87" s="18" t="inlineStr">
        <is>
          <t>Medium</t>
        </is>
      </c>
      <c r="L87" s="10" t="n"/>
      <c r="M87" s="10" t="inlineStr">
        <is>
          <t>N/A</t>
        </is>
      </c>
      <c r="N87" s="10" t="n"/>
      <c r="O87" s="10" t="n"/>
      <c r="P87" s="18" t="inlineStr">
        <is>
          <t>QnA-32, QnA-60</t>
        </is>
      </c>
      <c r="Q87" s="18" t="inlineStr">
        <is>
          <t>OPEN — QnA-32: xem chi tiết trong file QnA log. |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88" ht="63.75" customHeight="1">
      <c r="A88" s="18" t="inlineStr">
        <is>
          <t>SS-SCR-008-SC1-TC4</t>
        </is>
      </c>
      <c r="B88" s="18" t="inlineStr">
        <is>
          <t>SS-SCR-008-SC1</t>
        </is>
      </c>
      <c r="C88" s="18" t="inlineStr">
        <is>
          <t>SS-SCR-008</t>
        </is>
      </c>
      <c r="D88" s="18" t="inlineStr">
        <is>
          <t>FR-SF-02, FR-PR-06</t>
        </is>
      </c>
      <c r="E88" s="18" t="inlineStr">
        <is>
          <t>Ranking</t>
        </is>
      </c>
      <c r="F88" s="18" t="inlineStr">
        <is>
          <t>Verify "Bán chạy nhất" sắp theo Lượt mua cao nhất giảm dần</t>
        </is>
      </c>
      <c r="G88" s="18" t="inlineStr">
        <is>
          <t>Có dữ liệu lượt mua (order/purchase count) khác nhau giữa các SKU trong tập kết quả.</t>
        </is>
      </c>
      <c r="H88" s="18" t="inlineStr">
        <is>
          <t>1. Tìm "sữa", chọn Sort = "Bán chạy nhất".
2. Ghi lại lượt mua (nếu expose được qua API/trang admin) của 5 SKU đầu tiên.
3. Xác nhận thứ tự giảm dần.</t>
        </is>
      </c>
      <c r="I88" s="18" t="inlineStr">
        <is>
          <t>Sort = "Bán chạy nhất"</t>
        </is>
      </c>
      <c r="J88" s="18" t="inlineStr">
        <is>
          <t>TBD — 5 SKU đầu tiên phải có lượt mua giảm dần liên tục (SKU sau &lt;= SKU trước); chưa xác định "Lượt mua" tính theo Order Count (giống FR-PS-03) hay Item Quantity, và khung thời gian tính (all-time hay rolling window). Xem QnA-32.</t>
        </is>
      </c>
      <c r="K88" s="18" t="inlineStr">
        <is>
          <t>Medium</t>
        </is>
      </c>
      <c r="L88" s="10" t="n"/>
      <c r="M88" s="10" t="inlineStr">
        <is>
          <t>N/A</t>
        </is>
      </c>
      <c r="N88" s="10" t="n"/>
      <c r="O88" s="10" t="n"/>
      <c r="P88" s="18" t="inlineStr">
        <is>
          <t>QnA-32, QnA-60</t>
        </is>
      </c>
      <c r="Q88" s="18" t="inlineStr">
        <is>
          <t>OPEN — QnA-32: xem chi tiết trong file QnA log. |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89" ht="38.25" customHeight="1">
      <c r="A89" s="18" t="inlineStr">
        <is>
          <t>SS-SCR-008-SC1-TC5</t>
        </is>
      </c>
      <c r="B89" s="18" t="inlineStr">
        <is>
          <t>SS-SCR-008-SC1</t>
        </is>
      </c>
      <c r="C89" s="18" t="inlineStr">
        <is>
          <t>SS-SCR-008</t>
        </is>
      </c>
      <c r="D89" s="18" t="inlineStr">
        <is>
          <t>FR-SF-02, FR-PR-06</t>
        </is>
      </c>
      <c r="E89" s="18" t="inlineStr">
        <is>
          <t>Ranking</t>
        </is>
      </c>
      <c r="F89" s="18" t="inlineStr">
        <is>
          <t>Verify "Xem nhiều nhất" sắp theo lượt xem/quan tâm giảm dần</t>
        </is>
      </c>
      <c r="G89" s="18" t="inlineStr">
        <is>
          <t>Có dữ liệu lượt xem sản phẩm (page view/PDP view count) khác nhau.</t>
        </is>
      </c>
      <c r="H89" s="18" t="inlineStr">
        <is>
          <t>1. Tìm "sữa", chọn Sort = "Xem nhiều nhất".
2. Ghi lại lượt xem của 5 SKU đầu (nếu expose được).
3. Xác nhận thứ tự giảm dần.</t>
        </is>
      </c>
      <c r="I89" s="18" t="inlineStr">
        <is>
          <t>Sort = "Xem nhiều nhất"</t>
        </is>
      </c>
      <c r="J89" s="18" t="inlineStr">
        <is>
          <t>TBD — 5 SKU đầu giảm dần theo lượt xem; chưa rõ "được quan tâm nhiều" tính theo lượt xem PDP, lượt xuất hiện trong kết quả tìm kiếm (impression), hay cả hai, và khung thời gian tính. Xem QnA-32.</t>
        </is>
      </c>
      <c r="K89" s="18" t="inlineStr">
        <is>
          <t>Low</t>
        </is>
      </c>
      <c r="L89" s="10" t="n"/>
      <c r="M89" s="10" t="inlineStr">
        <is>
          <t>N/A</t>
        </is>
      </c>
      <c r="N89" s="10" t="n"/>
      <c r="O89" s="10" t="n"/>
      <c r="P89" s="18" t="inlineStr">
        <is>
          <t>QnA-32, QnA-60</t>
        </is>
      </c>
      <c r="Q89" s="18" t="inlineStr">
        <is>
          <t>OPEN — QnA-32: xem chi tiết trong file QnA log. |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90" ht="38.25" customHeight="1">
      <c r="A90" s="9" t="inlineStr">
        <is>
          <t>SS-SCR-008-SC1-TC6</t>
        </is>
      </c>
      <c r="B90" s="9" t="inlineStr">
        <is>
          <t>SS-SCR-008-SC1</t>
        </is>
      </c>
      <c r="C90" s="9" t="inlineStr">
        <is>
          <t>SS-SCR-008</t>
        </is>
      </c>
      <c r="D90" s="9" t="inlineStr">
        <is>
          <t>FR-SF-02, FR-PR-06</t>
        </is>
      </c>
      <c r="E90" s="9" t="inlineStr">
        <is>
          <t>Ranking</t>
        </is>
      </c>
      <c r="F90" s="9" t="inlineStr">
        <is>
          <t>Verify "Giảm giá nhiều nhất" sắp theo % khuyến mãi giảm dần</t>
        </is>
      </c>
      <c r="G90" s="9" t="inlineStr">
        <is>
          <t>Có SKU với % giảm giá khác nhau (kể cả SKU không giảm giá = 0%) trong tập kết quả.</t>
        </is>
      </c>
      <c r="H90" s="9" t="inlineStr">
        <is>
          <t>1. Tìm "sữa", chọn Sort = "Giảm giá nhiều nhất".
2. Ghi lại % giảm giá hiển thị trên badge của 5-10 SKU đầu.
3. Xác nhận thứ tự % giảm dần; kiểm tra SKU 0% giảm giá bị đẩy xuống cuối.</t>
        </is>
      </c>
      <c r="I90" s="9" t="inlineStr">
        <is>
          <t>Sort = "Giảm giá nhiều nhất"</t>
        </is>
      </c>
      <c r="J90" s="9" t="inlineStr">
        <is>
          <t>% giảm giá giảm dần liên tục từ SKU đầu; SKU không có khuyến mãi (0%) nằm ở cuối danh sách, không xen giữa các SKU có giảm giá.</t>
        </is>
      </c>
      <c r="K90" s="9" t="inlineStr">
        <is>
          <t>Medium</t>
        </is>
      </c>
      <c r="L90" s="10" t="n"/>
      <c r="M90" s="10" t="inlineStr">
        <is>
          <t>Not Run</t>
        </is>
      </c>
      <c r="N90" s="10" t="n"/>
      <c r="O90" s="10" t="n"/>
      <c r="P90" s="9" t="inlineStr">
        <is>
          <t>QnA-60</t>
        </is>
      </c>
      <c r="Q90" s="9" t="inlineStr">
        <is>
          <t>|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91" ht="76.5" customHeight="1">
      <c r="A91" s="18" t="inlineStr">
        <is>
          <t>SS-SCR-008-SC1-TC7</t>
        </is>
      </c>
      <c r="B91" s="18" t="inlineStr">
        <is>
          <t>SS-SCR-008-SC1</t>
        </is>
      </c>
      <c r="C91" s="18" t="inlineStr">
        <is>
          <t>SS-SCR-008</t>
        </is>
      </c>
      <c r="D91" s="18" t="inlineStr">
        <is>
          <t>FR-SF-02, FR-PR-06</t>
        </is>
      </c>
      <c r="E91" s="18" t="inlineStr">
        <is>
          <t>Ranking</t>
        </is>
      </c>
      <c r="F91" s="18" t="inlineStr">
        <is>
          <t>Verify "Đánh giá cao nhất" sắp theo sao trung bình giảm dần</t>
        </is>
      </c>
      <c r="G91" s="18" t="inlineStr">
        <is>
          <t>Có SKU với số sao trung bình và số lượng review khác nhau (kể cả SKU 5 sao nhưng chỉ 1 review, và SKU 4.8 sao với 1000 review).</t>
        </is>
      </c>
      <c r="H91" s="18" t="inlineStr">
        <is>
          <t>1. Tìm "sữa", chọn Sort = "Đánh giá cao nhất".
2. Ghi lại sao trung bình của 5-10 SKU đầu.
3. Kiểm tra SKU có rất ít review (VD 1 review 5 sao) có đứng trên SKU nhiều review hơn nhưng sao trung bình thấp hơn một chút không.</t>
        </is>
      </c>
      <c r="I91" s="18" t="inlineStr">
        <is>
          <t>Sort = "Đánh giá cao nhất"</t>
        </is>
      </c>
      <c r="J91" s="18" t="inlineStr">
        <is>
          <t>TBD — sao trung bình phải giảm dần; chưa xác nhận có áp dụng cơ chế làm mượt theo số lượng review (Bayesian/weighted average) để tránh 1 SKU-1-review-5-sao áp đảo SKU nhiều review hơn nhưng trung bình thấp hơn một chút, hay chỉ lấy đúng giá trị trung bình thô. Xem QnA-32.</t>
        </is>
      </c>
      <c r="K91" s="18" t="inlineStr">
        <is>
          <t>Medium</t>
        </is>
      </c>
      <c r="L91" s="10" t="n"/>
      <c r="M91" s="10" t="inlineStr">
        <is>
          <t>N/A</t>
        </is>
      </c>
      <c r="N91" s="10" t="n"/>
      <c r="O91" s="10" t="n"/>
      <c r="P91" s="18" t="inlineStr">
        <is>
          <t>QnA-32, QnA-60</t>
        </is>
      </c>
      <c r="Q91" s="18" t="inlineStr">
        <is>
          <t>OPEN — QnA-32: xem chi tiết trong file QnA log. |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92" ht="51" customHeight="1">
      <c r="A92" s="18" t="inlineStr">
        <is>
          <t>SS-SCR-008-SC1-TC8</t>
        </is>
      </c>
      <c r="B92" s="18" t="inlineStr">
        <is>
          <t>SS-SCR-008-SC1</t>
        </is>
      </c>
      <c r="C92" s="18" t="inlineStr">
        <is>
          <t>SS-SCR-008</t>
        </is>
      </c>
      <c r="D92" s="18" t="inlineStr">
        <is>
          <t>FR-SF-02, FR-PR-06</t>
        </is>
      </c>
      <c r="E92" s="18" t="inlineStr">
        <is>
          <t>Boundary</t>
        </is>
      </c>
      <c r="F92" s="18" t="inlineStr">
        <is>
          <t>Verify "Giá từ thấp đến cao" sắp theo giá tăng dần, có xử lý trùng giá</t>
        </is>
      </c>
      <c r="G92" s="18" t="inlineStr">
        <is>
          <t>Có ≥2 SKU trùng giá chính xác trong tập kết quả.</t>
        </is>
      </c>
      <c r="H92" s="18" t="inlineStr">
        <is>
          <t>1. Tìm "sữa", chọn Sort = "Giá từ thấp đến cao".
2. Ghi lại giá của toàn bộ Top 10.
3. Xác nhận giá tăng dần liên tục (SKU sau &gt;= SKU trước).
4. Với các SKU trùng giá, ghi nhận thứ tự phụ (tie-break) hiện tại.</t>
        </is>
      </c>
      <c r="I92" s="18" t="inlineStr">
        <is>
          <t>Sort = "Giá từ thấp đến cao"</t>
        </is>
      </c>
      <c r="J92" s="18" t="inlineStr">
        <is>
          <t>TBD — giá phải tăng dần liên tục trong toàn bộ danh sách; quy tắc tie-break khi nhiều SKU trùng giá chính xác (theo Relevance? theo thời gian tạo SKU? theo Product ID?) chưa được BRD quy định. Xem QnA-32.</t>
        </is>
      </c>
      <c r="K92" s="18" t="inlineStr">
        <is>
          <t>Medium</t>
        </is>
      </c>
      <c r="L92" s="10" t="n"/>
      <c r="M92" s="10" t="inlineStr">
        <is>
          <t>N/A</t>
        </is>
      </c>
      <c r="N92" s="10" t="n"/>
      <c r="O92" s="10" t="n"/>
      <c r="P92" s="18" t="inlineStr">
        <is>
          <t>QnA-32, QnA-60</t>
        </is>
      </c>
      <c r="Q92" s="18" t="inlineStr">
        <is>
          <t>OPEN — QnA-32: xem chi tiết trong file QnA log. |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93" ht="51" customHeight="1">
      <c r="A93" s="9" t="inlineStr">
        <is>
          <t>SS-SCR-008-SC1-TC9</t>
        </is>
      </c>
      <c r="B93" s="9" t="inlineStr">
        <is>
          <t>SS-SCR-008-SC1</t>
        </is>
      </c>
      <c r="C93" s="9" t="inlineStr">
        <is>
          <t>SS-SCR-008</t>
        </is>
      </c>
      <c r="D93" s="9" t="inlineStr">
        <is>
          <t>FR-SF-02, FR-PR-06</t>
        </is>
      </c>
      <c r="E93" s="9" t="inlineStr">
        <is>
          <t>Boundary</t>
        </is>
      </c>
      <c r="F93" s="9" t="inlineStr">
        <is>
          <t>Verify "Giá từ cao đến thấp" sắp theo giá giảm dần</t>
        </is>
      </c>
      <c r="G93" s="9" t="inlineStr">
        <is>
          <t>Tập kết quả có biên độ giá đa dạng.</t>
        </is>
      </c>
      <c r="H93" s="9" t="inlineStr">
        <is>
          <t>1. Tìm "sữa", chọn Sort = "Giá từ cao đến thấp".
2. Ghi lại giá Top 10.
3. Xác nhận giá giảm dần liên tục, và đúng là thứ tự đảo ngược so với TC8 ("Giá thấp-cao") trên cùng tập kết quả.</t>
        </is>
      </c>
      <c r="I93" s="9" t="inlineStr">
        <is>
          <t>Sort = "Giá từ cao đến thấp"</t>
        </is>
      </c>
      <c r="J93" s="9" t="inlineStr">
        <is>
          <t>Giá giảm dần liên tục; thứ tự SKU đúng bằng thứ tự đảo ngược của Sort "Giá thấp-cao" trên cùng 1 tập kết quả (không lệch SKU nào).</t>
        </is>
      </c>
      <c r="K93" s="9" t="inlineStr">
        <is>
          <t>Low</t>
        </is>
      </c>
      <c r="L93" s="10" t="n"/>
      <c r="M93" s="10" t="inlineStr">
        <is>
          <t>Not Run</t>
        </is>
      </c>
      <c r="N93" s="10" t="n"/>
      <c r="O93" s="10" t="n"/>
      <c r="P93" s="9" t="inlineStr">
        <is>
          <t>QnA-60</t>
        </is>
      </c>
      <c r="Q93" s="9" t="inlineStr">
        <is>
          <t>|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94" ht="63.75" customHeight="1">
      <c r="A94" s="9" t="inlineStr">
        <is>
          <t>SS-SCR-008-SC1-TC10</t>
        </is>
      </c>
      <c r="B94" s="9" t="inlineStr">
        <is>
          <t>SS-SCR-008-SC1</t>
        </is>
      </c>
      <c r="C94" s="9" t="inlineStr">
        <is>
          <t>SS-SCR-008</t>
        </is>
      </c>
      <c r="D94" s="9" t="inlineStr">
        <is>
          <t>FR-SF-02, FR-PR-06</t>
        </is>
      </c>
      <c r="E94" s="9" t="inlineStr">
        <is>
          <t>Boundary</t>
        </is>
      </c>
      <c r="F94" s="9" t="inlineStr">
        <is>
          <t>Verify "Tên sản phẩm (A-Z)" sắp theo bảng chữ cái, xử lý dấu tiếng Việt</t>
        </is>
      </c>
      <c r="G94" s="9" t="inlineStr">
        <is>
          <t>Tập kết quả có tên SKU bắt đầu bằng cả chữ có dấu và không dấu, hoặc chữ hoa/thường lẫn lộn.</t>
        </is>
      </c>
      <c r="H94" s="9" t="inlineStr">
        <is>
          <t>1. Tìm "sữa", chọn Sort = "Tên sản phẩm (A-Z)".
2. Ghi lại tên Top 10-15 SKU.
3. Xác nhận thứ tự đúng bảng chữ cái tiếng Việt (xử lý dấu: a, à, á, ả, ã, ạ, ă,... đúng vị trí theo chuẩn sắp xếp tiếng Việt, không phải theo mã Unicode thô).</t>
        </is>
      </c>
      <c r="I94" s="9" t="inlineStr">
        <is>
          <t>Sort = "Tên sản phẩm (A-Z)"</t>
        </is>
      </c>
      <c r="J94" s="9" t="inlineStr">
        <is>
          <t>Thứ tự đúng chuẩn sắp xếp bảng chữ cái tiếng Việt (collation), không sắp theo mã Unicode thô (dễ sai vì ký tự có dấu nằm sau ký tự ASCII trong bảng Unicode); không phân biệt hoa/thường gây lệch thứ tự bất hợp lý.</t>
        </is>
      </c>
      <c r="K94" s="9" t="inlineStr">
        <is>
          <t>Low</t>
        </is>
      </c>
      <c r="L94" s="10" t="n"/>
      <c r="M94" s="10" t="inlineStr">
        <is>
          <t>Not Run</t>
        </is>
      </c>
      <c r="N94" s="10" t="n"/>
      <c r="O94" s="10" t="n"/>
      <c r="P94" s="9" t="inlineStr">
        <is>
          <t>QnA-60</t>
        </is>
      </c>
      <c r="Q94" s="9" t="inlineStr">
        <is>
          <t>|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95" ht="76.5" customHeight="1">
      <c r="A95" s="9" t="inlineStr">
        <is>
          <t>SS-SCR-008-SC2-TC1</t>
        </is>
      </c>
      <c r="B95" s="9" t="inlineStr">
        <is>
          <t>SS-SCR-008-SC2</t>
        </is>
      </c>
      <c r="C95" s="9" t="inlineStr">
        <is>
          <t>SS-SCR-008</t>
        </is>
      </c>
      <c r="D95" s="9" t="inlineStr">
        <is>
          <t>FR-SF-02, FR-PR-06</t>
        </is>
      </c>
      <c r="E95" s="9" t="inlineStr">
        <is>
          <t>Functional</t>
        </is>
      </c>
      <c r="F95" s="9" t="inlineStr">
        <is>
          <t>Tap ra ngoài overlay đóng sheet, giữ nguyên lựa chọn cũ</t>
        </is>
      </c>
      <c r="G95" s="9" t="inlineStr">
        <is>
          <t>Sort bottom sheet đang mở, tiêu chí hiện tại = "Liên quan nhất".</t>
        </is>
      </c>
      <c r="H95" s="9" t="inlineStr">
        <is>
          <t>1. Mở Sort sheet (đang chọn "Liên quan nhất").
2. Tap vào vùng tối bên ngoài sheet (không chọn tiêu chí nào khác).
3. Quan sát nhãn trên thanh sticky sau khi sheet đóng.</t>
        </is>
      </c>
      <c r="I95" s="9" t="inlineStr">
        <is>
          <t>N/A</t>
        </is>
      </c>
      <c r="J95" s="9" t="inlineStr">
        <is>
          <t>Sheet đóng lại; nhãn trên thanh sticky vẫn là "Liên quan nhất"; không có truy vấn mới nào được gọi.</t>
        </is>
      </c>
      <c r="K95" s="9" t="inlineStr">
        <is>
          <t>Low</t>
        </is>
      </c>
      <c r="L95" s="10" t="n"/>
      <c r="M95" s="10" t="inlineStr">
        <is>
          <t>Not Run</t>
        </is>
      </c>
      <c r="N95" s="10" t="n"/>
      <c r="O95" s="10" t="n"/>
      <c r="P95" s="9" t="n"/>
      <c r="Q95" s="9" t="n"/>
    </row>
    <row r="96" ht="38.25" customHeight="1">
      <c r="A96" s="9" t="inlineStr">
        <is>
          <t>SS-SCR-008-SC2-TC2</t>
        </is>
      </c>
      <c r="B96" s="9" t="inlineStr">
        <is>
          <t>SS-SCR-008-SC2</t>
        </is>
      </c>
      <c r="C96" s="9" t="inlineStr">
        <is>
          <t>SS-SCR-008</t>
        </is>
      </c>
      <c r="D96" s="9" t="inlineStr">
        <is>
          <t>FR-SF-02, FR-PR-06</t>
        </is>
      </c>
      <c r="E96" s="9" t="inlineStr">
        <is>
          <t>Functional</t>
        </is>
      </c>
      <c r="F96" s="9" t="inlineStr">
        <is>
          <t>Chạm nút "X" trên header Sort sheet đóng lại, giữ nguyên lựa chọn cũ (song song hành vi tap ra ngoài ở TC1)</t>
        </is>
      </c>
      <c r="G96" s="9" t="inlineStr">
        <is>
          <t>Sort bottom sheet đang mở, tiêu chí hiện tại = "Liên quan nhất".</t>
        </is>
      </c>
      <c r="H96" s="9" t="inlineStr">
        <is>
          <t>1. Mở Sort sheet (đang chọn "Liên quan nhất").
2. Chạm nút "X" ở góc trên bên phải header sheet (không chọn tiêu chí nào khác, không tap ra ngoài).
3. Quan sát nhãn trên thanh sticky sau khi sheet đóng.</t>
        </is>
      </c>
      <c r="I96" s="9" t="inlineStr">
        <is>
          <t>Tap "X" trên header</t>
        </is>
      </c>
      <c r="J96" s="9" t="inlineStr">
        <is>
          <t>Sheet đóng lại; nhãn trên thanh sticky vẫn là "Liên quan nhất"; không có truy vấn mới nào được gọi — hành vi giống hệt cách đóng bằng tap-ra-ngoài đã test ở SC2-TC1, đảm bảo cả 2 cách đóng (tap ngoài / nút X) đều nhất quán.</t>
        </is>
      </c>
      <c r="K96" s="9" t="inlineStr">
        <is>
          <t>Low</t>
        </is>
      </c>
      <c r="L96" s="10" t="n"/>
      <c r="M96" s="10" t="inlineStr">
        <is>
          <t>Not Run</t>
        </is>
      </c>
      <c r="N96" s="10" t="n"/>
      <c r="O96" s="10" t="n"/>
      <c r="P96" s="9" t="n"/>
      <c r="Q96" s="9" t="n"/>
    </row>
    <row r="97" ht="76.5" customHeight="1">
      <c r="A97" s="9" t="inlineStr">
        <is>
          <t>SS-SCR-008-SC3-TC1</t>
        </is>
      </c>
      <c r="B97" s="9" t="inlineStr">
        <is>
          <t>SS-SCR-008-SC3</t>
        </is>
      </c>
      <c r="C97" s="9" t="inlineStr">
        <is>
          <t>SS-SCR-008</t>
        </is>
      </c>
      <c r="D97" s="9" t="inlineStr">
        <is>
          <t>FR-SF-02, FR-PR-06</t>
        </is>
      </c>
      <c r="E97" s="9" t="inlineStr">
        <is>
          <t>Boundary</t>
        </is>
      </c>
      <c r="F97" s="9" t="inlineStr">
        <is>
          <t>Chọn lại tiêu chí đang active không gây lỗi/giật UI</t>
        </is>
      </c>
      <c r="G97" s="9" t="inlineStr">
        <is>
          <t>Đang áp dụng sort "Giá thấp-cao".</t>
        </is>
      </c>
      <c r="H97" s="9" t="inlineStr">
        <is>
          <t>1. Áp dụng sort "Giá thấp-cao".
2. Mở lại Sort sheet, tap lại đúng "Giá thấp-cao" (tiêu chí đang active).
3. Quan sát UI.</t>
        </is>
      </c>
      <c r="I97" s="9" t="inlineStr">
        <is>
          <t>Chọn lại tiêu chí đang active</t>
        </is>
      </c>
      <c r="J97" s="9" t="inlineStr">
        <is>
          <t>Sheet đóng bình thường, danh sách kết quả không nhấp nháy/giật, thứ tự sản phẩm không đổi (vẫn đúng thứ tự giá tăng dần).</t>
        </is>
      </c>
      <c r="K97" s="9" t="inlineStr">
        <is>
          <t>Low</t>
        </is>
      </c>
      <c r="L97" s="10" t="n"/>
      <c r="M97" s="10" t="inlineStr">
        <is>
          <t>Not Run</t>
        </is>
      </c>
      <c r="N97" s="10" t="n"/>
      <c r="O97" s="10" t="n"/>
      <c r="P97" s="9" t="n"/>
      <c r="Q97" s="9" t="n"/>
    </row>
    <row r="98" ht="76.5" customHeight="1">
      <c r="A98" s="9" t="inlineStr">
        <is>
          <t>SS-SCR-009-SC1-TC1</t>
        </is>
      </c>
      <c r="B98" s="9" t="inlineStr">
        <is>
          <t>SS-SCR-009-SC1</t>
        </is>
      </c>
      <c r="C98" s="9" t="inlineStr">
        <is>
          <t>SS-SCR-009</t>
        </is>
      </c>
      <c r="D98" s="9" t="inlineStr">
        <is>
          <t>FR-SF-01, FR-SF-04</t>
        </is>
      </c>
      <c r="E98" s="9" t="inlineStr">
        <is>
          <t>Filter</t>
        </is>
      </c>
      <c r="F98" s="9" t="inlineStr">
        <is>
          <t>Kết hợp nhiều nhóm điều kiện và áp dụng cùng lúc</t>
        </is>
      </c>
      <c r="G98" s="9" t="inlineStr">
        <is>
          <t>Trang kết quả đã tải với ≥1 sản phẩm.</t>
        </is>
      </c>
      <c r="H98" s="9" t="inlineStr">
        <is>
          <t>1. Mở Bộ lọc từ trang kết quả "sữa".
2. Chọn Danh mục "Thực phẩm &amp; Đồ uống".
3. Chuyển tab Nhãn, chọn chip "Không đường" và "Hữu cơ".
4. Chuyển tab Đánh giá, chọn "Từ 4 sao trở lên".
5. Chạm "Áp dụng (n)".</t>
        </is>
      </c>
      <c r="I98" s="9" t="inlineStr">
        <is>
          <t>Danh mục=Thực phẩm &amp; Đồ uống; Nhãn=[Không đường, Hữu cơ]; Đánh giá=≥4 sao</t>
        </is>
      </c>
      <c r="J98" s="9" t="inlineStr">
        <is>
          <t>Sheet đóng, trang kết quả chạy lại truy vấn với đủ 3 điều kiện kết hợp (AND); badge nút "Bộ lọc" hiển thị số 3 (hoặc n tương ứng số điều kiện — nếu Nhãn tính theo từng chip thì n=4); số kết quả cập nhật realtime.</t>
        </is>
      </c>
      <c r="K98" s="9" t="inlineStr">
        <is>
          <t>High</t>
        </is>
      </c>
      <c r="L98" s="10" t="n"/>
      <c r="M98" s="10" t="inlineStr">
        <is>
          <t>Not Run</t>
        </is>
      </c>
      <c r="N98" s="10" t="n"/>
      <c r="O98" s="10" t="n"/>
      <c r="P98" s="9" t="inlineStr">
        <is>
          <t>QnA-34</t>
        </is>
      </c>
      <c r="Q98" s="9" t="inlineStr">
        <is>
          <t>| QnA-34 RESOLVED (BA 27/08/2026): Figma là nguồn ưu tiên - nút 'Bộ lọc' KHÔNG có badge tổng. Expected Result của TC này hiện giả định có badge tổng ('badge = n' / 'badge giảm') -&gt; CẦN RÀ SOÁT LẠI: thay bằng cơ chế hiển thị chip filter active. Chưa sửa Expected trong đợt này.</t>
        </is>
      </c>
    </row>
    <row r="99" ht="63.75" customHeight="1">
      <c r="A99" s="9" t="inlineStr">
        <is>
          <t>SS-SCR-009-SC1-TC2</t>
        </is>
      </c>
      <c r="B99" s="9" t="inlineStr">
        <is>
          <t>SS-SCR-009-SC1</t>
        </is>
      </c>
      <c r="C99" s="9" t="inlineStr">
        <is>
          <t>SS-SCR-009</t>
        </is>
      </c>
      <c r="D99" s="9" t="inlineStr">
        <is>
          <t>FR-SF-01, FR-SF-04</t>
        </is>
      </c>
      <c r="E99" s="9" t="inlineStr">
        <is>
          <t>Validation</t>
        </is>
      </c>
      <c r="F99" s="9" t="inlineStr">
        <is>
          <t>Danh mục là cây độc quyền — chỉ chọn được 1 nhánh</t>
        </is>
      </c>
      <c r="G99" s="9" t="inlineStr">
        <is>
          <t>Trang kết quả đã tải với ≥1 sản phẩm.</t>
        </is>
      </c>
      <c r="H99" s="9" t="inlineStr">
        <is>
          <t>1. Mở Bộ lọc, tab Danh mục.
2. Chọn nhánh "Tươi sống".
3. Chọn tiếp nhánh "Mẹ &amp; Bé" mà không bỏ chọn nhánh trước.</t>
        </is>
      </c>
      <c r="I99" s="9" t="inlineStr">
        <is>
          <t>Chọn 2 nhánh Danh mục liên tiếp</t>
        </is>
      </c>
      <c r="J99" s="9" t="inlineStr">
        <is>
          <t>Chọn nhánh thứ 2 tự động bỏ chọn nhánh thứ nhất — chỉ 1 nhánh Danh mục được active tại một thời điểm (cấu trúc cây độc quyền, khác với Nhãn dạng phẳng nhiều-nhiều).</t>
        </is>
      </c>
      <c r="K99" s="9" t="inlineStr">
        <is>
          <t>Medium</t>
        </is>
      </c>
      <c r="L99" s="10" t="n"/>
      <c r="M99" s="10" t="inlineStr">
        <is>
          <t>Not Run</t>
        </is>
      </c>
      <c r="N99" s="10" t="n"/>
      <c r="O99" s="10" t="n"/>
      <c r="P99" s="9" t="n"/>
      <c r="Q99" s="9" t="n"/>
    </row>
    <row r="100" ht="51" customHeight="1">
      <c r="A100" s="9" t="inlineStr">
        <is>
          <t>SS-SCR-009-SC1-TC3</t>
        </is>
      </c>
      <c r="B100" s="9" t="inlineStr">
        <is>
          <t>SS-SCR-009-SC1</t>
        </is>
      </c>
      <c r="C100" s="9" t="inlineStr">
        <is>
          <t>SS-SCR-009</t>
        </is>
      </c>
      <c r="D100" s="9" t="inlineStr">
        <is>
          <t>FR-SF-01, FR-SF-04</t>
        </is>
      </c>
      <c r="E100" s="9" t="inlineStr">
        <is>
          <t>Validation</t>
        </is>
      </c>
      <c r="F100" s="9" t="inlineStr">
        <is>
          <t>Thanh hành động cố định "Thiết lập lại"/"Áp dụng" ở đáy sheet — đối chiếu lại sau khi xem ảnh Figma thật</t>
        </is>
      </c>
      <c r="G100" s="9" t="inlineStr">
        <is>
          <t>Trang kết quả đã tải với ≥1 sản phẩm.</t>
        </is>
      </c>
      <c r="H100" s="9" t="inlineStr">
        <is>
          <t>1. Mở Bộ lọc.
2. Cuộn xuống đáy sheet trên các kích thước màn hình khác nhau.
3. Kiểm tra nút "Thiết lập lại" và "Áp dụng" có luôn hiển thị cố định (sticky) hay bị cuộn mất.</t>
        </is>
      </c>
      <c r="I100" s="9" t="inlineStr">
        <is>
          <t>N/A</t>
        </is>
      </c>
      <c r="J100" s="9" t="inlineStr">
        <is>
          <t>Ảnh Figma thực tế (Text Search.png) VÀ storyboard bản cập nhật (v0.1-20260819) đều thống nhất xác nhận: sheet Bộ lọc CÓ thanh hành động cố định ở đáy gồm nút "Thiết lập lại" (outline) bên trái + nút "Áp dụng" (đỏ, full-width) bên phải, luôn hiển thị dù cuộn tới đâu (sticky). Đã hết mâu thuẫn nguồn — có thể chấm Pass/Fail bình thường.</t>
        </is>
      </c>
      <c r="K100" s="9" t="inlineStr">
        <is>
          <t>Medium</t>
        </is>
      </c>
      <c r="L100" s="10" t="n"/>
      <c r="M100" s="10" t="inlineStr">
        <is>
          <t>Not Run</t>
        </is>
      </c>
      <c r="N100" s="10" t="n"/>
      <c r="O100" s="10" t="n"/>
      <c r="P100" s="9" t="n"/>
      <c r="Q100" s="9" t="n"/>
    </row>
    <row r="101" ht="51" customHeight="1">
      <c r="A101" s="9" t="inlineStr">
        <is>
          <t>SS-SCR-009-SC2-TC1</t>
        </is>
      </c>
      <c r="B101" s="9" t="inlineStr">
        <is>
          <t>SS-SCR-009-SC2</t>
        </is>
      </c>
      <c r="C101" s="9" t="inlineStr">
        <is>
          <t>SS-SCR-009</t>
        </is>
      </c>
      <c r="D101" s="9" t="inlineStr">
        <is>
          <t>FR-SF-01, FR-SF-04</t>
        </is>
      </c>
      <c r="E101" s="9" t="inlineStr">
        <is>
          <t>Validation</t>
        </is>
      </c>
      <c r="F101" s="9" t="inlineStr">
        <is>
          <t>Preset giá và nhập tay Từ-Đến loại trừ lẫn nhau</t>
        </is>
      </c>
      <c r="G101" s="9" t="inlineStr">
        <is>
          <t>Trang kết quả đã tải; tab Giá trong bảng Bộ lọc.</t>
        </is>
      </c>
      <c r="H101" s="9" t="inlineStr">
        <is>
          <t>1. Mở Bộ lọc, tab Giá.
2. Chọn preset "30%-70% giá trung bình".
3. Quan sát trạng thái ô nhập tay Từ-Đến.
4. Nhập tay khoảng giá 20.000đ-50.000đ vào ô Từ-Đến.
5. Quan sát trạng thái preset đã chọn trước đó.</t>
        </is>
      </c>
      <c r="I101" s="9" t="inlineStr">
        <is>
          <t>Preset=30-70%, sau đó nhập tay=20.000-50.000đ</t>
        </is>
      </c>
      <c r="J101" s="9" t="inlineStr">
        <is>
          <t>Bước 3: chọn preset thì ô nhập tay bị vô hiệu/về trạng thái trống. Bước 5: khi nhập tay, preset đã chọn trước đó tự động bỏ chọn — chỉ 1 trong 2 cơ chế được active tại một thời điểm, đúng quy tắc "Chỉ được chọn 1 range hoặc nhập tay" (FR-SF-04).</t>
        </is>
      </c>
      <c r="K101" s="9" t="inlineStr">
        <is>
          <t>Medium</t>
        </is>
      </c>
      <c r="L101" s="10" t="n"/>
      <c r="M101" s="10" t="inlineStr">
        <is>
          <t>Not Run</t>
        </is>
      </c>
      <c r="N101" s="10" t="n"/>
      <c r="O101" s="10" t="n"/>
      <c r="P101" s="9" t="n"/>
      <c r="Q101" s="9" t="n"/>
    </row>
    <row r="102" ht="76.5" customHeight="1">
      <c r="A102" s="18" t="inlineStr">
        <is>
          <t>SS-SCR-009-SC2-TC2</t>
        </is>
      </c>
      <c r="B102" s="18" t="inlineStr">
        <is>
          <t>SS-SCR-009-SC2</t>
        </is>
      </c>
      <c r="C102" s="18" t="inlineStr">
        <is>
          <t>SS-SCR-009</t>
        </is>
      </c>
      <c r="D102" s="18" t="inlineStr">
        <is>
          <t>FR-SF-01, FR-SF-04</t>
        </is>
      </c>
      <c r="E102" s="18" t="inlineStr">
        <is>
          <t>Boundary</t>
        </is>
      </c>
      <c r="F102" s="18" t="inlineStr">
        <is>
          <t>Verify 3 preset percentile giá (&lt;30% thấp / 30-70% trung bình / &gt;70% cao) tính đúng theo tập kết quả hiện tại</t>
        </is>
      </c>
      <c r="G102" s="18" t="inlineStr">
        <is>
          <t>Tập kết quả "sữa" có biên độ giá đa dạng, một số SKU đang có khuyến mãi giảm giá.</t>
        </is>
      </c>
      <c r="H102" s="18" t="inlineStr">
        <is>
          <t>1. Tìm "sữa" (128 sản phẩm), mở Bộ lọc, tab Giá.
2. Ghi lại khoảng giá cụ thể (VD "20.000đ - 35.000đ") hiển thị trên mỗi preset &lt;30%/30-70%/&gt;70%.
3. Chọn preset "&lt;30% giá thấp", tap Áp dụng, kiểm tra toàn bộ SKU trả về có nằm trong khoảng giá đã hiển thị không.
4. Đổi từ khoá khác (VD "bia", biên độ giá khác hẳn), lặp lại bước 1-2, xác nhận khoảng giá của 3 preset thay đổi theo đúng tập kết quả mới (không phải ngưỡng cố định toàn hệ thống).</t>
        </is>
      </c>
      <c r="I102" s="18" t="inlineStr">
        <is>
          <t>"sữa" vs "bia", preset &lt;30%</t>
        </is>
      </c>
      <c r="J102" s="18" t="inlineStr">
        <is>
          <t>ĐÃ XÁC NHẬN (QnA-37): 3 preset percentile giá tính động theo phân bố giá của TẬP KẾT QUẢ HIỆN TẠI, dựa trên GIÁ SAU KHUYẾN MÃI (giá khách thực trả), KHÔNG phải giá gốc/list price. Pass = SKU đang giảm giá được phân nhóm theo giá thực trả; toàn bộ SKU trả về khi chọn preset nằm đúng trong khoảng giá (theo giá thực trả) đã hiển thị; đổi từ khoá -&gt; đổi khoảng preset.</t>
        </is>
      </c>
      <c r="K102" s="18" t="inlineStr">
        <is>
          <t>Medium</t>
        </is>
      </c>
      <c r="L102" s="10" t="n"/>
      <c r="M102" s="10" t="inlineStr">
        <is>
          <t>N/A</t>
        </is>
      </c>
      <c r="N102" s="10" t="n"/>
      <c r="O102" s="10" t="n"/>
      <c r="P102" s="18" t="inlineStr">
        <is>
          <t>QnA-37</t>
        </is>
      </c>
      <c r="Q102" s="18" t="inlineStr">
        <is>
          <t>RESOLVED QnA-37 (BA 27/08/2026): dùng giá sau khuyến mãi.</t>
        </is>
      </c>
    </row>
    <row r="103" ht="38.25" customHeight="1">
      <c r="A103" s="9" t="inlineStr">
        <is>
          <t>SS-SCR-009-SC3-TC1</t>
        </is>
      </c>
      <c r="B103" s="9" t="inlineStr">
        <is>
          <t>SS-SCR-009-SC3</t>
        </is>
      </c>
      <c r="C103" s="9" t="inlineStr">
        <is>
          <t>SS-SCR-009</t>
        </is>
      </c>
      <c r="D103" s="9" t="inlineStr">
        <is>
          <t>FR-SF-01, FR-SF-04</t>
        </is>
      </c>
      <c r="E103" s="9" t="inlineStr">
        <is>
          <t>Filter</t>
        </is>
      </c>
      <c r="F103" s="9" t="inlineStr">
        <is>
          <t>Chọn nhiều chip Nhãn đồng thời, bỏ chọn độc lập từng chip</t>
        </is>
      </c>
      <c r="G103" s="9" t="inlineStr">
        <is>
          <t>Đang ở tab Nhãn.</t>
        </is>
      </c>
      <c r="H103" s="9" t="inlineStr">
        <is>
          <t>1. Ở tab Nhãn, chọn lần lượt 4 chip: Không đường, Hữu cơ, Nhập khẩu, Tiệt trùng.
2. Quan sát trạng thái cả 4 chip (đều active).
3. Bỏ chọn riêng chip "Hữu cơ".
4. Quan sát 3 chip còn lại.</t>
        </is>
      </c>
      <c r="I103" s="9" t="inlineStr">
        <is>
          <t>4 chip Nhãn</t>
        </is>
      </c>
      <c r="J103" s="9" t="inlineStr">
        <is>
          <t>Bước 2: cả 4 chip đều chuyển sang trạng thái active (nền đỏ) đồng thời — không giới hạn số lượng chọn. Bước 4: chỉ "Hữu cơ" về trạng thái chưa chọn, 3 chip còn lại vẫn giữ nguyên active.</t>
        </is>
      </c>
      <c r="K103" s="9" t="inlineStr">
        <is>
          <t>Medium</t>
        </is>
      </c>
      <c r="L103" s="10" t="n"/>
      <c r="M103" s="10" t="inlineStr">
        <is>
          <t>Not Run</t>
        </is>
      </c>
      <c r="N103" s="10" t="n"/>
      <c r="O103" s="10" t="n"/>
      <c r="P103" s="9" t="n"/>
      <c r="Q103" s="9" t="n"/>
    </row>
    <row r="104" ht="51" customHeight="1">
      <c r="A104" s="18" t="inlineStr">
        <is>
          <t>SS-SCR-009-SC3-TC2</t>
        </is>
      </c>
      <c r="B104" s="18" t="inlineStr">
        <is>
          <t>SS-SCR-009-SC3</t>
        </is>
      </c>
      <c r="C104" s="18" t="inlineStr">
        <is>
          <t>SS-SCR-009</t>
        </is>
      </c>
      <c r="D104" s="18" t="inlineStr">
        <is>
          <t>FR-SF-01, FR-SF-04</t>
        </is>
      </c>
      <c r="E104" s="18" t="inlineStr">
        <is>
          <t>Filter</t>
        </is>
      </c>
      <c r="F104" s="18" t="inlineStr">
        <is>
          <t>Verify quy tắc sinh &amp; sắp xếp chip Nhãn (Information Gain) — TBD</t>
        </is>
      </c>
      <c r="G104" s="18" t="inlineStr">
        <is>
          <t>Tab Nhãn hiển thị danh sách chip (nguồn dữ liệu chung với Smart Filter Chips trên trang kết quả, theo FR-SF-04 "Dựa vào danh sách smart filter").</t>
        </is>
      </c>
      <c r="H104" s="18" t="inlineStr">
        <is>
          <t>1. Tìm "sữa", mở Bộ lọc, chuyển tab Nhãn.
2. Ghi lại thứ tự hiển thị của toàn bộ chip trong tab.
3. So sánh thứ tự này với khối Smart Filter Chips hiển thị trực tiếp trên trang kết quả (SS-SCR-005-SC9) cho cùng từ khoá.
4. Đổi sang từ khoá khác (VD "bia"), lặp lại bước 1-2, quan sát bộ chip sinh ra có đổi theo đúng từ khoá mới không.</t>
        </is>
      </c>
      <c r="I104" s="18" t="inlineStr">
        <is>
          <t>"sữa" vs "bia"</t>
        </is>
      </c>
      <c r="J104" s="18" t="inlineStr">
        <is>
          <t>TBD — FR-SF-03 chỉ mô tả "AI bốc ra tối đa 10 Tag lọc thông minh có Information Gain cao nhất... cấu trúc phẳng", không mô tả công thức tính, ngưỡng tối thiểu, hay thứ tự hiển thị. Yêu cầu tối thiểu: bộ chip phải đổi theo đúng từ khoá (không static), và thứ tự chip giữa tab Nhãn và khối Smart Filter Chips trên trang kết quả phải nhất quán với nhau (cùng 1 nguồn dữ liệu). Không chấm Pass/Fail chi tiết cho tới khi xác nhận công thức. Xem QnA-33.</t>
        </is>
      </c>
      <c r="K104" s="18" t="inlineStr">
        <is>
          <t>Medium</t>
        </is>
      </c>
      <c r="L104" s="10" t="n"/>
      <c r="M104" s="10" t="inlineStr">
        <is>
          <t>N/A</t>
        </is>
      </c>
      <c r="N104" s="10" t="n"/>
      <c r="O104" s="10" t="n"/>
      <c r="P104" s="18" t="inlineStr">
        <is>
          <t>QnA-33</t>
        </is>
      </c>
      <c r="Q104" s="18" t="inlineStr">
        <is>
          <t>OPEN — QnA-33: xem chi tiết trong file QnA log.</t>
        </is>
      </c>
    </row>
    <row r="105">
      <c r="A105" s="9" t="inlineStr">
        <is>
          <t>SS-SCR-009-SC4-TC1</t>
        </is>
      </c>
      <c r="B105" s="9" t="inlineStr">
        <is>
          <t>SS-SCR-009-SC4</t>
        </is>
      </c>
      <c r="C105" s="9" t="inlineStr">
        <is>
          <t>SS-SCR-009</t>
        </is>
      </c>
      <c r="D105" s="9" t="inlineStr">
        <is>
          <t>FR-SF-01, FR-SF-04</t>
        </is>
      </c>
      <c r="E105" s="9" t="inlineStr">
        <is>
          <t>Functional</t>
        </is>
      </c>
      <c r="F105" s="9" t="inlineStr">
        <is>
          <t>Mở rộng Danh mục nhiều cấp và chọn đúng phạm vi lọc</t>
        </is>
      </c>
      <c r="G105" s="9" t="inlineStr">
        <is>
          <t>Cây danh mục có ≥3 cấp cho nhánh này.</t>
        </is>
      </c>
      <c r="H105" s="9" t="inlineStr">
        <is>
          <t>1. Ở tab Danh mục, tap mũi tên (›) trên "Thực phẩm &amp; Đồ uống" để mở cấp con.
2. Tap tiếp mũi tên (›) trên "Sữa &amp; Trứng" để mở cấp con tiếp theo.
3. Chọn "Sữa tươi" ở cấp con cuối cùng, tap Áp dụng.
4. Kiểm tra phạm vi kết quả trả về.</t>
        </is>
      </c>
      <c r="I105" s="9" t="inlineStr">
        <is>
          <t>Thực phẩm &amp; Đồ uống › Sữa &amp; Trứng › Sữa tươi</t>
        </is>
      </c>
      <c r="J105" s="9" t="inlineStr">
        <is>
          <t>Kết quả trả về chỉ gồm sản phẩm thuộc đúng nhánh "Sữa tươi" (cấp con cuối cùng đã chọn), không bao gồm toàn bộ "Sữa &amp; Trứng" hay "Thực phẩm &amp; Đồ uống". [QnA-43: hệ thống làm ĐỦ 5 CẤP phân cấp danh mục; nếu Mart giới hạn số cấp (VD chỉ leaf-node) sau này thì chỉ là ràng rule - TC này (chọn tới cấp con cuối) vẫn đúng thiết kế.]</t>
        </is>
      </c>
      <c r="K105" s="9" t="inlineStr">
        <is>
          <t>Medium</t>
        </is>
      </c>
      <c r="L105" s="10" t="n"/>
      <c r="M105" s="10" t="inlineStr">
        <is>
          <t>Not Run</t>
        </is>
      </c>
      <c r="N105" s="10" t="n"/>
      <c r="O105" s="10" t="n"/>
      <c r="P105" s="9" t="inlineStr">
        <is>
          <t>QnA-43</t>
        </is>
      </c>
      <c r="Q105" s="9" t="inlineStr">
        <is>
          <t>RESOLVED QnA-43 (BA 27/08/2026): giữ đủ 5 cấp; giới hạn sau này chỉ là ràng rule.</t>
        </is>
      </c>
    </row>
    <row r="106">
      <c r="A106" s="9" t="inlineStr">
        <is>
          <t>SS-SCR-009-SC4-TC2</t>
        </is>
      </c>
      <c r="B106" s="9" t="inlineStr">
        <is>
          <t>SS-SCR-009-SC4</t>
        </is>
      </c>
      <c r="C106" s="9" t="inlineStr">
        <is>
          <t>SS-SCR-009</t>
        </is>
      </c>
      <c r="D106" s="9" t="inlineStr">
        <is>
          <t>FR-SF-01, FR-SF-04</t>
        </is>
      </c>
      <c r="E106" s="9" t="inlineStr">
        <is>
          <t>Functional</t>
        </is>
      </c>
      <c r="F106" s="9" t="inlineStr">
        <is>
          <t>Chọn danh mục cha hiển thị đúng "Tất cả trong [Tên danh mục]", áp dụng cho toàn bộ nhánh</t>
        </is>
      </c>
      <c r="G106" s="9" t="inlineStr">
        <is>
          <t>Cây danh mục có ≥1 nhánh cấp cha với nhiều danh mục con.</t>
        </is>
      </c>
      <c r="H106" s="9" t="inlineStr">
        <is>
          <t>1. Ở tab Danh mục, drill-down vào "Thực phẩm &amp; Đồ uống" › "Sữa &amp; Trứng".
2. Quan sát lựa chọn đầu tiên trong danh sách danh mục con.
3. Chọn lựa chọn đó, tap Áp dụng.
4. Kiểm tra phạm vi kết quả trả về (có gồm cả Sữa tươi, Sữa hạt, Sữa đậu nành, Sữa chua, Trứng hay chỉ 1 danh mục con cụ thể).</t>
        </is>
      </c>
      <c r="I106" s="9" t="inlineStr">
        <is>
          <t>Drill-down "Sữa &amp; Trứng" → chọn "Tất cả trong 'Sữa &amp; Trứng'"</t>
        </is>
      </c>
      <c r="J106" s="9" t="inlineStr">
        <is>
          <t>Danh sách con hiển thị đúng 1 lựa chọn radio "Tất cả trong 'Sữa &amp; Trứng'" ở đầu (mặc định được chọn sẵn), phía trên các danh mục con cụ thể (Sữa tươi, Sữa hạt, Sữa đậu nành, Sữa chua, Trứng) — khớp với ảnh Figma thực tế; chọn lựa chọn này trả về kết quả thuộc TOÀN BỘ nhánh "Sữa &amp; Trứng" (gồm mọi danh mục con), không thu hẹp về 1 danh mục con riêng lẻ nào. [ĐÃ XÁC NHẬN QnA-36: lựa chọn 'Tất cả trong [Danh mục]' ở cấp trung gian là đúng thiết kế (khớp Figma). Có thể chấm Pass/Fail.]</t>
        </is>
      </c>
      <c r="K106" s="9" t="inlineStr">
        <is>
          <t>High</t>
        </is>
      </c>
      <c r="L106" s="10" t="n"/>
      <c r="M106" s="10" t="inlineStr">
        <is>
          <t>Not Run</t>
        </is>
      </c>
      <c r="N106" s="10" t="n"/>
      <c r="O106" s="10" t="n"/>
      <c r="P106" s="9" t="n"/>
      <c r="Q106" s="9" t="inlineStr">
        <is>
          <t>RESOLVED QnA-36 (BA 27/08/2026) + QnA-43 (giữ 5 cấp).</t>
        </is>
      </c>
    </row>
    <row r="107">
      <c r="A107" s="18" t="inlineStr">
        <is>
          <t>SS-SCR-009-SC4-TC3</t>
        </is>
      </c>
      <c r="B107" s="18" t="inlineStr">
        <is>
          <t>SS-SCR-009-SC4</t>
        </is>
      </c>
      <c r="C107" s="18" t="inlineStr">
        <is>
          <t>SS-SCR-009</t>
        </is>
      </c>
      <c r="D107" s="18" t="inlineStr">
        <is>
          <t>FR-SF-01, FR-SF-04</t>
        </is>
      </c>
      <c r="E107" s="18" t="inlineStr">
        <is>
          <t>Edge</t>
        </is>
      </c>
      <c r="F107" s="18" t="inlineStr">
        <is>
          <t>Tap breadcrumb "‹ Tất cả danh mục" — TBD hành vi quay về root và có bỏ chọn Danh mục hay không</t>
        </is>
      </c>
      <c r="G107" s="18" t="inlineStr">
        <is>
          <t>Đang ở cấp con sâu (VD "Thực phẩm &amp; Đồ uống › Sữa &amp; Trứng") với "Tất cả trong 'Sữa &amp; Trứng'" đã được chọn.</t>
        </is>
      </c>
      <c r="H107" s="18" t="inlineStr">
        <is>
          <t>1. Drill-down vào "Thực phẩm &amp; Đồ uống › Sữa &amp; Trứng", chọn "Tất cả trong 'Sữa &amp; Trứng'" (chưa tap Áp dụng).
2. Tap breadcrumb "‹ Tất cả danh mục" ở đầu.
3. Quan sát danh sách hiển thị lại (có về đúng cấp cao nhất: Thực phẩm &amp; Đồ uống, Mẹ &amp; Bé, Tươi sống... không).
4. Kiểm tra badge tab Danh mục và trạng thái lựa chọn "Tất cả trong 'Sữa &amp; Trứng'" còn được đánh dấu chọn hay không.</t>
        </is>
      </c>
      <c r="I107" s="18" t="inlineStr">
        <is>
          <t>Tap "‹ Tất cả danh mục" sau khi đã chọn "Tất cả trong 'Sữa &amp; Trứng'"</t>
        </is>
      </c>
      <c r="J107" s="18" t="inlineStr">
        <is>
          <t>ĐÃ XÁC NHẬN (QnA-36): tap breadcrumb '&lt; Tất cả danh mục' -&gt; quay về danh sách danh mục CẤP CAO NHẤT (root) VÀ ĐỒNG THỜI bỏ chọn hoàn toàn điều kiện Danh mục đang có (badge tab Danh mục về 0) - theo đúng mental model breadcrumb (nút cấp cao nhất = reset về trạng thái gốc). Pass = sau khi tap, badge tab Danh mục = 0 và UI ở root.</t>
        </is>
      </c>
      <c r="K107" s="18" t="inlineStr">
        <is>
          <t>Medium</t>
        </is>
      </c>
      <c r="L107" s="10" t="n"/>
      <c r="M107" s="10" t="inlineStr">
        <is>
          <t>N/A</t>
        </is>
      </c>
      <c r="N107" s="10" t="n"/>
      <c r="O107" s="10" t="n"/>
      <c r="P107" s="18" t="inlineStr">
        <is>
          <t>QnA-36</t>
        </is>
      </c>
      <c r="Q107" s="18" t="inlineStr">
        <is>
          <t>RESOLVED QnA-36 (BA 27/08/2026): quay root + reset điều kiện Danh mục.</t>
        </is>
      </c>
    </row>
    <row r="108">
      <c r="A108" s="9" t="inlineStr">
        <is>
          <t>SS-SCR-009-SC5-TC1</t>
        </is>
      </c>
      <c r="B108" s="9" t="inlineStr">
        <is>
          <t>SS-SCR-009-SC5</t>
        </is>
      </c>
      <c r="C108" s="9" t="inlineStr">
        <is>
          <t>SS-SCR-009</t>
        </is>
      </c>
      <c r="D108" s="9" t="inlineStr">
        <is>
          <t>FR-SF-01, FR-SF-04</t>
        </is>
      </c>
      <c r="E108" s="9" t="inlineStr">
        <is>
          <t>Negative</t>
        </is>
      </c>
      <c r="F108" s="9" t="inlineStr">
        <is>
          <t>Đóng bằng (✕) không áp dụng thay đổi, khôi phục đúng trạng thái cũ</t>
        </is>
      </c>
      <c r="G108" s="9" t="inlineStr">
        <is>
          <t>Đang có 1 filter cũ active (VD: "Không đường").</t>
        </is>
      </c>
      <c r="H108" s="9" t="inlineStr">
        <is>
          <t>1. Áp dụng filter "Không đường" trên trang kết quả.
2. Mở lại Bộ lọc, chọn thêm "Hữu cơ" và "Nhập khẩu" (chưa tap Áp dụng).
3. Tap nút (✕) để đóng sheet.
4. Kiểm tra badge số bộ lọc và danh sách kết quả.</t>
        </is>
      </c>
      <c r="I108" s="9" t="inlineStr">
        <is>
          <t>Filter cũ=Không đường; chọn thêm 2 filter mới rồi huỷ</t>
        </is>
      </c>
      <c r="J108" s="9" t="inlineStr">
        <is>
          <t>Badge vẫn hiển thị đúng 1 (chỉ "Không đường"); danh sách kết quả không thay đổi so với trước khi mở sheet; "Hữu cơ"/"Nhập khẩu" không được áp dụng.</t>
        </is>
      </c>
      <c r="K108" s="9" t="inlineStr">
        <is>
          <t>High</t>
        </is>
      </c>
      <c r="L108" s="10" t="n"/>
      <c r="M108" s="10" t="inlineStr">
        <is>
          <t>Not Run</t>
        </is>
      </c>
      <c r="N108" s="10" t="n"/>
      <c r="O108" s="10" t="n"/>
      <c r="P108" s="9" t="n"/>
      <c r="Q108" s="9" t="n"/>
    </row>
    <row r="109">
      <c r="A109" s="9" t="inlineStr">
        <is>
          <t>SS-SCR-009-SC6-TC1</t>
        </is>
      </c>
      <c r="B109" s="9" t="inlineStr">
        <is>
          <t>SS-SCR-009-SC6</t>
        </is>
      </c>
      <c r="C109" s="9" t="inlineStr">
        <is>
          <t>SS-SCR-009</t>
        </is>
      </c>
      <c r="D109" s="9" t="inlineStr">
        <is>
          <t>FR-SF-01, FR-SF-04</t>
        </is>
      </c>
      <c r="E109" s="9" t="inlineStr">
        <is>
          <t>Boundary</t>
        </is>
      </c>
      <c r="F109" s="9" t="inlineStr">
        <is>
          <t>Badge tab độc quyền (Danh mục/Giao hàng/Đánh giá/Giá) luôn tối đa 1</t>
        </is>
      </c>
      <c r="G109" s="9" t="inlineStr">
        <is>
          <t>Chưa chọn điều kiện nào trong 4 tab độc quyền (chỉ chọn 1 giá trị/tab).</t>
        </is>
      </c>
      <c r="H109" s="9" t="inlineStr">
        <is>
          <t>1. Mở Bộ lọc.
2. Chọn 1 nhánh Danh mục, quan sát badge tab Danh mục.
3. Chọn 1 mức Đánh giá, quan sát badge tab Đánh giá.
4. Chọn 1 điều kiện Giao hàng và 1 khoảng Giá, quan sát badge 2 tab tương ứng.
5. Chọn nhánh Danh mục khác (thay thế), quan sát badge tab Danh mục có tăng lên 2 không.</t>
        </is>
      </c>
      <c r="I109" s="9" t="inlineStr">
        <is>
          <t>1 lựa chọn/tab, sau đó đổi Danh mục</t>
        </is>
      </c>
      <c r="J109" s="9" t="inlineStr">
        <is>
          <t>Mỗi tab độc quyền hiển thị badge đúng "1" khi có 1 lựa chọn; bước 5: đổi sang nhánh Danh mục khác KHÔNG làm badge tăng lên "2" (vẫn là "1", vì thay thế chứ không cộng dồn — đúng bản chất độc quyền/chỉ chọn 1 của tab này).</t>
        </is>
      </c>
      <c r="K109" s="9" t="inlineStr">
        <is>
          <t>Medium</t>
        </is>
      </c>
      <c r="L109" s="10" t="n"/>
      <c r="M109" s="10" t="inlineStr">
        <is>
          <t>Not Run</t>
        </is>
      </c>
      <c r="N109" s="10" t="n"/>
      <c r="O109" s="10" t="n"/>
      <c r="P109" s="9" t="n"/>
      <c r="Q109" s="9" t="n"/>
    </row>
    <row r="110">
      <c r="A110" s="9" t="inlineStr">
        <is>
          <t>SS-SCR-009-SC6-TC2</t>
        </is>
      </c>
      <c r="B110" s="9" t="inlineStr">
        <is>
          <t>SS-SCR-009-SC6</t>
        </is>
      </c>
      <c r="C110" s="9" t="inlineStr">
        <is>
          <t>SS-SCR-009</t>
        </is>
      </c>
      <c r="D110" s="9" t="inlineStr">
        <is>
          <t>FR-SF-01, FR-SF-04</t>
        </is>
      </c>
      <c r="E110" s="9" t="inlineStr">
        <is>
          <t>Boundary</t>
        </is>
      </c>
      <c r="F110" s="9" t="inlineStr">
        <is>
          <t>Badge tab Nhãn (đa chọn) đếm đúng số chip đang active</t>
        </is>
      </c>
      <c r="G110" s="9" t="inlineStr">
        <is>
          <t>Chưa chọn chip Nhãn nào.</t>
        </is>
      </c>
      <c r="H110" s="9" t="inlineStr">
        <is>
          <t>1. Mở Bộ lọc, tab Nhãn.
2. Chọn lần lượt "Không đường", "Ít đường", "Hữu cơ" — quan sát badge tab Nhãn sau mỗi lần chọn.
3. Bỏ chọn "Ít đường", quan sát badge.</t>
        </is>
      </c>
      <c r="I110" s="9" t="inlineStr">
        <is>
          <t>Chọn 3 chip → bỏ 1 chip</t>
        </is>
      </c>
      <c r="J110" s="9" t="inlineStr">
        <is>
          <t>Badge tab Nhãn tăng đúng theo số chip: 0→1→2→3 sau mỗi lần chọn; giảm về 2 sau khi bỏ "Ít đường" — khớp với ảnh Figma thực tế (3 chip active → badge tab Nhãn hiển thị đúng "3").</t>
        </is>
      </c>
      <c r="K110" s="9" t="inlineStr">
        <is>
          <t>Medium</t>
        </is>
      </c>
      <c r="L110" s="10" t="n"/>
      <c r="M110" s="10" t="inlineStr">
        <is>
          <t>Not Run</t>
        </is>
      </c>
      <c r="N110" s="10" t="n"/>
      <c r="O110" s="10" t="n"/>
      <c r="P110" s="9" t="n"/>
      <c r="Q110" s="9" t="n"/>
    </row>
    <row r="111">
      <c r="A111" s="18" t="inlineStr">
        <is>
          <t>SS-SCR-009-SC6-TC3</t>
        </is>
      </c>
      <c r="B111" s="18" t="inlineStr">
        <is>
          <t>SS-SCR-009-SC6</t>
        </is>
      </c>
      <c r="C111" s="18" t="inlineStr">
        <is>
          <t>SS-SCR-009</t>
        </is>
      </c>
      <c r="D111" s="18" t="inlineStr">
        <is>
          <t>FR-SF-01, FR-SF-04</t>
        </is>
      </c>
      <c r="E111" s="18" t="inlineStr">
        <is>
          <t>Boundary</t>
        </is>
      </c>
      <c r="F111" s="18" t="inlineStr">
        <is>
          <t>Badge tổng trên nút "Bộ lọc" ở trang kết quả — TBD có tồn tại hay không</t>
        </is>
      </c>
      <c r="G111" s="18" t="inlineStr">
        <is>
          <t>Đã áp dụng 3 điều kiện (Nhãn: Không đường + Ít đường + Hữu cơ) và tap "Áp dụng".</t>
        </is>
      </c>
      <c r="H111" s="18" t="inlineStr">
        <is>
          <t>1. Áp dụng 3 chip Nhãn như trên, tap "Áp dụng".
2. Quan sát nút "Bộ lọc" trên thanh sticky của trang kết quả (bên ngoài sheet).
3. Kiểm tra có badge số nào hiển thị cạnh nút "Bộ lọc" hay không.</t>
        </is>
      </c>
      <c r="I111" s="18" t="inlineStr">
        <is>
          <t>3 điều kiện đã áp dụng</t>
        </is>
      </c>
      <c r="J111" s="18" t="inlineStr">
        <is>
          <t>ĐÃ XÁC NHẬN (QnA-34): về UI/wireframe, ưu tiên Figma. Theo Figma thực tế (Text Search.png), nút 'Bộ lọc' trên trang kết quả KHÔNG hiển thị badge tổng số điều kiện lọc (kể cả khi đã áp 3 điều kiện). Pass = nút 'Bộ lọc' không có badge số; trạng thái đang lọc thể hiện qua các chip filter active trên trang kết quả, không qua badge tổng.</t>
        </is>
      </c>
      <c r="K111" s="18" t="inlineStr">
        <is>
          <t>High</t>
        </is>
      </c>
      <c r="L111" s="10" t="n"/>
      <c r="M111" s="10" t="inlineStr">
        <is>
          <t>N/A</t>
        </is>
      </c>
      <c r="N111" s="10" t="n"/>
      <c r="O111" s="10" t="n"/>
      <c r="P111" s="18" t="inlineStr">
        <is>
          <t>QnA-34</t>
        </is>
      </c>
      <c r="Q111" s="18" t="inlineStr">
        <is>
          <t>RESOLVED QnA-34 (BA 27/08/2026): ưu tiên Figma - KHÔNG có badge tổng trên nút Bộ lọc. LƯU Ý: SS-SCR-009-SC1-TC1 và SS-SCR-010-SC1/SC2/SC3 hiện đang giả định có badge tổng - cần rà soát lại (xem note tại các TC đó).</t>
        </is>
      </c>
    </row>
    <row r="112">
      <c r="A112" s="9" t="inlineStr">
        <is>
          <t>SS-SCR-009-SC7-TC1</t>
        </is>
      </c>
      <c r="B112" s="9" t="inlineStr">
        <is>
          <t>SS-SCR-009-SC7</t>
        </is>
      </c>
      <c r="C112" s="9" t="inlineStr">
        <is>
          <t>SS-SCR-009</t>
        </is>
      </c>
      <c r="D112" s="9" t="inlineStr">
        <is>
          <t>FR-SF-01, FR-SF-04</t>
        </is>
      </c>
      <c r="E112" s="9" t="inlineStr">
        <is>
          <t>Functional</t>
        </is>
      </c>
      <c r="F112" s="9" t="inlineStr">
        <is>
          <t>"Thiết lập lại" xoá toàn bộ lựa chọn trong sheet, sheet vẫn mở</t>
        </is>
      </c>
      <c r="G112" s="9" t="inlineStr">
        <is>
          <t>Đã chọn nhiều điều kiện ở nhiều tab (Danh mục, Nhãn x3, Đánh giá) nhưng CHƯA tap Áp dụng.</t>
        </is>
      </c>
      <c r="H112" s="9" t="inlineStr">
        <is>
          <t>1. Chọn 1 Danh mục + 3 chip Nhãn + 1 mức Đánh giá trong Bộ lọc (chưa Áp dụng).
2. Tap nút "Thiết lập lại".
3. Quan sát trạng thái các tab (badge, chip, radio) và trạng thái sheet (đóng hay vẫn mở) ngay sau khi tap.</t>
        </is>
      </c>
      <c r="I112" s="9" t="inlineStr">
        <is>
          <t>5 điều kiện đã chọn → tap Thiết lập lại</t>
        </is>
      </c>
      <c r="J112" s="9" t="inlineStr">
        <is>
          <t>Toàn bộ badge từng tab về 0/ẩn; toàn bộ chip/radio đã chọn quay về trạng thái chưa chọn; sheet KHÔNG tự đóng, khách vẫn đang ở Bộ lọc với danh sách trống để chọn lại từ đầu nếu muốn.</t>
        </is>
      </c>
      <c r="K112" s="9" t="inlineStr">
        <is>
          <t>High</t>
        </is>
      </c>
      <c r="L112" s="10" t="n"/>
      <c r="M112" s="10" t="inlineStr">
        <is>
          <t>Not Run</t>
        </is>
      </c>
      <c r="N112" s="10" t="n"/>
      <c r="O112" s="10" t="n"/>
      <c r="P112" s="9" t="n"/>
      <c r="Q112" s="9" t="n"/>
    </row>
    <row r="113">
      <c r="A113" s="9" t="inlineStr">
        <is>
          <t>SS-SCR-009-SC7-TC2</t>
        </is>
      </c>
      <c r="B113" s="9" t="inlineStr">
        <is>
          <t>SS-SCR-009-SC7</t>
        </is>
      </c>
      <c r="C113" s="9" t="inlineStr">
        <is>
          <t>SS-SCR-009</t>
        </is>
      </c>
      <c r="D113" s="9" t="inlineStr">
        <is>
          <t>FR-SF-01, FR-SF-04</t>
        </is>
      </c>
      <c r="E113" s="9" t="inlineStr">
        <is>
          <t>Functional</t>
        </is>
      </c>
      <c r="F113" s="9" t="inlineStr">
        <is>
          <t>Tap "Áp dụng" ngay sau "Thiết lập lại" (0 điều kiện) trả kết quả về tập đầy đủ</t>
        </is>
      </c>
      <c r="G113" s="9" t="inlineStr">
        <is>
          <t>Đang có 1 filter cũ active ("Không đường") trên trang kết quả trước khi mở lại Bộ lọc.</t>
        </is>
      </c>
      <c r="H113" s="9" t="inlineStr">
        <is>
          <t>1. Trên trang kết quả đang lọc "Không đường", mở lại Bộ lọc.
2. Tap "Thiết lập lại" (xoá "Không đường" khỏi sheet).
3. Tap "Áp dụng".
4. Quan sát trang kết quả và badge nút Bộ lọc/tab.</t>
        </is>
      </c>
      <c r="I113" s="9" t="inlineStr">
        <is>
          <t>Filter cũ="Không đường" → Thiết lập lại → Áp dụng</t>
        </is>
      </c>
      <c r="J113" s="9" t="inlineStr">
        <is>
          <t>Sheet đóng; trang kết quả quay về tập đầy đủ chưa lọc (tương đương trạng thái "Xoá bộ lọc" ở SS-SCR-010-SC3); không còn chip "Không đường" nào active trên trang kết quả.</t>
        </is>
      </c>
      <c r="K113" s="9" t="inlineStr">
        <is>
          <t>High</t>
        </is>
      </c>
      <c r="L113" s="10" t="n"/>
      <c r="M113" s="10" t="inlineStr">
        <is>
          <t>Not Run</t>
        </is>
      </c>
      <c r="N113" s="10" t="n"/>
      <c r="O113" s="10" t="n"/>
      <c r="P113" s="9" t="n"/>
      <c r="Q113" s="9" t="n"/>
    </row>
    <row r="114">
      <c r="A114" s="9" t="inlineStr">
        <is>
          <t>SS-SCR-009-SC7-TC3</t>
        </is>
      </c>
      <c r="B114" s="9" t="inlineStr">
        <is>
          <t>SS-SCR-009-SC7</t>
        </is>
      </c>
      <c r="C114" s="9" t="inlineStr">
        <is>
          <t>SS-SCR-009</t>
        </is>
      </c>
      <c r="D114" s="9" t="inlineStr">
        <is>
          <t>FR-SF-01, FR-SF-04</t>
        </is>
      </c>
      <c r="E114" s="9" t="inlineStr">
        <is>
          <t>Boundary</t>
        </is>
      </c>
      <c r="F114" s="9" t="inlineStr">
        <is>
          <t>Tap "Áp dụng" khi không đổi gì so với trạng thái đang áp dụng (no-op)</t>
        </is>
      </c>
      <c r="G114" s="9" t="inlineStr">
        <is>
          <t>Đang áp dụng filter "Hữu cơ" trên trang kết quả.</t>
        </is>
      </c>
      <c r="H114" s="9" t="inlineStr">
        <is>
          <t>1. Mở lại Bộ lọc trong khi "Hữu cơ" đang active.
2. Không thay đổi gì, tap thẳng "Áp dụng".
3. Quan sát UI (có giật/nhấp nháy không) và kết quả.</t>
        </is>
      </c>
      <c r="I114" s="9" t="inlineStr">
        <is>
          <t>Filter="Hữu cơ" không đổi → tap Áp dụng</t>
        </is>
      </c>
      <c r="J114" s="9" t="inlineStr">
        <is>
          <t>Sheet đóng bình thường, không có lỗi/giật UI; kết quả và badge giữ nguyên như trước khi mở sheet — hành vi no-op nhất quán với cách xử lý đã test ở SS-SCR-008-SC3 (chọn lại tiêu chí Sort đang active).</t>
        </is>
      </c>
      <c r="K114" s="9" t="inlineStr">
        <is>
          <t>Low</t>
        </is>
      </c>
      <c r="L114" s="10" t="n"/>
      <c r="M114" s="10" t="inlineStr">
        <is>
          <t>Not Run</t>
        </is>
      </c>
      <c r="N114" s="10" t="n"/>
      <c r="O114" s="10" t="n"/>
      <c r="P114" s="9" t="n"/>
      <c r="Q114" s="9" t="n"/>
    </row>
    <row r="115">
      <c r="A115" s="9" t="inlineStr">
        <is>
          <t>SS-SCR-009-SC8-TC1</t>
        </is>
      </c>
      <c r="B115" s="9" t="inlineStr">
        <is>
          <t>SS-SCR-009-SC8</t>
        </is>
      </c>
      <c r="C115" s="9" t="inlineStr">
        <is>
          <t>SS-SCR-009</t>
        </is>
      </c>
      <c r="D115" s="9" t="inlineStr">
        <is>
          <t>FR-SF-04</t>
        </is>
      </c>
      <c r="E115" s="9" t="inlineStr">
        <is>
          <t>Functional</t>
        </is>
      </c>
      <c r="F115" s="9" t="inlineStr">
        <is>
          <t>Tap 1 tab chuyển đúng nội dung panel và cập nhật trạng thái active</t>
        </is>
      </c>
      <c r="G115" s="9" t="inlineStr">
        <is>
          <t>Bảng Bộ lọc vừa mở, tab "Danh mục" đang active mặc định.</t>
        </is>
      </c>
      <c r="H115" s="9" t="inlineStr">
        <is>
          <t>1. Mở Bộ lọc, quan sát tab "Danh mục" đang active (viền trái đỏ, chữ đậm đỏ) và panel bên phải hiển thị nội dung Danh mục.
2. Tap tab "Nhãn".
3. Quan sát tab "Nhãn" có chuyển sang active không, tab "Danh mục" có về trạng thái không active không, và panel bên phải có đổi sang nội dung Nhãn không.
4. Lặp lại với tab "Giao hàng", "Đánh giá", "Giá".</t>
        </is>
      </c>
      <c r="I115" s="9" t="inlineStr">
        <is>
          <t>Tap lần lượt 5 tab</t>
        </is>
      </c>
      <c r="J115" s="9" t="inlineStr">
        <is>
          <t>Mỗi lần tap, đúng 1 tab được đánh dấu active (viền trái đỏ + chữ đậm đỏ), các tab còn lại về trạng thái mặc định; panel bên phải luôn hiển thị đúng nội dung của tab đang active, không có độ trễ/nội dung tab cũ còn sót lại.</t>
        </is>
      </c>
      <c r="K115" s="9" t="inlineStr">
        <is>
          <t>Medium</t>
        </is>
      </c>
      <c r="L115" s="10" t="n"/>
      <c r="M115" s="10" t="inlineStr">
        <is>
          <t>Not Run</t>
        </is>
      </c>
      <c r="N115" s="10" t="n"/>
      <c r="O115" s="10" t="n"/>
      <c r="P115" s="9" t="n"/>
      <c r="Q115" s="9" t="n"/>
    </row>
    <row r="116">
      <c r="A116" s="9" t="inlineStr">
        <is>
          <t>SS-SCR-009-SC8-TC2</t>
        </is>
      </c>
      <c r="B116" s="9" t="inlineStr">
        <is>
          <t>SS-SCR-009-SC8</t>
        </is>
      </c>
      <c r="C116" s="9" t="inlineStr">
        <is>
          <t>SS-SCR-009</t>
        </is>
      </c>
      <c r="D116" s="9" t="inlineStr">
        <is>
          <t>FR-SF-04</t>
        </is>
      </c>
      <c r="E116" s="9" t="inlineStr">
        <is>
          <t>Functional</t>
        </is>
      </c>
      <c r="F116" s="9" t="inlineStr">
        <is>
          <t>Chuyển tab qua lại không làm mất lựa chọn/badge của tab đã chọn trước đó</t>
        </is>
      </c>
      <c r="G116" s="9" t="inlineStr">
        <is>
          <t>Bảng Bộ lọc đang mở.</t>
        </is>
      </c>
      <c r="H116" s="9" t="inlineStr">
        <is>
          <t>1. Ở tab "Nhãn", chọn 2 chip "Không đường" và "Hữu cơ" (badge tab Nhãn = 2).
2. Chuyển sang tab "Đánh giá", chọn "Từ 4 sao trở lên" (badge tab Đánh giá = 1).
3. Chuyển sang tab "Giá", không chọn gì.
4. Quay lại tab "Nhãn", kiểm tra 2 chip đã chọn trước đó và badge.
5. Quay lại tab "Đánh giá", kiểm tra lựa chọn và badge.</t>
        </is>
      </c>
      <c r="I116" s="9" t="inlineStr">
        <is>
          <t>Nhãn=2 chip, Đánh giá=1 mức, chuyển qua Giá rồi quay lại</t>
        </is>
      </c>
      <c r="J116" s="9" t="inlineStr">
        <is>
          <t>Sau khi chuyển qua nhiều tab và quay lại, tab "Nhãn" vẫn hiển thị đúng 2 chip đã chọn ở trạng thái active và badge vẫn = 2; tab "Đánh giá" vẫn giữ đúng lựa chọn "Từ 4 sao trở lên" và badge = 1 — không có lựa chọn nào bị mất hay reset khi chuyển tab qua lại (chỉ mất khi tap "Thiết lập lại" hoặc đóng bằng (✕), đã test riêng ở SC7/SC5).</t>
        </is>
      </c>
      <c r="K116" s="9" t="inlineStr">
        <is>
          <t>High</t>
        </is>
      </c>
      <c r="L116" s="10" t="n"/>
      <c r="M116" s="10" t="inlineStr">
        <is>
          <t>Not Run</t>
        </is>
      </c>
      <c r="N116" s="10" t="n"/>
      <c r="O116" s="10" t="n"/>
      <c r="P116" s="9" t="n"/>
      <c r="Q116" s="9" t="n"/>
    </row>
    <row r="117">
      <c r="A117" s="9" t="inlineStr">
        <is>
          <t>SS-SCR-009-SC9-TC1</t>
        </is>
      </c>
      <c r="B117" s="9" t="inlineStr">
        <is>
          <t>SS-SCR-009-SC9</t>
        </is>
      </c>
      <c r="C117" s="9" t="inlineStr">
        <is>
          <t>SS-SCR-009</t>
        </is>
      </c>
      <c r="D117" s="9" t="inlineStr">
        <is>
          <t>FR-SF-04</t>
        </is>
      </c>
      <c r="E117" s="9" t="inlineStr">
        <is>
          <t>Filter</t>
        </is>
      </c>
      <c r="F117" s="9" t="inlineStr">
        <is>
          <t>Chọn "Giao hàng tiêu chuẩn" — đã xác nhận: đúng 1 checkbox duy nhất trong tab</t>
        </is>
      </c>
      <c r="G117" s="9" t="inlineStr">
        <is>
          <t>Tab Giao hàng chưa có điều kiện nào active.</t>
        </is>
      </c>
      <c r="H117" s="9" t="inlineStr">
        <is>
          <t>1. Mở Bộ lọc, chuyển tab Giao hàng.
2. Đếm và ghi lại toàn bộ tuỳ chọn hiển thị trong tab (BRD chỉ nêu "Giao hàng tiêu chuẩn").
3. Chọn "Giao hàng tiêu chuẩn", quan sát badge tab Giao hàng.
4. Tap Áp dụng, kiểm tra kết quả trả về.</t>
        </is>
      </c>
      <c r="I117" s="9" t="inlineStr">
        <is>
          <t>Tab Giao hàng</t>
        </is>
      </c>
      <c r="J117" s="9" t="inlineStr">
        <is>
          <t>Tab Giao hàng chỉ có ĐÚNG 1 tuỳ chọn: checkbox "Giao hàng tiêu chuẩn" (xác nhận theo storyboard bản cập nhật v0.1-20260819, thành phần #6 "Giao hàng &amp; các nhóm khác") — không phải danh sách nhiều lựa chọn. Badge tab Giao hàng chỉ có 2 trạng thái: 0 (chưa chọn) hoặc 1 (đã chọn). Kết quả sau lọc chỉ gồm SKU đủ điều kiện giao hàng tiêu chuẩn.</t>
        </is>
      </c>
      <c r="K117" s="9" t="inlineStr">
        <is>
          <t>Medium</t>
        </is>
      </c>
      <c r="L117" s="10" t="n"/>
      <c r="M117" s="10" t="inlineStr">
        <is>
          <t>Not Run</t>
        </is>
      </c>
      <c r="N117" s="10" t="n"/>
      <c r="O117" s="10" t="n"/>
      <c r="P117" s="9" t="n"/>
      <c r="Q117" s="9" t="n"/>
    </row>
    <row r="118">
      <c r="A118" s="9" t="inlineStr">
        <is>
          <t>SS-SCR-009-SC10-TC1</t>
        </is>
      </c>
      <c r="B118" s="9" t="inlineStr">
        <is>
          <t>SS-SCR-009-SC10</t>
        </is>
      </c>
      <c r="C118" s="9" t="inlineStr">
        <is>
          <t>SS-SCR-009</t>
        </is>
      </c>
      <c r="D118" s="9" t="inlineStr">
        <is>
          <t>FR-SF-01, FR-SF-04</t>
        </is>
      </c>
      <c r="E118" s="9" t="inlineStr">
        <is>
          <t>Validation</t>
        </is>
      </c>
      <c r="F118" s="9" t="inlineStr">
        <is>
          <t>Danh sách 5 mức Đánh giá đúng đặc tả, độc quyền chỉ chọn 1</t>
        </is>
      </c>
      <c r="G118" s="9" t="inlineStr">
        <is>
          <t>Chưa chọn mức Đánh giá nào.</t>
        </is>
      </c>
      <c r="H118" s="9" t="inlineStr">
        <is>
          <t>1. Mở Bộ lọc, chuyển tab Đánh giá.
2. Đếm và đối chiếu tên 5 mức hiển thị với BRD (5 sao / Từ 4 sao trở lên / Từ 3 sao trở lên / Từ 2 sao trở lên / Từ 1 sao trở lên).
3. Chọn "Từ 4 sao trở lên", quan sát badge tab Đánh giá.
4. Chọn tiếp "Từ 3 sao trở lên" mà không bỏ chọn mức trước.</t>
        </is>
      </c>
      <c r="I118" s="9" t="inlineStr">
        <is>
          <t>5 mức Đánh giá</t>
        </is>
      </c>
      <c r="J118" s="9" t="inlineStr">
        <is>
          <t>Danh sách đúng 5 mức, đúng thứ tự và tên gọi theo BRD FR-SF-04; chọn mức thứ 2 ("Từ 3 sao trở lên") tự động bỏ chọn mức trước đó ("Từ 4 sao trở lên") — chỉ 1 mức active tại một thời điểm (badge tab Đánh giá luôn = 1 khi có chọn, giống tính chất độc quyền của tab Danh mục).</t>
        </is>
      </c>
      <c r="K118" s="9" t="inlineStr">
        <is>
          <t>Medium</t>
        </is>
      </c>
      <c r="L118" s="10" t="n"/>
      <c r="M118" s="10" t="inlineStr">
        <is>
          <t>Not Run</t>
        </is>
      </c>
      <c r="N118" s="10" t="n"/>
      <c r="O118" s="10" t="n"/>
      <c r="P118" s="9" t="n"/>
      <c r="Q118" s="9" t="n"/>
    </row>
    <row r="119">
      <c r="A119" s="9" t="inlineStr">
        <is>
          <t>SS-SCR-009-SC10-TC2</t>
        </is>
      </c>
      <c r="B119" s="9" t="inlineStr">
        <is>
          <t>SS-SCR-009-SC10</t>
        </is>
      </c>
      <c r="C119" s="9" t="inlineStr">
        <is>
          <t>SS-SCR-009</t>
        </is>
      </c>
      <c r="D119" s="9" t="inlineStr">
        <is>
          <t>FR-SF-01, FR-SF-04</t>
        </is>
      </c>
      <c r="E119" s="9" t="inlineStr">
        <is>
          <t>Boundary</t>
        </is>
      </c>
      <c r="F119" s="9" t="inlineStr">
        <is>
          <t>Verify "Từ N sao trở lên" trả về đúng ngưỡng &gt;= N (bao gồm N và cao hơn)</t>
        </is>
      </c>
      <c r="G119" s="9" t="inlineStr">
        <is>
          <t>Tập kết quả có SKU trải đều rating từ 1-5 sao.</t>
        </is>
      </c>
      <c r="H119" s="9" t="inlineStr">
        <is>
          <t>1. Mở Bộ lọc, tab Đánh giá, chọn "Từ 4 sao trở lên".
2. Tap Áp dụng.
3. Kiểm tra rating của toàn bộ SKU trong kết quả trả về — xác nhận không có SKU nào rating &lt; 4.0.
4. Kiểm tra có SKU rating = 5.0 vẫn xuất hiện trong kết quả (không bị hiểu nhầm là dải "chỉ đúng 4 sao").</t>
        </is>
      </c>
      <c r="I119" s="9" t="inlineStr">
        <is>
          <t>"Từ 4 sao trở lên"</t>
        </is>
      </c>
      <c r="J119" s="9" t="inlineStr">
        <is>
          <t>100% SKU trong kết quả có rating &gt;= 4.0 (bao gồm cả SKU 5 sao); không có SKU nào rating &lt; 4.0 lọt vào kết quả.</t>
        </is>
      </c>
      <c r="K119" s="9" t="inlineStr">
        <is>
          <t>High</t>
        </is>
      </c>
      <c r="L119" s="10" t="n"/>
      <c r="M119" s="10" t="inlineStr">
        <is>
          <t>Not Run</t>
        </is>
      </c>
      <c r="N119" s="10" t="n"/>
      <c r="O119" s="10" t="n"/>
      <c r="P119" s="9" t="n"/>
      <c r="Q119" s="9" t="n"/>
    </row>
    <row r="120">
      <c r="A120" s="9" t="inlineStr">
        <is>
          <t>SS-SCR-010-SC1-TC1</t>
        </is>
      </c>
      <c r="B120" s="9" t="inlineStr">
        <is>
          <t>SS-SCR-010-SC1</t>
        </is>
      </c>
      <c r="C120" s="9" t="inlineStr">
        <is>
          <t>SS-SCR-010</t>
        </is>
      </c>
      <c r="D120" s="9" t="inlineStr">
        <is>
          <t>FR-SF-03</t>
        </is>
      </c>
      <c r="E120" s="9" t="inlineStr">
        <is>
          <t>Boundary</t>
        </is>
      </c>
      <c r="F120" s="9" t="inlineStr">
        <is>
          <t>0 kết quả sau lọc hiển thị UI riêng, khác Zero-Result do từ khoá</t>
        </is>
      </c>
      <c r="G120" s="9" t="inlineStr">
        <is>
          <t>Trang kết quả đã lọc trả về 0 sản phẩm.</t>
        </is>
      </c>
      <c r="H120" s="9" t="inlineStr">
        <is>
          <t>1. Tìm kiếm "sữa" (128 sản phẩm).
2. Áp dụng tổ hợp bộ lọc chắc chắn không có sản phẩm nào thoả (Giá &lt;10.000đ + Nhãn=Nhập khẩu).
3. Quan sát UI kết quả.
4. Chạm nút "Xoá bộ lọc".</t>
        </is>
      </c>
      <c r="I120" s="9" t="inlineStr">
        <is>
          <t>Giá &lt;10.000đ AND Nhãn=Nhập khẩu</t>
        </is>
      </c>
      <c r="J120" s="9" t="inlineStr">
        <is>
          <t>Bước 3: hiển thị đúng thông điệp "Không có sản phẩm nào khớp bộ lọc" + nút "Xoá bộ lọc" — khác với thông điệp/illustration của Zero Result Page (SS-SCR-012), không kèm khối gợi ý thay thế. Bước 4: quay lại 128 sản phẩm gốc.</t>
        </is>
      </c>
      <c r="K120" s="9" t="inlineStr">
        <is>
          <t>High</t>
        </is>
      </c>
      <c r="L120" s="10" t="n"/>
      <c r="M120" s="10" t="inlineStr">
        <is>
          <t>Not Run</t>
        </is>
      </c>
      <c r="N120" s="10" t="n"/>
      <c r="O120" s="10" t="n"/>
      <c r="P120" s="9" t="inlineStr">
        <is>
          <t>QnA-34</t>
        </is>
      </c>
      <c r="Q120" s="9" t="inlineStr">
        <is>
          <t>| QnA-34 RESOLVED (BA 27/08/2026): Figma là nguồn ưu tiên - nút 'Bộ lọc' KHÔNG có badge tổng. Expected Result của TC này hiện giả định có badge tổng ('badge = n' / 'badge giảm') -&gt; CẦN RÀ SOÁT LẠI: thay bằng cơ chế hiển thị chip filter active. Chưa sửa Expected trong đợt này.</t>
        </is>
      </c>
    </row>
    <row r="121">
      <c r="A121" s="9" t="inlineStr">
        <is>
          <t>SS-SCR-010-SC2-TC1</t>
        </is>
      </c>
      <c r="B121" s="9" t="inlineStr">
        <is>
          <t>SS-SCR-010-SC2</t>
        </is>
      </c>
      <c r="C121" s="9" t="inlineStr">
        <is>
          <t>SS-SCR-010</t>
        </is>
      </c>
      <c r="D121" s="9" t="inlineStr">
        <is>
          <t>FR-SF-03</t>
        </is>
      </c>
      <c r="E121" s="9" t="inlineStr">
        <is>
          <t>Functional</t>
        </is>
      </c>
      <c r="F121" s="9" t="inlineStr">
        <is>
          <t>Bỏ chọn nhanh 1 chip lọc trên trang kết quả</t>
        </is>
      </c>
      <c r="G121" s="9" t="inlineStr">
        <is>
          <t>≥1 chip filter đang active.</t>
        </is>
      </c>
      <c r="H121" s="9" t="inlineStr">
        <is>
          <t>1. Áp dụng 3 điều kiện lọc, quan sát badge = 3.
2. Trên thanh chip lọc đang active, chạm lại chip "Không đường" (đang nền đỏ) để bỏ chọn.
3. Quan sát badge và số kết quả.</t>
        </is>
      </c>
      <c r="I121" s="9" t="inlineStr">
        <is>
          <t>3 điều kiện lọc, bỏ chọn 1</t>
        </is>
      </c>
      <c r="J121" s="9" t="inlineStr">
        <is>
          <t>Chip "Không đường" chuyển về trạng thái chưa chọn (nền mặc định); badge giảm còn 2; số kết quả cập nhật lại ngay không cần mở lại bảng Bộ lọc.</t>
        </is>
      </c>
      <c r="K121" s="9" t="inlineStr">
        <is>
          <t>Medium</t>
        </is>
      </c>
      <c r="L121" s="10" t="n"/>
      <c r="M121" s="10" t="inlineStr">
        <is>
          <t>Not Run</t>
        </is>
      </c>
      <c r="N121" s="10" t="n"/>
      <c r="O121" s="10" t="n"/>
      <c r="P121" s="9" t="inlineStr">
        <is>
          <t>QnA-34</t>
        </is>
      </c>
      <c r="Q121" s="9" t="inlineStr">
        <is>
          <t>| QnA-34 RESOLVED (BA 27/08/2026): Figma là nguồn ưu tiên - nút 'Bộ lọc' KHÔNG có badge tổng. Expected Result của TC này hiện giả định có badge tổng ('badge = n' / 'badge giảm') -&gt; CẦN RÀ SOÁT LẠI: thay bằng cơ chế hiển thị chip filter active. Chưa sửa Expected trong đợt này.</t>
        </is>
      </c>
    </row>
    <row r="122">
      <c r="A122" s="9" t="inlineStr">
        <is>
          <t>SS-SCR-010-SC3-TC1</t>
        </is>
      </c>
      <c r="B122" s="9" t="inlineStr">
        <is>
          <t>SS-SCR-010-SC3</t>
        </is>
      </c>
      <c r="C122" s="9" t="inlineStr">
        <is>
          <t>SS-SCR-010</t>
        </is>
      </c>
      <c r="D122" s="9" t="inlineStr">
        <is>
          <t>FR-SF-03</t>
        </is>
      </c>
      <c r="E122" s="9" t="inlineStr">
        <is>
          <t>Boundary</t>
        </is>
      </c>
      <c r="F122" s="9" t="inlineStr">
        <is>
          <t>Bỏ chọn tuần tự về 0 điều kiện lọc — badge và kết quả đồng bộ đúng</t>
        </is>
      </c>
      <c r="G122" s="9" t="inlineStr">
        <is>
          <t>Đang áp dụng 3 điều kiện lọc.</t>
        </is>
      </c>
      <c r="H122" s="9" t="inlineStr">
        <is>
          <t>1. Áp dụng 3 điều kiện lọc, xác nhận badge = 3.
2. Bỏ chọn lần lượt từng chip, quan sát badge sau mỗi lần (3→2→1→0).
3. Ở bước badge = 0, kiểm tra danh sách kết quả.</t>
        </is>
      </c>
      <c r="I122" s="9" t="inlineStr">
        <is>
          <t>3 điều kiện → bỏ dần về 0</t>
        </is>
      </c>
      <c r="J122" s="9" t="inlineStr">
        <is>
          <t>Badge giảm chính xác theo từng bước; khi về 0, nút "Bộ lọc" không còn badge, danh sách kết quả trở về đúng tập đầy đủ ban đầu (trước khi lọc lần đầu).</t>
        </is>
      </c>
      <c r="K122" s="9" t="inlineStr">
        <is>
          <t>Medium</t>
        </is>
      </c>
      <c r="L122" s="10" t="n"/>
      <c r="M122" s="10" t="inlineStr">
        <is>
          <t>Not Run</t>
        </is>
      </c>
      <c r="N122" s="10" t="n"/>
      <c r="O122" s="10" t="n"/>
      <c r="P122" s="9" t="inlineStr">
        <is>
          <t>QnA-34</t>
        </is>
      </c>
      <c r="Q122" s="9" t="inlineStr">
        <is>
          <t>| QnA-34 RESOLVED (BA 27/08/2026): Figma là nguồn ưu tiên - nút 'Bộ lọc' KHÔNG có badge tổng. Expected Result của TC này hiện giả định có badge tổng ('badge = n' / 'badge giảm') -&gt; CẦN RÀ SOÁT LẠI: thay bằng cơ chế hiển thị chip filter active. Chưa sửa Expected trong đợt này.</t>
        </is>
      </c>
    </row>
    <row r="123">
      <c r="A123" s="9" t="inlineStr">
        <is>
          <t>SS-SCR-010-SC4-TC1</t>
        </is>
      </c>
      <c r="B123" s="9" t="inlineStr">
        <is>
          <t>SS-SCR-010-SC4</t>
        </is>
      </c>
      <c r="C123" s="9" t="inlineStr">
        <is>
          <t>SS-SCR-010</t>
        </is>
      </c>
      <c r="D123" s="9" t="inlineStr">
        <is>
          <t>FR-SF-03</t>
        </is>
      </c>
      <c r="E123" s="9" t="inlineStr">
        <is>
          <t>Functional</t>
        </is>
      </c>
      <c r="F123" s="9" t="inlineStr">
        <is>
          <t>Tìm từ khoá mới tự động xoá bộ lọc của từ khoá cũ</t>
        </is>
      </c>
      <c r="G123" s="9" t="inlineStr">
        <is>
          <t>Đang ở kết quả "sữa" với filter "Không đường" đang active (badge=1).</t>
        </is>
      </c>
      <c r="H123" s="9" t="inlineStr">
        <is>
          <t>1. Ở trang kết quả "sữa", áp dụng filter "Không đường".
2. Tap Search Bar, xoá "sữa", gõ từ khoá hoàn toàn khác "bia", submit tìm kiếm.
3. Quan sát trang kết quả "bia" — kiểm tra badge nút Bộ lọc và có chip filter nào active không.</t>
        </is>
      </c>
      <c r="I123" s="9" t="inlineStr">
        <is>
          <t>"sữa" (filter=Không đường) → tìm mới "bia"</t>
        </is>
      </c>
      <c r="J123" s="9" t="inlineStr">
        <is>
          <t>Trang kết quả "bia" không còn filter "Không đường" nào active; badge nút Bộ lọc về 0/ẩn — bộ lọc đã tự động xoá khi đổi sang từ khoá mới hoàn toàn, đúng theo storyboard bản cập nhật. Lưu ý: hành vi này áp dụng cho việc TÌM TỪ KHOÁ MỚI qua Search Bar — không áp dụng cho trường hợp chỉnh SỬA TRỰC TIẾP từ khoá hiện có ngay tại Search Bar của trang kết quả (nếu có luồng riêng, cần phân biệt rõ 2 luồng UX này).</t>
        </is>
      </c>
      <c r="K123" s="9" t="inlineStr">
        <is>
          <t>High</t>
        </is>
      </c>
      <c r="L123" s="10" t="n"/>
      <c r="M123" s="10" t="inlineStr">
        <is>
          <t>Not Run</t>
        </is>
      </c>
      <c r="N123" s="10" t="n"/>
      <c r="O123" s="10" t="n"/>
      <c r="P123" s="9" t="n"/>
      <c r="Q123" s="9" t="n"/>
    </row>
    <row r="124">
      <c r="A124" s="9" t="inlineStr">
        <is>
          <t>SS-SCR-011-SC1-TC1</t>
        </is>
      </c>
      <c r="B124" s="9" t="inlineStr">
        <is>
          <t>SS-SCR-011-SC1</t>
        </is>
      </c>
      <c r="C124" s="9" t="inlineStr">
        <is>
          <t>SS-SCR-011</t>
        </is>
      </c>
      <c r="D124" s="9" t="inlineStr">
        <is>
          <t>Không có FR ID rõ ràng trong BRD — xem QnA-07</t>
        </is>
      </c>
      <c r="E124" s="9" t="inlineStr">
        <is>
          <t>Functional</t>
        </is>
      </c>
      <c r="F124" s="9" t="inlineStr">
        <is>
          <t>Optimistic update + Toast xác nhận đúng nội dung, tự ẩn sau 3s</t>
        </is>
      </c>
      <c r="G124" s="9" t="inlineStr">
        <is>
          <t>Đang ở trang kết quả (Grid hoặc List).</t>
        </is>
      </c>
      <c r="H124" s="9" t="inlineStr">
        <is>
          <t>1. Ở trang kết quả "sữa", chạm (+) trên 1 Product Card còn hàng.
2. Ngay lập tức quan sát badge giỏ hàng.
3. Quan sát Toast xuất hiện ở đáy màn hình.
4. Đo thời gian toast tự động biến mất.
5. Trong lúc toast hiển thị, thử cuộn danh sách sản phẩm.</t>
        </is>
      </c>
      <c r="I124" s="9" t="inlineStr">
        <is>
          <t>1 SKU còn hàng</t>
        </is>
      </c>
      <c r="J124" s="9" t="inlineStr">
        <is>
          <t>OUT OF SCOPE Smart Search (QnA-07): 'Thêm vào giỏ hàng' KHÔNG nằm trong scope Smart Search (thuộc module giỏ hàng). Giữ nguyên nội dung TC để tham chiếu / bàn giao cho bộ test module giỏ hàng.</t>
        </is>
      </c>
      <c r="K124" s="9" t="inlineStr">
        <is>
          <t>High</t>
        </is>
      </c>
      <c r="L124" s="10" t="n"/>
      <c r="M124" s="10" t="inlineStr">
        <is>
          <t>Not Run</t>
        </is>
      </c>
      <c r="N124" s="10" t="n"/>
      <c r="O124" s="10" t="n"/>
      <c r="P124" s="9" t="inlineStr">
        <is>
          <t>QnA-07, QnA-10</t>
        </is>
      </c>
      <c r="Q124" s="9" t="inlineStr">
        <is>
          <t>OUT OF SCOPE - QnA-07 (BA 24/08/2026): Add to cart ngoài scope Smart Search.</t>
        </is>
      </c>
    </row>
    <row r="125">
      <c r="A125" s="9" t="inlineStr">
        <is>
          <t>SS-SCR-011-SC1-TC2</t>
        </is>
      </c>
      <c r="B125" s="9" t="inlineStr">
        <is>
          <t>SS-SCR-011-SC1</t>
        </is>
      </c>
      <c r="C125" s="9" t="inlineStr">
        <is>
          <t>SS-SCR-011</t>
        </is>
      </c>
      <c r="D125" s="9" t="inlineStr">
        <is>
          <t>Không có FR ID rõ ràng trong BRD — xem QnA-07</t>
        </is>
      </c>
      <c r="E125" s="9" t="inlineStr">
        <is>
          <t>Negative</t>
        </is>
      </c>
      <c r="F125" s="9" t="inlineStr">
        <is>
          <t>Rollback badge khi API thêm giỏ thất bại</t>
        </is>
      </c>
      <c r="G125" s="9" t="inlineStr">
        <is>
          <t>Đang ở trang kết quả (Grid hoặc List).</t>
        </is>
      </c>
      <c r="H125" s="9" t="inlineStr">
        <is>
          <t>1. Giả lập API add-to-cart trả lỗi (5xx/timeout).
2. Chạm (+) trên 1 Product Card.
3. Quan sát badge ngay sau khi chạm (optimistic).
4. Chờ phản hồi lỗi từ API, quan sát badge lần nữa.</t>
        </is>
      </c>
      <c r="I125" s="9" t="inlineStr">
        <is>
          <t>API add-to-cart = lỗi giả lập</t>
        </is>
      </c>
      <c r="J125" s="9" t="inlineStr">
        <is>
          <t>OUT OF SCOPE Smart Search (QnA-07): 'Thêm vào giỏ hàng' KHÔNG nằm trong scope Smart Search (thuộc module giỏ hàng). Giữ nguyên nội dung TC để tham chiếu / bàn giao cho bộ test module giỏ hàng.</t>
        </is>
      </c>
      <c r="K125" s="9" t="inlineStr">
        <is>
          <t>High</t>
        </is>
      </c>
      <c r="L125" s="10" t="n"/>
      <c r="M125" s="10" t="inlineStr">
        <is>
          <t>Not Run</t>
        </is>
      </c>
      <c r="N125" s="10" t="n"/>
      <c r="O125" s="10" t="n"/>
      <c r="P125" s="9" t="inlineStr">
        <is>
          <t>QnA-07</t>
        </is>
      </c>
      <c r="Q125" s="9" t="inlineStr">
        <is>
          <t>OUT OF SCOPE - QnA-07 (BA 24/08/2026): Add to cart ngoài scope Smart Search.</t>
        </is>
      </c>
    </row>
    <row r="126">
      <c r="A126" s="11" t="inlineStr">
        <is>
          <t>SS-SCR-011-SC1-TC3</t>
        </is>
      </c>
      <c r="B126" s="11" t="inlineStr">
        <is>
          <t>SS-SCR-011-SC1</t>
        </is>
      </c>
      <c r="C126" s="11" t="inlineStr">
        <is>
          <t>SS-SCR-011</t>
        </is>
      </c>
      <c r="D126" s="11" t="inlineStr">
        <is>
          <t>Không có FR ID rõ ràng trong BRD — xem QnA-07</t>
        </is>
      </c>
      <c r="E126" s="11" t="inlineStr">
        <is>
          <t>Boundary</t>
        </is>
      </c>
      <c r="F126" s="11" t="inlineStr">
        <is>
          <t>Vô hiệu nút (+) khi sản phẩm hết hàng hoặc vượt giới hạn mua</t>
        </is>
      </c>
      <c r="G126" s="11" t="inlineStr">
        <is>
          <t>Đang ở trang kết quả (Grid hoặc List).</t>
        </is>
      </c>
      <c r="H126" s="11" t="inlineStr">
        <is>
          <t>1. Xác định 1 SKU hết hàng (stock=0) và 1 SKU có giới hạn mua tối đa (VD: max 5/khách).
2. Với SKU hết hàng, quan sát trạng thái nút (+).
3. Với SKU giới hạn mua, tăng số lượng tới đúng giới hạn rồi chạm (+) thêm 1 lần nữa.</t>
        </is>
      </c>
      <c r="I126" s="11" t="inlineStr">
        <is>
          <t>SKU hết hàng; SKU giới hạn mua = 5</t>
        </is>
      </c>
      <c r="J126" s="11" t="inlineStr">
        <is>
          <t>OUT OF SCOPE Smart Search (QnA-07): 'Thêm vào giỏ hàng' KHÔNG nằm trong scope Smart Search (thuộc module giỏ hàng). Giữ nguyên nội dung TC để tham chiếu / bàn giao cho bộ test module giỏ hàng.</t>
        </is>
      </c>
      <c r="K126" s="11" t="inlineStr">
        <is>
          <t>Medium</t>
        </is>
      </c>
      <c r="L126" s="10" t="n"/>
      <c r="M126" s="10" t="inlineStr">
        <is>
          <t>N/A</t>
        </is>
      </c>
      <c r="N126" s="10" t="n"/>
      <c r="O126" s="10" t="n"/>
      <c r="P126" s="11" t="inlineStr">
        <is>
          <t>QnA-07</t>
        </is>
      </c>
      <c r="Q126" s="11" t="inlineStr">
        <is>
          <t>OUT OF SCOPE - QnA-07 (BA 24/08/2026): Add to cart ngoài scope Smart Search.</t>
        </is>
      </c>
    </row>
    <row r="127">
      <c r="A127" s="9" t="inlineStr">
        <is>
          <t>SS-SCR-011-SC1-TC4</t>
        </is>
      </c>
      <c r="B127" s="9" t="inlineStr">
        <is>
          <t>SS-SCR-011-SC1</t>
        </is>
      </c>
      <c r="C127" s="9" t="inlineStr">
        <is>
          <t>SS-SCR-011</t>
        </is>
      </c>
      <c r="D127" s="9" t="inlineStr">
        <is>
          <t>Không có FR ID rõ ràng trong BRD — xem QnA-07</t>
        </is>
      </c>
      <c r="E127" s="9" t="inlineStr">
        <is>
          <t>Negative</t>
        </is>
      </c>
      <c r="F127" s="9" t="inlineStr">
        <is>
          <t>Chạm vào Toast xác nhận — không có hành động nào xảy ra</t>
        </is>
      </c>
      <c r="G127" s="9" t="inlineStr">
        <is>
          <t>Toast "Đã thêm vào giỏ hàng" đang hiển thị sau khi tap (+).</t>
        </is>
      </c>
      <c r="H127" s="9" t="inlineStr">
        <is>
          <t>1. Tap (+) trên 1 Product Card, chờ Toast xác nhận xuất hiện.
2. Trong lúc Toast còn hiển thị (chưa tự ẩn), chạm trực tiếp vào vùng thân Toast (ảnh/text, không phải nút đóng nếu có).
3. Quan sát UI ngay sau khi chạm.
4. Chờ hết 3 giây, xác nhận Toast tự ẩn bình thường như không có gì xảy ra.</t>
        </is>
      </c>
      <c r="I127" s="9" t="inlineStr">
        <is>
          <t>Tap (+) → tap vào thân Toast</t>
        </is>
      </c>
      <c r="J127" s="9" t="inlineStr">
        <is>
          <t>OUT OF SCOPE Smart Search (QnA-07): 'Thêm vào giỏ hàng' KHÔNG nằm trong scope Smart Search (thuộc module giỏ hàng). Giữ nguyên nội dung TC để tham chiếu / bàn giao cho bộ test module giỏ hàng.</t>
        </is>
      </c>
      <c r="K127" s="9" t="inlineStr">
        <is>
          <t>Low</t>
        </is>
      </c>
      <c r="L127" s="10" t="n"/>
      <c r="M127" s="10" t="inlineStr">
        <is>
          <t>Not Run</t>
        </is>
      </c>
      <c r="N127" s="10" t="n"/>
      <c r="O127" s="10" t="n"/>
      <c r="P127" s="9" t="inlineStr">
        <is>
          <t>QnA-07, QnA-05</t>
        </is>
      </c>
      <c r="Q127" s="9" t="inlineStr">
        <is>
          <t>OUT OF SCOPE - QnA-07 (BA 24/08/2026): Add to cart ngoài scope Smart Search.</t>
        </is>
      </c>
    </row>
    <row r="128">
      <c r="A128" s="11" t="inlineStr">
        <is>
          <t>SS-SCR-011-SC2-TC1</t>
        </is>
      </c>
      <c r="B128" s="11" t="inlineStr">
        <is>
          <t>SS-SCR-011-SC2</t>
        </is>
      </c>
      <c r="C128" s="11" t="inlineStr">
        <is>
          <t>SS-SCR-011</t>
        </is>
      </c>
      <c r="D128" s="11" t="inlineStr">
        <is>
          <t>Không có FR ID rõ ràng trong BRD — xem QnA-07</t>
        </is>
      </c>
      <c r="E128" s="11" t="inlineStr">
        <is>
          <t>Boundary</t>
        </is>
      </c>
      <c r="F128" s="11" t="inlineStr">
        <is>
          <t>Spam nút (+) nhiều lần liên tục — số lượng cộng dồn chính xác</t>
        </is>
      </c>
      <c r="G128" s="11" t="inlineStr">
        <is>
          <t>SKU còn hàng, không giới hạn mua.</t>
        </is>
      </c>
      <c r="H128" s="11" t="inlineStr">
        <is>
          <t>1. Xác định 1 SKU còn hàng, tồn kho ≥20, không giới hạn mua.
2. Bấm liên tục nút (+) 10 lần trong vòng &lt;1 giây.
3. Kiểm tra số lượng SKU đó trong giỏ hàng thực tế (mở trang Giỏ hàng để đối chiếu).</t>
        </is>
      </c>
      <c r="I128" s="11" t="inlineStr">
        <is>
          <t>10 lần bấm (+) liên tục</t>
        </is>
      </c>
      <c r="J128" s="11" t="inlineStr">
        <is>
          <t>OUT OF SCOPE Smart Search (QnA-07): 'Thêm vào giỏ hàng' KHÔNG nằm trong scope Smart Search (thuộc module giỏ hàng). Giữ nguyên nội dung TC để tham chiếu / bàn giao cho bộ test module giỏ hàng.</t>
        </is>
      </c>
      <c r="K128" s="11" t="inlineStr">
        <is>
          <t>High</t>
        </is>
      </c>
      <c r="L128" s="10" t="n"/>
      <c r="M128" s="10" t="inlineStr">
        <is>
          <t>N/A</t>
        </is>
      </c>
      <c r="N128" s="10" t="n"/>
      <c r="O128" s="10" t="n"/>
      <c r="P128" s="11" t="inlineStr">
        <is>
          <t>QnA-07, QnA-16</t>
        </is>
      </c>
      <c r="Q128" s="11" t="inlineStr">
        <is>
          <t>OUT OF SCOPE - QnA-07 (BA 24/08/2026): Add to cart ngoài scope Smart Search.</t>
        </is>
      </c>
    </row>
    <row r="129">
      <c r="A129" s="11" t="inlineStr">
        <is>
          <t>SS-SCR-011-SC3-TC1</t>
        </is>
      </c>
      <c r="B129" s="11" t="inlineStr">
        <is>
          <t>SS-SCR-011-SC3</t>
        </is>
      </c>
      <c r="C129" s="11" t="inlineStr">
        <is>
          <t>SS-SCR-011</t>
        </is>
      </c>
      <c r="D129" s="11" t="inlineStr">
        <is>
          <t>Không có FR ID rõ ràng trong BRD — xem QnA-07</t>
        </is>
      </c>
      <c r="E129" s="11" t="inlineStr">
        <is>
          <t>Edge</t>
        </is>
      </c>
      <c r="F129" s="11" t="inlineStr">
        <is>
          <t>Cơ chế Toast khi thêm liên tiếp 2 sản phẩm khác nhau — chưa có đặc tả</t>
        </is>
      </c>
      <c r="G129" s="11" t="inlineStr">
        <is>
          <t>2 SKU khác nhau còn hàng.</t>
        </is>
      </c>
      <c r="H129" s="11" t="inlineStr">
        <is>
          <t>1. Tap (+) trên SKU-A, ngay khi Toast của SKU-A vừa hiện (trong vòng &lt;3 giây), tap (+) trên SKU-B.
2. Quan sát Toast hiển thị: có 1 Toast (nội dung SKU nào?), 2 Toast chồng lên nhau, hay Toast xếp hàng nối tiếp?</t>
        </is>
      </c>
      <c r="I129" s="11" t="inlineStr">
        <is>
          <t>SKU-A rồi SKU-B, cách nhau &lt;3s</t>
        </is>
      </c>
      <c r="J129" s="11" t="inlineStr">
        <is>
          <t>OUT OF SCOPE Smart Search (QnA-07): 'Thêm vào giỏ hàng' KHÔNG nằm trong scope Smart Search (thuộc module giỏ hàng). Giữ nguyên nội dung TC để tham chiếu / bàn giao cho bộ test module giỏ hàng.</t>
        </is>
      </c>
      <c r="K129" s="11" t="inlineStr">
        <is>
          <t>Medium</t>
        </is>
      </c>
      <c r="L129" s="10" t="n"/>
      <c r="M129" s="10" t="inlineStr">
        <is>
          <t>N/A</t>
        </is>
      </c>
      <c r="N129" s="10" t="n"/>
      <c r="O129" s="10" t="n"/>
      <c r="P129" s="11" t="inlineStr">
        <is>
          <t>QnA-07, QnA-16</t>
        </is>
      </c>
      <c r="Q129" s="11" t="inlineStr">
        <is>
          <t>OUT OF SCOPE - QnA-07 (BA 24/08/2026): Add to cart ngoài scope Smart Search.</t>
        </is>
      </c>
    </row>
    <row r="130">
      <c r="A130" s="9" t="inlineStr">
        <is>
          <t>SS-SCR-011-SC4-TC1</t>
        </is>
      </c>
      <c r="B130" s="9" t="inlineStr">
        <is>
          <t>SS-SCR-011-SC4</t>
        </is>
      </c>
      <c r="C130" s="9" t="inlineStr">
        <is>
          <t>SS-SCR-011</t>
        </is>
      </c>
      <c r="D130" s="9" t="inlineStr">
        <is>
          <t>Không có FR ID rõ ràng trong BRD — xem QnA-07</t>
        </is>
      </c>
      <c r="E130" s="9" t="inlineStr">
        <is>
          <t>Exception</t>
        </is>
      </c>
      <c r="F130" s="9" t="inlineStr">
        <is>
          <t>Thêm giỏ khi offline — rollback kèm thông báo lỗi mạng rõ ràng</t>
        </is>
      </c>
      <c r="G130" s="9" t="inlineStr">
        <is>
          <t>Giả lập mất mạng hoàn toàn.</t>
        </is>
      </c>
      <c r="H130" s="9" t="inlineStr">
        <is>
          <t>1. Giả lập mất mạng hoàn toàn trên thiết bị.
2. Tap (+) trên 1 SKU còn hàng.
3. Quan sát badge ngay sau khi tap và sau vài giây.</t>
        </is>
      </c>
      <c r="I130" s="9" t="inlineStr">
        <is>
          <t>Offline hoàn toàn</t>
        </is>
      </c>
      <c r="J130" s="9" t="inlineStr">
        <is>
          <t>OUT OF SCOPE Smart Search (QnA-07): 'Thêm vào giỏ hàng' KHÔNG nằm trong scope Smart Search (thuộc module giỏ hàng). Giữ nguyên nội dung TC để tham chiếu / bàn giao cho bộ test module giỏ hàng.</t>
        </is>
      </c>
      <c r="K130" s="9" t="inlineStr">
        <is>
          <t>Medium</t>
        </is>
      </c>
      <c r="L130" s="10" t="n"/>
      <c r="M130" s="10" t="inlineStr">
        <is>
          <t>Not Run</t>
        </is>
      </c>
      <c r="N130" s="10" t="n"/>
      <c r="O130" s="10" t="n"/>
      <c r="P130" s="9" t="inlineStr">
        <is>
          <t>QnA-07</t>
        </is>
      </c>
      <c r="Q130" s="9" t="inlineStr">
        <is>
          <t>OUT OF SCOPE - QnA-07 (BA 24/08/2026): Add to cart ngoài scope Smart Search.</t>
        </is>
      </c>
    </row>
    <row r="131">
      <c r="A131" s="9" t="inlineStr">
        <is>
          <t>SS-SCR-012-SC1-TC1</t>
        </is>
      </c>
      <c r="B131" s="9" t="inlineStr">
        <is>
          <t>SS-SCR-012-SC1</t>
        </is>
      </c>
      <c r="C131" s="9" t="inlineStr">
        <is>
          <t>SS-SCR-012</t>
        </is>
      </c>
      <c r="D131" s="9" t="inlineStr">
        <is>
          <t>FR-ZR-02, FR-SM-07</t>
        </is>
      </c>
      <c r="E131" s="9" t="inlineStr">
        <is>
          <t>No-result</t>
        </is>
      </c>
      <c r="F131" s="9" t="inlineStr">
        <is>
          <t>Thông điệp Zero-Result trích dẫn đúng từ khoá đã tìm</t>
        </is>
      </c>
      <c r="G131" s="9" t="inlineStr">
        <is>
          <t>Catalogue đã index, không có SKU khớp trực tiếp.</t>
        </is>
      </c>
      <c r="H131" s="9" t="inlineStr">
        <is>
          <t>1. Tìm kiếm "xịt muỗi Tesla".
2. Quan sát tiêu đề, icon, và nội dung thông điệp trên Zero Result Page.</t>
        </is>
      </c>
      <c r="I131" s="9" t="inlineStr">
        <is>
          <t>"xịt muỗi Tesla"</t>
        </is>
      </c>
      <c r="J131" s="9" t="inlineStr">
        <is>
          <t>Tiêu đề "Không tìm thấy kết quả"; thông điệp: "Không có sản phẩm nào khớp với 'xịt muỗi Tesla'. Thử từ khoá khác nhé." — trích dẫn đúng nguyên văn từ khoá; icon minh hoạ trung tính, không dùng hình ảnh tiêu cực.</t>
        </is>
      </c>
      <c r="K131" s="9" t="inlineStr">
        <is>
          <t>High</t>
        </is>
      </c>
      <c r="L131" s="10" t="n"/>
      <c r="M131" s="10" t="inlineStr">
        <is>
          <t>Not Run</t>
        </is>
      </c>
      <c r="N131" s="10" t="n"/>
      <c r="O131" s="10" t="n"/>
      <c r="P131" s="9" t="n"/>
      <c r="Q131" s="9" t="inlineStr">
        <is>
          <t>REQ ID: đã gỡ 'FR-SP-02' (SS-SCR-001) và 'FR-ZR-01' (SS-SCR-012) - 2 mã không tồn tại trong BRD v0.0.3 - theo QnA-48 (BA 27/08/2026): FR-SP-02 -&gt; FR-PS-01/02/03/04; FR-ZR-01 -&gt; FR-SM-07. QnA-06 (rà soát mapping REQ ID tổng thể) VẪN OPEN - chờ BA gửi bảng mapping đầy đủ.</t>
        </is>
      </c>
    </row>
    <row r="132">
      <c r="A132" s="9" t="inlineStr">
        <is>
          <t>SS-SCR-012-SC1-TC2</t>
        </is>
      </c>
      <c r="B132" s="9" t="inlineStr">
        <is>
          <t>SS-SCR-012-SC1</t>
        </is>
      </c>
      <c r="C132" s="9" t="inlineStr">
        <is>
          <t>SS-SCR-012</t>
        </is>
      </c>
      <c r="D132" s="9" t="inlineStr">
        <is>
          <t>FR-ZR-02, FR-SM-07</t>
        </is>
      </c>
      <c r="E132" s="9" t="inlineStr">
        <is>
          <t>Functional</t>
        </is>
      </c>
      <c r="F132" s="9" t="inlineStr">
        <is>
          <t>3 tầng fallback: Substitute → Cross-sell (Basket Analysis) → Best-seller</t>
        </is>
      </c>
      <c r="G132" s="9" t="inlineStr">
        <is>
          <t>Catalogue đã index, không có SKU khớp trực tiếp.</t>
        </is>
      </c>
      <c r="H132" s="9" t="inlineStr">
        <is>
          <t>1. Tìm một SKU hết hàng có sản phẩm tương đồng vector/category (VD: "Bia Corona" hết hàng).
2. Quan sát khối "Có thể bạn sẽ thích" — kiểm tra có sản phẩm Substitute (VD: Bia Tiger) không.
3. Kiểm tra có khối bán kèm theo Basket Analysis không (VD: mồi nhậu/đậu phộng).
4. Giả lập trường hợp không tìm được substitute/cross-sell nào (từ khoá hoàn toàn ngoài domain catalogue), quan sát fallback cuối.</t>
        </is>
      </c>
      <c r="I132" s="9" t="inlineStr">
        <is>
          <t>"Bia Corona" (hết hàng) / từ khoá hoàn toàn ngoài domain</t>
        </is>
      </c>
      <c r="J132" s="9" t="inlineStr">
        <is>
          <t>Bước 2-3: hiển thị Substitute (Bia Tiger) và gợi ý bán kèm từ Basket Analysis. Bước 4: khi không có Substitute/Cross-sell, hệ thống rơi xuống tầng fallback sâu nhất — hiển thị Best-seller của LOTTE Mart, tối thiểu 10 sản phẩm (Lazy Loading).</t>
        </is>
      </c>
      <c r="K132" s="9" t="inlineStr">
        <is>
          <t>High</t>
        </is>
      </c>
      <c r="L132" s="10" t="n"/>
      <c r="M132" s="10" t="inlineStr">
        <is>
          <t>Not Run</t>
        </is>
      </c>
      <c r="N132" s="10" t="n"/>
      <c r="O132" s="10" t="n"/>
      <c r="P132" s="9" t="n"/>
      <c r="Q132" s="9" t="n"/>
    </row>
    <row r="133">
      <c r="A133" s="11" t="inlineStr">
        <is>
          <t>SS-SCR-012-SC1-TC3</t>
        </is>
      </c>
      <c r="B133" s="11" t="inlineStr">
        <is>
          <t>SS-SCR-012-SC1</t>
        </is>
      </c>
      <c r="C133" s="11" t="inlineStr">
        <is>
          <t>SS-SCR-012</t>
        </is>
      </c>
      <c r="D133" s="11" t="inlineStr">
        <is>
          <t>FR-ZR-02, FR-SM-07</t>
        </is>
      </c>
      <c r="E133" s="11" t="inlineStr">
        <is>
          <t>Negative</t>
        </is>
      </c>
      <c r="F133" s="11" t="inlineStr">
        <is>
          <t>Hai khối "Từ khoá tương tự" và "Bạn có thể cần?" hiện đang tắt trong wireframe</t>
        </is>
      </c>
      <c r="G133" s="11" t="inlineStr">
        <is>
          <t>Catalogue đã index, không có SKU khớp trực tiếp.</t>
        </is>
      </c>
      <c r="H133" s="11" t="inlineStr">
        <is>
          <t>1. Truy cập Zero Result Page trên bản wireframe hiện tại.
2. Kiểm tra có hiển thị khối "Từ khoá tương tự" (similar keywords) và "Bạn có thể cần?" hay không.</t>
        </is>
      </c>
      <c r="I133" s="11" t="inlineStr">
        <is>
          <t>N/A</t>
        </is>
      </c>
      <c r="J133" s="11" t="inlineStr">
        <is>
          <t>ĐÃ XÁC NHẬN (QnA-02): theo wireframe hiện tại, trang Zero Result CHỈ có 1 khối 'Có thể bạn sẽ thích'. Hai khối 'Từ khoá tương tự' và 'Bạn có thể cần?' KHÔNG có trong v1 (dời phase sau nếu cần). Pass = trên Zero Result Page KHÔNG xuất hiện 2 khối đó; chỉ 'Có thể bạn sẽ thích' hiển thị.</t>
        </is>
      </c>
      <c r="K133" s="11" t="inlineStr">
        <is>
          <t>Medium</t>
        </is>
      </c>
      <c r="L133" s="10" t="n"/>
      <c r="M133" s="10" t="inlineStr">
        <is>
          <t>N/A</t>
        </is>
      </c>
      <c r="N133" s="10" t="n"/>
      <c r="O133" s="10" t="n"/>
      <c r="P133" s="11" t="inlineStr">
        <is>
          <t>QnA-02</t>
        </is>
      </c>
      <c r="Q133" s="11" t="inlineStr">
        <is>
          <t>RESOLVED QnA-02 (BA 24/08/2026): wireframe chỉ 1 khối 'Có thể bạn sẽ thích'.</t>
        </is>
      </c>
    </row>
    <row r="134">
      <c r="A134" s="18" t="inlineStr">
        <is>
          <t>SS-SCR-012-SC1-TC4</t>
        </is>
      </c>
      <c r="B134" s="18" t="inlineStr">
        <is>
          <t>SS-SCR-012-SC1</t>
        </is>
      </c>
      <c r="C134" s="18" t="inlineStr">
        <is>
          <t>SS-SCR-012</t>
        </is>
      </c>
      <c r="D134" s="18" t="inlineStr">
        <is>
          <t>FR-ZR-02, FR-SM-07</t>
        </is>
      </c>
      <c r="E134" s="18" t="inlineStr">
        <is>
          <t>Functional</t>
        </is>
      </c>
      <c r="F134" s="18" t="inlineStr">
        <is>
          <t>Gợi ý Cross-sell (Basket Analysis) phản ánh đúng dữ liệu mua kèm thực tế — TBD công thức chính xác</t>
        </is>
      </c>
      <c r="G134" s="18" t="inlineStr">
        <is>
          <t>Có dữ liệu lịch sử đơn hàng thể hiện rõ 1 cặp sản phẩm thường được mua cùng nhau (VD Bia Corona + Đậu phộng xuất hiện cùng đơn hàng với tần suất cao).</t>
        </is>
      </c>
      <c r="H134" s="18" t="inlineStr">
        <is>
          <t>1. Tìm kiếm 1 từ khoá dẫn tới Zero Result cho sản phẩm hết hàng có dữ liệu mua kèm rõ ràng (VD "Bia Corona" hết hàng).
2. Quan sát khối "Có thể bạn sẽ thích" — xác nhận sản phẩm mua kèm đã biết (VD Đậu phộng) có xuất hiện trong nhóm gợi ý Cross-sell không.
3. Kiểm tra 1 sản phẩm hoàn toàn không liên quan (VD dụng cụ làm vườn) có bị gợi ý nhầm không.</t>
        </is>
      </c>
      <c r="I134" s="18" t="inlineStr">
        <is>
          <t>"Bia Corona" (hết hàng, có dữ liệu mua kèm với Đậu phộng)</t>
        </is>
      </c>
      <c r="J134" s="18" t="inlineStr">
        <is>
          <t>TBD — yêu cầu tối thiểu: sản phẩm mua kèm đã biết rõ trong dữ liệu (Đậu phộng) phải xuất hiện trong gợi ý Cross-sell; sản phẩm hoàn toàn không liên quan không được gợi ý. Công thức chính xác (ngưỡng support/confidence, cá nhân hoá hay tổng hợp, khung thời gian dữ liệu) chưa được xác nhận — không chấm Pass/Fail chi tiết cho tới khi có công thức chính thức. Xem QnA-40.</t>
        </is>
      </c>
      <c r="K134" s="18" t="inlineStr">
        <is>
          <t>Medium</t>
        </is>
      </c>
      <c r="L134" s="10" t="n"/>
      <c r="M134" s="10" t="inlineStr">
        <is>
          <t>N/A</t>
        </is>
      </c>
      <c r="N134" s="10" t="n"/>
      <c r="O134" s="10" t="n"/>
      <c r="P134" s="18" t="inlineStr">
        <is>
          <t>QnA-40</t>
        </is>
      </c>
      <c r="Q134" s="18" t="inlineStr">
        <is>
          <t>OPEN — QnA-40: xem chi tiết trong file QnA log.</t>
        </is>
      </c>
    </row>
    <row r="135">
      <c r="A135" s="18" t="inlineStr">
        <is>
          <t>SS-SCR-012-SC1-TC5</t>
        </is>
      </c>
      <c r="B135" s="18" t="inlineStr">
        <is>
          <t>SS-SCR-012-SC1</t>
        </is>
      </c>
      <c r="C135" s="18" t="inlineStr">
        <is>
          <t>SS-SCR-012</t>
        </is>
      </c>
      <c r="D135" s="18" t="inlineStr">
        <is>
          <t>FR-ZR-02, FR-SM-07</t>
        </is>
      </c>
      <c r="E135" s="18" t="inlineStr">
        <is>
          <t>Boundary</t>
        </is>
      </c>
      <c r="F135" s="18" t="inlineStr">
        <is>
          <t>Giới hạn tối đa số sản phẩm trong khối "Có thể bạn sẽ thích" khi cuộn tải thêm — TBD</t>
        </is>
      </c>
      <c r="G135" s="18" t="inlineStr">
        <is>
          <t>Đang ở Zero Result Page với khối gợi ý hiển thị mặc định 10 sản phẩm (Best-seller fallback, danh sách đủ dài để test lazy load nhiều lần).</t>
        </is>
      </c>
      <c r="H135" s="18" t="inlineStr">
        <is>
          <t>1. Vào Zero Result Page, xác nhận mặc định hiển thị 10 sản phẩm đầu.
2. Cuộn xuống hết danh sách, chờ lazy load tải thêm.
3. Lặp lại việc cuộn nhiều lần, đếm tổng số sản phẩm đã tải cho tới khi ngừng tải thêm hoặc đạt một ngưỡng rõ ràng.</t>
        </is>
      </c>
      <c r="I135" s="18" t="inlineStr">
        <is>
          <t>Cuộn liên tục khối "Có thể bạn sẽ thích"</t>
        </is>
      </c>
      <c r="J135" s="18" t="inlineStr">
        <is>
          <t>ĐÃ XÁC NHẬN (QnA-41): khối 'Có thể bạn sẽ thích' KHÔNG có giới hạn tối đa cứng - mặc định hiển thị 10 SP, lazy load tiếp tục khi khách cuộn cho tới hết dữ liệu (Best-seller). Pass = cuộn liên tục vẫn tải thêm SP, không dừng ở một ngưỡng số lượng cố định.</t>
        </is>
      </c>
      <c r="K135" s="18" t="inlineStr">
        <is>
          <t>Low</t>
        </is>
      </c>
      <c r="L135" s="10" t="n"/>
      <c r="M135" s="10" t="inlineStr">
        <is>
          <t>N/A</t>
        </is>
      </c>
      <c r="N135" s="10" t="n"/>
      <c r="O135" s="10" t="n"/>
      <c r="P135" s="18" t="inlineStr">
        <is>
          <t>QnA-41</t>
        </is>
      </c>
      <c r="Q135" s="18" t="inlineStr">
        <is>
          <t>RESOLVED QnA-41 (BA 27/08/2026): lazy loading, không giới hạn tối đa. (Cùng nguyên tắc QnA-50, QnA-53.)</t>
        </is>
      </c>
    </row>
    <row r="136">
      <c r="A136" s="18" t="inlineStr">
        <is>
          <t>SS-SCR-012-SC1-TC6</t>
        </is>
      </c>
      <c r="B136" s="18" t="inlineStr">
        <is>
          <t>SS-SCR-012-SC1</t>
        </is>
      </c>
      <c r="C136" s="18" t="inlineStr">
        <is>
          <t>SS-SCR-012</t>
        </is>
      </c>
      <c r="D136" s="18" t="inlineStr">
        <is>
          <t>FR-ZR-02; SRS Simplify User Flow Slide 5-6 (AC-03 Serving Store)</t>
        </is>
      </c>
      <c r="E136" s="18" t="inlineStr">
        <is>
          <t>Functional</t>
        </is>
      </c>
      <c r="F136" s="18" t="inlineStr">
        <is>
          <t>Tầng Best-seller của Zero Result chỉ lấy sản phẩm của Serving Store đang chọn</t>
        </is>
      </c>
      <c r="G136" s="18" t="inlineStr">
        <is>
          <t>Từ khoá gây Zero Result và không có Substitute lẫn Cross-sell hợp lệ -&gt; rơi xuống tầng Best-seller. Serving Store = A.</t>
        </is>
      </c>
      <c r="H136" s="18" t="inlineStr">
        <is>
          <t>1. Chọn Serving Store = A.
2. Tìm từ khoá gây Zero Result rơi xuống tầng Best-seller.
3. Kiểm tra từng sản phẩm trong khối gợi ý: có thuộc catalogue Store A và mua được tại A không.</t>
        </is>
      </c>
      <c r="I136" s="18" t="inlineStr">
        <is>
          <t>SKU-T: Best-seller #1 toàn hệ thống nhưng KHÔNG bán tại Store A.</t>
        </is>
      </c>
      <c r="J136" s="18" t="inlineStr">
        <is>
          <t>Mọi sản phẩm Best-seller hiển thị đều thuộc catalogue Store A và mua được tại A; SKU-T KHÔNG xuất hiện. Thứ hạng Best-seller dựa trên doanh số của Store A, không phải toàn hệ thống.</t>
        </is>
      </c>
      <c r="K136" s="18" t="inlineStr">
        <is>
          <t>High</t>
        </is>
      </c>
      <c r="L136" s="10" t="n"/>
      <c r="M136" s="10" t="inlineStr">
        <is>
          <t>Not Run</t>
        </is>
      </c>
      <c r="N136" s="10" t="n"/>
      <c r="O136" s="10" t="n"/>
      <c r="P136" s="18" t="inlineStr">
        <is>
          <t>QnA-64</t>
        </is>
      </c>
      <c r="Q136" s="18" t="inlineStr">
        <is>
          <t>Thêm mới 28/09/2026 theo QnA-64 ý (3): BA chốt Best-seller BẮT BUỘC theo Serving Store (đề nghị bổ sung vào đặc tả FR-ZR-02).</t>
        </is>
      </c>
    </row>
    <row r="137">
      <c r="A137" s="11" t="inlineStr">
        <is>
          <t>SS-SCR-012-SC2-TC1</t>
        </is>
      </c>
      <c r="B137" s="11" t="inlineStr">
        <is>
          <t>SS-SCR-012-SC2</t>
        </is>
      </c>
      <c r="C137" s="11" t="inlineStr">
        <is>
          <t>SS-SCR-012</t>
        </is>
      </c>
      <c r="D137" s="11" t="inlineStr">
        <is>
          <t>FR-ZR-02, FR-SM-07</t>
        </is>
      </c>
      <c r="E137" s="11" t="inlineStr">
        <is>
          <t>Functional</t>
        </is>
      </c>
      <c r="F137" s="11" t="inlineStr">
        <is>
          <t>Tap sản phẩm gợi ý trên Zero Result — đích điều hướng chưa rõ</t>
        </is>
      </c>
      <c r="G137" s="11" t="inlineStr">
        <is>
          <t>Đang ở Zero Result Page với khối gợi ý hiển thị.</t>
        </is>
      </c>
      <c r="H137" s="11" t="inlineStr">
        <is>
          <t>1. Ở Zero Result Page (từ khoá "xịt muỗi Tesla"), xác định khối "Có thể bạn sẽ thích" có ≥1 sản phẩm.
2. Tap vào 1 card sản phẩm trong khối này.
3. Quan sát trang được mở.</t>
        </is>
      </c>
      <c r="I137" s="11" t="inlineStr">
        <is>
          <t>1 card gợi ý bất kỳ</t>
        </is>
      </c>
      <c r="J137" s="11" t="inlineStr">
        <is>
          <t>ĐÃ XÁC NHẬN (QnA-18): sản phẩm gợi ý trên Zero Result Page bản chất là 1 Product Card -&gt; tap vào có hành vi GIỐNG mọi Product Card ở mọi trang: MỞ THẲNG PDP của sản phẩm đó, KHÔNG chạy truy vấn tìm kiếm mới theo tên. Pass = tap sản phẩm gợi ý -&gt; mở đúng PDP.</t>
        </is>
      </c>
      <c r="K137" s="11" t="inlineStr">
        <is>
          <t>Medium</t>
        </is>
      </c>
      <c r="L137" s="10" t="n"/>
      <c r="M137" s="10" t="inlineStr">
        <is>
          <t>N/A</t>
        </is>
      </c>
      <c r="N137" s="10" t="n"/>
      <c r="O137" s="10" t="n"/>
      <c r="P137" s="11" t="inlineStr">
        <is>
          <t>QnA-18</t>
        </is>
      </c>
      <c r="Q137" s="11" t="inlineStr">
        <is>
          <t>RESOLVED QnA-18 (BA 24/08/2026): Product Card -&gt; hành vi thống nhất, mở PDP.</t>
        </is>
      </c>
    </row>
    <row r="138">
      <c r="A138" s="9" t="inlineStr">
        <is>
          <t>SS-SCR-012-SC3-TC1</t>
        </is>
      </c>
      <c r="B138" s="9" t="inlineStr">
        <is>
          <t>SS-SCR-012-SC3</t>
        </is>
      </c>
      <c r="C138" s="9" t="inlineStr">
        <is>
          <t>SS-SCR-012</t>
        </is>
      </c>
      <c r="D138" s="9" t="inlineStr">
        <is>
          <t>FR-ZR-02, FR-SM-07</t>
        </is>
      </c>
      <c r="E138" s="9" t="inlineStr">
        <is>
          <t>Functional</t>
        </is>
      </c>
      <c r="F138" s="9" t="inlineStr">
        <is>
          <t>Sửa từ khoá trực tiếp trên Zero Result Page và tìm lại thành công</t>
        </is>
      </c>
      <c r="G138" s="9" t="inlineStr">
        <is>
          <t>Đang ở Zero Result Page.</t>
        </is>
      </c>
      <c r="H138" s="9" t="inlineStr">
        <is>
          <t>1. Ở Zero Result Page với từ khoá "xịt muỗi Tesla".
2. Tap vào Search Bar, sửa thành "xịt muỗi".
3. Submit tìm kiếm lại.</t>
        </is>
      </c>
      <c r="I138" s="9" t="inlineStr">
        <is>
          <t>"xịt muỗi Tesla" → sửa thành "xịt muỗi"</t>
        </is>
      </c>
      <c r="J138" s="9" t="inlineStr">
        <is>
          <t>Hệ thống chạy truy vấn mới theo "xịt muỗi"; nếu có kết quả, chuyển sang trang kết quả Grid bình thường (SS-SCR-005), rời khỏi Zero Result Page.</t>
        </is>
      </c>
      <c r="K138" s="9" t="inlineStr">
        <is>
          <t>Medium</t>
        </is>
      </c>
      <c r="L138" s="10" t="n"/>
      <c r="M138" s="10" t="inlineStr">
        <is>
          <t>Not Run</t>
        </is>
      </c>
      <c r="N138" s="10" t="n"/>
      <c r="O138" s="10" t="n"/>
      <c r="P138" s="9" t="n"/>
      <c r="Q138" s="9" t="n"/>
    </row>
    <row r="139">
      <c r="A139" s="9" t="inlineStr">
        <is>
          <t>SS-SCR-012-SC4-TC1</t>
        </is>
      </c>
      <c r="B139" s="9" t="inlineStr">
        <is>
          <t>SS-SCR-012-SC4</t>
        </is>
      </c>
      <c r="C139" s="9" t="inlineStr">
        <is>
          <t>SS-SCR-012</t>
        </is>
      </c>
      <c r="D139" s="9" t="inlineStr">
        <is>
          <t>FR-ZR-02, FR-SM-07, FR-PR-01 -&gt; FR-PR-05</t>
        </is>
      </c>
      <c r="E139" s="9" t="inlineStr">
        <is>
          <t>Boundary</t>
        </is>
      </c>
      <c r="F139" s="9" t="inlineStr">
        <is>
          <t>Từ khoá khớp chính xác 1 SKU hết hàng nhưng còn SKU khác khớp còn hàng — vẫn ở lại SS-SCR-005, không kích hoạt Zero Result</t>
        </is>
      </c>
      <c r="G139" s="9" t="inlineStr">
        <is>
          <t>Catalogue có ≥2 SKU cùng khớp trực tiếp 1 từ khoá, trong đó 1 SKU stock=0 và ≥1 SKU còn hàng.</t>
        </is>
      </c>
      <c r="H139" s="9" t="inlineStr">
        <is>
          <t>1. Thiết lập dữ liệu: từ khoá "X" khớp trực tiếp SKU-A (hết hàng) và SKU-B (còn hàng).
2. Tìm kiếm "X".
3. Quan sát màn hình trả về (SS-SCR-005 hay SS-SCR-012).
4. Nếu là SS-SCR-005, kiểm tra vị trí SKU-A trong danh sách kết quả.</t>
        </is>
      </c>
      <c r="I139" s="9" t="inlineStr">
        <is>
          <t>Từ khoá "X" → SKU-A (hết hàng) + SKU-B (còn hàng)</t>
        </is>
      </c>
      <c r="J139" s="9" t="inlineStr">
        <is>
          <t>Hệ thống trả về trang kết quả SS-SCR-005 (KHÔNG chuyển sang Zero Result Page); SKU-A (hết hàng) vẫn xuất hiện trong danh sách nhưng bị đẩy xuống vị trí cuối cùng (dưới mọi SKU còn hàng, kể cả những SKU có điểm relevance thấp hơn) theo đúng quy tắc Out-of-stock override; khối "Có thể bạn sẽ thích" không xuất hiện vì đây không phải luồng Zero Result.</t>
        </is>
      </c>
      <c r="K139" s="9" t="inlineStr">
        <is>
          <t>High</t>
        </is>
      </c>
      <c r="L139" s="10" t="n"/>
      <c r="M139" s="10" t="inlineStr">
        <is>
          <t>Not Run</t>
        </is>
      </c>
      <c r="N139" s="10" t="n"/>
      <c r="O139" s="10" t="n"/>
      <c r="P139" s="9" t="n"/>
      <c r="Q139" s="9" t="n"/>
    </row>
    <row r="140">
      <c r="A140" s="18" t="inlineStr">
        <is>
          <t>SS-SCR-012-SC4-TC2</t>
        </is>
      </c>
      <c r="B140" s="18" t="inlineStr">
        <is>
          <t>SS-SCR-012-SC4</t>
        </is>
      </c>
      <c r="C140" s="18" t="inlineStr">
        <is>
          <t>SS-SCR-012</t>
        </is>
      </c>
      <c r="D140" s="18" t="inlineStr">
        <is>
          <t>FR-ZR-02, FR-SM-07, FR-PR-01 -&gt; FR-PR-05</t>
        </is>
      </c>
      <c r="E140" s="18" t="inlineStr">
        <is>
          <t>Boundary</t>
        </is>
      </c>
      <c r="F140" s="18" t="inlineStr">
        <is>
          <t>Tất cả SKU khớp trực tiếp từ khoá đều hết hàng — TBD có kích hoạt Zero Result hay không</t>
        </is>
      </c>
      <c r="G140" s="18" t="inlineStr">
        <is>
          <t>Catalogue có SKU khớp trực tiếp 1 từ khoá nhưng TOÀN BỘ đều stock=0 (không còn SKU nào khớp trực tiếp còn hàng).</t>
        </is>
      </c>
      <c r="H140" s="18" t="inlineStr">
        <is>
          <t>1. Thiết lập dữ liệu: từ khoá "Y" chỉ khớp trực tiếp SKU-C, và SKU-C có stock=0 (không có SKU nào khác khớp trực tiếp).
2. Tìm kiếm "Y".
3. Quan sát màn hình trả về: có phải SS-SCR-005 (hiển thị SKU-C hết hàng, đơn độc trong danh sách) hay SS-SCR-012 (Zero Result, có khối "Có thể bạn sẽ thích")?</t>
        </is>
      </c>
      <c r="I140" s="18" t="inlineStr">
        <is>
          <t>Từ khoá "Y" → chỉ khớp SKU-C (hết hàng)</t>
        </is>
      </c>
      <c r="J140" s="18" t="inlineStr">
        <is>
          <t>TBD — chưa xác nhận hệ thống coi trường hợp này là (a) vẫn có 1 kết quả khớp (dù hết hàng) nên ở lại SS-SCR-005, hay (b) coi như "0 kết quả có thể mua" và chuyển sang luồng Zero Result Page (SS-SCR-012) với khối gợi ý Substitute/Cross-sell/Best-seller. Không chấm Pass/Fail cho tới khi xác nhận. Xem QnA-39.</t>
        </is>
      </c>
      <c r="K140" s="18" t="inlineStr">
        <is>
          <t>High</t>
        </is>
      </c>
      <c r="L140" s="10" t="n"/>
      <c r="M140" s="10" t="inlineStr">
        <is>
          <t>N/A</t>
        </is>
      </c>
      <c r="N140" s="10" t="n"/>
      <c r="O140" s="10" t="n"/>
      <c r="P140" s="18" t="inlineStr">
        <is>
          <t>QnA-39</t>
        </is>
      </c>
      <c r="Q140" s="18" t="inlineStr">
        <is>
          <t>OPEN — QnA-39: xem chi tiết trong file QnA log.</t>
        </is>
      </c>
    </row>
    <row r="141">
      <c r="A141" s="9" t="inlineStr">
        <is>
          <t>SS-SCR-013-SC1-TC1</t>
        </is>
      </c>
      <c r="B141" s="9" t="inlineStr">
        <is>
          <t>SS-SCR-013-SC1</t>
        </is>
      </c>
      <c r="C141" s="9" t="inlineStr">
        <is>
          <t>SS-SCR-013</t>
        </is>
      </c>
      <c r="D141" s="9" t="inlineStr">
        <is>
          <t>FR-IS-01</t>
        </is>
      </c>
      <c r="E141" s="9" t="inlineStr">
        <is>
          <t>Normal</t>
        </is>
      </c>
      <c r="F141" s="9" t="inlineStr">
        <is>
          <t>Luồng chụp ảnh cơ bản → Loading → Kết quả nhận diện</t>
        </is>
      </c>
      <c r="G141" s="9" t="inlineStr">
        <is>
          <t>Quyền Camera đã cấp.</t>
        </is>
      </c>
      <c r="H141" s="9" t="inlineStr">
        <is>
          <t>1. Chạm icon Camera trên Search Bar (SS-SCR-001), cấp quyền Camera lần đầu.
2. Ở Camera Screen, canh khung ngắm vào hộp sữa, chạm nút Chụp.
3. Quan sát chuyển tiếp sang Loading Screen (SS-SCR-004).
4. Chờ xử lý xong, quan sát trang Kết quả nhận diện (SS-SCR-015).</t>
        </is>
      </c>
      <c r="I141" s="9" t="inlineStr">
        <is>
          <t>Ảnh JPEG rõ nét hộp sữa</t>
        </is>
      </c>
      <c r="J141" s="9" t="inlineStr">
        <is>
          <t>Chụp thành công chuyển ngay sang Loading rồi tới trang Kết quả nhận diện hiển thị đúng thumbnail ảnh vừa chụp trong ô tìm kiếm và danh sách sản phẩm liên quan.</t>
        </is>
      </c>
      <c r="K141" s="9" t="inlineStr">
        <is>
          <t>High</t>
        </is>
      </c>
      <c r="L141" s="10" t="n"/>
      <c r="M141" s="10" t="inlineStr">
        <is>
          <t>Not Run</t>
        </is>
      </c>
      <c r="N141" s="10" t="n"/>
      <c r="O141" s="10" t="n"/>
      <c r="P141" s="9" t="n"/>
      <c r="Q141" s="9" t="n"/>
    </row>
    <row r="142">
      <c r="A142" s="9" t="inlineStr">
        <is>
          <t>SS-SCR-013-SC1-TC2</t>
        </is>
      </c>
      <c r="B142" s="9" t="inlineStr">
        <is>
          <t>SS-SCR-013-SC1</t>
        </is>
      </c>
      <c r="C142" s="9" t="inlineStr">
        <is>
          <t>SS-SCR-013</t>
        </is>
      </c>
      <c r="D142" s="9" t="inlineStr">
        <is>
          <t>FR-IS-01</t>
        </is>
      </c>
      <c r="E142" s="9" t="inlineStr">
        <is>
          <t>Functional</t>
        </is>
      </c>
      <c r="F142" s="9" t="inlineStr">
        <is>
          <t>Nút Đóng camera giữ nguyên trạng thái tìm kiếm trước đó</t>
        </is>
      </c>
      <c r="G142" s="9" t="inlineStr">
        <is>
          <t>Quyền Camera đã cấp.</t>
        </is>
      </c>
      <c r="H142" s="9" t="inlineStr">
        <is>
          <t>1. Từ Pre-search đang có từ khoá gần đây hiển thị, chạm icon Camera.
2. Ở Camera Screen, chạm nút Đóng (quay lại).
3. Quan sát màn hình Pre-search.</t>
        </is>
      </c>
      <c r="I142" s="9" t="inlineStr">
        <is>
          <t>N/A</t>
        </is>
      </c>
      <c r="J142" s="9" t="inlineStr">
        <is>
          <t>Quay lại đúng Pre-search Screen (SS-SCR-001), không mất từ khoá/trạng thái đang có trước đó — đúng ghi chú storyboard "Không mất từ khoá / trạng thái đang có".</t>
        </is>
      </c>
      <c r="K142" s="9" t="inlineStr">
        <is>
          <t>Low</t>
        </is>
      </c>
      <c r="L142" s="10" t="n"/>
      <c r="M142" s="10" t="inlineStr">
        <is>
          <t>Not Run</t>
        </is>
      </c>
      <c r="N142" s="10" t="n"/>
      <c r="O142" s="10" t="n"/>
      <c r="P142" s="9" t="n"/>
      <c r="Q142" s="9" t="n"/>
    </row>
    <row r="143">
      <c r="A143" s="11" t="inlineStr">
        <is>
          <t>SS-SCR-013-SC1-TC3</t>
        </is>
      </c>
      <c r="B143" s="11" t="inlineStr">
        <is>
          <t>SS-SCR-013-SC1</t>
        </is>
      </c>
      <c r="C143" s="11" t="inlineStr">
        <is>
          <t>SS-SCR-013</t>
        </is>
      </c>
      <c r="D143" s="11" t="inlineStr">
        <is>
          <t>FR-IS-01</t>
        </is>
      </c>
      <c r="E143" s="11" t="inlineStr">
        <is>
          <t>Negative</t>
        </is>
      </c>
      <c r="F143" s="11" t="inlineStr">
        <is>
          <t>Chưa có khung hướng dẫn canh giữa sản phẩm — gap thiết kế</t>
        </is>
      </c>
      <c r="G143" s="11" t="inlineStr">
        <is>
          <t>Quyền Camera đã cấp.</t>
        </is>
      </c>
      <c r="H143" s="11" t="inlineStr">
        <is>
          <t>1. Mở Camera Screen.
2. Kiểm tra có khung/overlay hướng dẫn canh giữa sản phẩm vào khung hình hay không.</t>
        </is>
      </c>
      <c r="I143" s="11" t="inlineStr">
        <is>
          <t>N/A</t>
        </is>
      </c>
      <c r="J143" s="11" t="inlineStr">
        <is>
          <t>TBD — hiện tại wireframe CHƯA có khung hướng dẫn (storyboard tự ghi nhận đây là điểm cần bổ sung để tăng tỉ lệ nhận diện). Không chấm Fail cho thiếu sót này ở bản v0.1; theo dõi quyết định scope qua QnA-09.</t>
        </is>
      </c>
      <c r="K143" s="11" t="inlineStr">
        <is>
          <t>Low</t>
        </is>
      </c>
      <c r="L143" s="10" t="n"/>
      <c r="M143" s="10" t="inlineStr">
        <is>
          <t>N/A</t>
        </is>
      </c>
      <c r="N143" s="10" t="n"/>
      <c r="O143" s="10" t="n"/>
      <c r="P143" s="11" t="inlineStr">
        <is>
          <t>QnA-09</t>
        </is>
      </c>
      <c r="Q143" s="11" t="n"/>
    </row>
    <row r="144">
      <c r="A144" s="9" t="inlineStr">
        <is>
          <t>SS-SCR-013-SC1-TC4</t>
        </is>
      </c>
      <c r="B144" s="9" t="inlineStr">
        <is>
          <t>SS-SCR-013-SC1</t>
        </is>
      </c>
      <c r="C144" s="9" t="inlineStr">
        <is>
          <t>SS-SCR-013</t>
        </is>
      </c>
      <c r="D144" s="9" t="inlineStr">
        <is>
          <t>FR-IS-01</t>
        </is>
      </c>
      <c r="E144" s="9" t="inlineStr">
        <is>
          <t>Functional</t>
        </is>
      </c>
      <c r="F144" s="9" t="inlineStr">
        <is>
          <t>Badge "Camera sau"/"Camera trước" hiển thị đúng theo camera đang active; nút Xoay đổi cả badge lẫn nguồn camera</t>
        </is>
      </c>
      <c r="G144" s="9" t="inlineStr">
        <is>
          <t>Đang ở Camera Screen, camera mặc định = "Camera sau".</t>
        </is>
      </c>
      <c r="H144" s="9" t="inlineStr">
        <is>
          <t>1. Mở Camera Screen, quan sát badge ở giữa header hiển thị "Camera sau".
2. Tap nút "Xoay" (góc dưới phải).
3. Quan sát badge có đổi thành "Camera trước" không, và khung ngắm có thực sự chuyển sang camera trước (selfie) không.
4. Tap "Xoay" lần nữa, xác nhận quay lại "Camera sau" và khung ngắm camera sau.</t>
        </is>
      </c>
      <c r="I144" s="9" t="inlineStr">
        <is>
          <t>Tap "Xoay" 2 lần liên tiếp</t>
        </is>
      </c>
      <c r="J144" s="9" t="inlineStr">
        <is>
          <t>Badge và khung ngắm LUÔN đồng bộ với nhau tại mọi thời điểm — không có trường hợp badge ghi "Camera trước" nhưng khung ngắm vẫn hiển thị hình từ camera sau (hoặc ngược lại); mỗi lần tap "Xoay" cập nhật cả 2 ngay lập tức, không có độ trễ gây lệch trạng thái.</t>
        </is>
      </c>
      <c r="K144" s="9" t="inlineStr">
        <is>
          <t>Medium</t>
        </is>
      </c>
      <c r="L144" s="10" t="n"/>
      <c r="M144" s="10" t="inlineStr">
        <is>
          <t>Not Run</t>
        </is>
      </c>
      <c r="N144" s="10" t="n"/>
      <c r="O144" s="10" t="n"/>
      <c r="P144" s="9" t="n"/>
      <c r="Q144" s="9" t="n"/>
    </row>
    <row r="145">
      <c r="A145" s="9" t="inlineStr">
        <is>
          <t>SS-SCR-013-SC1-TC5</t>
        </is>
      </c>
      <c r="B145" s="9" t="inlineStr">
        <is>
          <t>SS-SCR-013-SC1</t>
        </is>
      </c>
      <c r="C145" s="9" t="inlineStr">
        <is>
          <t>SS-SCR-013</t>
        </is>
      </c>
      <c r="D145" s="9" t="inlineStr">
        <is>
          <t>FR-IS-01</t>
        </is>
      </c>
      <c r="E145" s="9" t="inlineStr">
        <is>
          <t>Boundary</t>
        </is>
      </c>
      <c r="F145" s="9" t="inlineStr">
        <is>
          <t>Chụp ngay sau khi vừa xoay camera — ảnh chụp phải đúng từ camera mới, không dính race condition</t>
        </is>
      </c>
      <c r="G145" s="9" t="inlineStr">
        <is>
          <t>Đang ở Camera Screen với "Camera sau" active.</t>
        </is>
      </c>
      <c r="H145" s="9" t="inlineStr">
        <is>
          <t>1. Tap "Xoay" để chuyển sang "Camera trước".
2. NGAY LẬP TỨC (không chờ) tap nút "Chụp".
3. Kiểm tra ảnh vừa chụp có đúng là ảnh từ camera trước (góc nhìn selfie) hay vô tình vẫn chụp từ camera sau (do race condition khi camera chưa kịp khởi tạo xong).
4. Lặp lại bước 1-3 nhiều lần (tap Xoay rồi Chụp liên tục, không có khoảng nghỉ) để kiểm tra tính ổn định.</t>
        </is>
      </c>
      <c r="I145" s="9" t="inlineStr">
        <is>
          <t>Xoay → Chụp ngay (lặp lại nhiều lần)</t>
        </is>
      </c>
      <c r="J145" s="9" t="inlineStr">
        <is>
          <t>Ảnh chụp luôn khớp chính xác với camera đang active tại thời điểm tap Chụp (không bao giờ chụp nhầm camera cũ); không crash hay đứng hình khi xoay+chụp liên tục dồn dập.</t>
        </is>
      </c>
      <c r="K145" s="9" t="inlineStr">
        <is>
          <t>Medium</t>
        </is>
      </c>
      <c r="L145" s="10" t="n"/>
      <c r="M145" s="10" t="inlineStr">
        <is>
          <t>Not Run</t>
        </is>
      </c>
      <c r="N145" s="10" t="n"/>
      <c r="O145" s="10" t="n"/>
      <c r="P145" s="9" t="n"/>
      <c r="Q145" s="9" t="n"/>
    </row>
    <row r="146">
      <c r="A146" s="9" t="inlineStr">
        <is>
          <t>SS-SCR-013-SC2-TC1</t>
        </is>
      </c>
      <c r="B146" s="9" t="inlineStr">
        <is>
          <t>SS-SCR-013-SC2</t>
        </is>
      </c>
      <c r="C146" s="9" t="inlineStr">
        <is>
          <t>SS-SCR-013</t>
        </is>
      </c>
      <c r="D146" s="9" t="inlineStr">
        <is>
          <t>FR-IS-01</t>
        </is>
      </c>
      <c r="E146" s="9" t="inlineStr">
        <is>
          <t>Functional</t>
        </is>
      </c>
      <c r="F146" s="9" t="inlineStr">
        <is>
          <t>Bật Flash cải thiện ảnh chụp trong điều kiện thiếu sáng</t>
        </is>
      </c>
      <c r="G146" s="9" t="inlineStr">
        <is>
          <t>Đang ở Camera Screen.</t>
        </is>
      </c>
      <c r="H146" s="9" t="inlineStr">
        <is>
          <t>1. Ở Camera Screen, môi trường ánh sáng yếu.
2. Tap nút bật Flash, xác nhận icon đổi trạng thái.
3. Chụp 1 sản phẩm, quan sát độ sáng ảnh.
4. Tắt Flash, chụp lại cùng sản phẩm, so sánh.</t>
        </is>
      </c>
      <c r="I146" s="9" t="inlineStr">
        <is>
          <t>Môi trường thiếu sáng</t>
        </is>
      </c>
      <c r="J146" s="9" t="inlineStr">
        <is>
          <t>Icon Flash phản ánh đúng trạng thái bật/tắt; ảnh chụp khi Flash bật có độ sáng tốt hơn rõ rệt so với khi tắt.</t>
        </is>
      </c>
      <c r="K146" s="9" t="inlineStr">
        <is>
          <t>Low</t>
        </is>
      </c>
      <c r="L146" s="10" t="n"/>
      <c r="M146" s="10" t="inlineStr">
        <is>
          <t>Not Run</t>
        </is>
      </c>
      <c r="N146" s="10" t="n"/>
      <c r="O146" s="10" t="n"/>
      <c r="P146" s="9" t="n"/>
      <c r="Q146" s="9" t="n"/>
    </row>
    <row r="147">
      <c r="A147" s="11" t="inlineStr">
        <is>
          <t>SS-SCR-013-SC3-TC1</t>
        </is>
      </c>
      <c r="B147" s="11" t="inlineStr">
        <is>
          <t>SS-SCR-013-SC3</t>
        </is>
      </c>
      <c r="C147" s="11" t="inlineStr">
        <is>
          <t>SS-SCR-013</t>
        </is>
      </c>
      <c r="D147" s="11" t="inlineStr">
        <is>
          <t>FR-IS-01</t>
        </is>
      </c>
      <c r="E147" s="11" t="inlineStr">
        <is>
          <t>Exception</t>
        </is>
      </c>
      <c r="F147" s="11" t="inlineStr">
        <is>
          <t>Thu hồi quyền Camera giữa phiên — hành vi UI chưa được tài liệu hoá</t>
        </is>
      </c>
      <c r="G147" s="11" t="inlineStr">
        <is>
          <t>App đang ở Camera Screen hoặc vừa quay lại foreground.</t>
        </is>
      </c>
      <c r="H147" s="11" t="inlineStr">
        <is>
          <t>1. Mở Camera Screen trong app (quyền đã cấp trước đó).
2. Chuyển ra Cài đặt hệ thống, thu hồi quyền Camera của app.
3. Quay lại app (foreground), quan sát Camera Screen.</t>
        </is>
      </c>
      <c r="I147" s="11" t="inlineStr">
        <is>
          <t>Thu hồi quyền giữa phiên</t>
        </is>
      </c>
      <c r="J147" s="11" t="inlineStr">
        <is>
          <t>TBD — chưa có đặc tả rõ ràng cho trường hợp thu hồi quyền GIỮA PHIÊN (khác với từ chối ở lần xin quyền đầu tiên). Yêu cầu tối thiểu: không crash app, hiển thị thông báo phù hợp + đường dẫn tới Cài đặt để cấp lại quyền. Xem QnA-19.</t>
        </is>
      </c>
      <c r="K147" s="11" t="inlineStr">
        <is>
          <t>Medium</t>
        </is>
      </c>
      <c r="L147" s="10" t="n"/>
      <c r="M147" s="10" t="inlineStr">
        <is>
          <t>N/A</t>
        </is>
      </c>
      <c r="N147" s="10" t="n"/>
      <c r="O147" s="10" t="n"/>
      <c r="P147" s="11" t="inlineStr">
        <is>
          <t>QnA-19</t>
        </is>
      </c>
      <c r="Q147" s="11" t="n"/>
    </row>
    <row r="148">
      <c r="A148" s="9" t="inlineStr">
        <is>
          <t>SS-SCR-014-SC1-TC1</t>
        </is>
      </c>
      <c r="B148" s="9" t="inlineStr">
        <is>
          <t>SS-SCR-014-SC1</t>
        </is>
      </c>
      <c r="C148" s="9" t="inlineStr">
        <is>
          <t>SS-SCR-014</t>
        </is>
      </c>
      <c r="D148" s="9" t="inlineStr">
        <is>
          <t>FR-IS-02, FR-IS-04</t>
        </is>
      </c>
      <c r="E148" s="9" t="inlineStr">
        <is>
          <t>Boundary</t>
        </is>
      </c>
      <c r="F148" s="9" t="inlineStr">
        <is>
          <t>Ngưỡng dung lượng ảnh chính xác tại mốc 5MB</t>
        </is>
      </c>
      <c r="G148" s="9" t="inlineStr">
        <is>
          <t>Quyền truy cập thư viện đã cấp; khay ảnh gần đây hiển thị lưới 3 cột.</t>
        </is>
      </c>
      <c r="H148" s="9" t="inlineStr">
        <is>
          <t>1. Mở khay Gallery từ Camera Screen.
2. Chọn ảnh JPEG dung lượng đúng 5.0MB.
3. Quan sát kết quả upload.
4. Lặp lại với ảnh JPEG 5.1MB.</t>
        </is>
      </c>
      <c r="I148" s="9" t="inlineStr">
        <is>
          <t>JPEG 5.0MB / JPEG 5.1MB</t>
        </is>
      </c>
      <c r="J148" s="9" t="inlineStr">
        <is>
          <t>5.0MB: được chấp nhận, chuyển sang Loading (SS-SCR-004). 5.1MB: bị từ chối trước khi upload, hiển thị đúng Toast message theo FR-IS-04 ("Định dạng hình ảnh không hợp lệ hoặc dung lượng vượt quá 5MB. Vui lòng thử lại.").</t>
        </is>
      </c>
      <c r="K148" s="9" t="inlineStr">
        <is>
          <t>High</t>
        </is>
      </c>
      <c r="L148" s="10" t="n"/>
      <c r="M148" s="10" t="inlineStr">
        <is>
          <t>Not Run</t>
        </is>
      </c>
      <c r="N148" s="10" t="n"/>
      <c r="O148" s="10" t="n"/>
      <c r="P148" s="9" t="n"/>
      <c r="Q148" s="9" t="n"/>
    </row>
    <row r="149">
      <c r="A149" s="9" t="inlineStr">
        <is>
          <t>SS-SCR-014-SC1-TC2</t>
        </is>
      </c>
      <c r="B149" s="9" t="inlineStr">
        <is>
          <t>SS-SCR-014-SC1</t>
        </is>
      </c>
      <c r="C149" s="9" t="inlineStr">
        <is>
          <t>SS-SCR-014</t>
        </is>
      </c>
      <c r="D149" s="9" t="inlineStr">
        <is>
          <t>FR-IS-02, FR-IS-04</t>
        </is>
      </c>
      <c r="E149" s="9" t="inlineStr">
        <is>
          <t>Exception</t>
        </is>
      </c>
      <c r="F149" s="9" t="inlineStr">
        <is>
          <t>Định dạng không hỗ trợ (GIF) bị từ chối với thông báo rõ ràng</t>
        </is>
      </c>
      <c r="G149" s="9" t="inlineStr">
        <is>
          <t>Quyền truy cập thư viện đã cấp; khay ảnh gần đây hiển thị lưới 3 cột.</t>
        </is>
      </c>
      <c r="H149" s="9" t="inlineStr">
        <is>
          <t>1. Mở khay Gallery.
2. Chọn 1 ảnh định dạng GIF.
3. Quan sát UI.</t>
        </is>
      </c>
      <c r="I149" s="9" t="inlineStr">
        <is>
          <t>GIF</t>
        </is>
      </c>
      <c r="J149" s="9" t="inlineStr">
        <is>
          <t>Hệ thống từ chối trước khi upload, hiển thị Toast đúng nguyên văn theo FR-IS-04: "Định dạng hình ảnh không hợp lệ hoặc dung lượng vượt quá 5MB. Vui lòng thử lại."; không crash, không mở Loading Screen.</t>
        </is>
      </c>
      <c r="K149" s="9" t="inlineStr">
        <is>
          <t>High</t>
        </is>
      </c>
      <c r="L149" s="10" t="n"/>
      <c r="M149" s="10" t="inlineStr">
        <is>
          <t>Not Run</t>
        </is>
      </c>
      <c r="N149" s="10" t="n"/>
      <c r="O149" s="10" t="n"/>
      <c r="P149" s="9" t="n"/>
      <c r="Q149" s="9" t="n"/>
    </row>
    <row r="150">
      <c r="A150" s="9" t="inlineStr">
        <is>
          <t>SS-SCR-014-SC1-TC3</t>
        </is>
      </c>
      <c r="B150" s="9" t="inlineStr">
        <is>
          <t>SS-SCR-014-SC1</t>
        </is>
      </c>
      <c r="C150" s="9" t="inlineStr">
        <is>
          <t>SS-SCR-014</t>
        </is>
      </c>
      <c r="D150" s="9" t="inlineStr">
        <is>
          <t>FR-IS-02, FR-IS-04</t>
        </is>
      </c>
      <c r="E150" s="9" t="inlineStr">
        <is>
          <t>Boundary</t>
        </is>
      </c>
      <c r="F150" s="9" t="inlineStr">
        <is>
          <t>Chỉ cho chọn 1 ảnh mỗi phiên (v1)</t>
        </is>
      </c>
      <c r="G150" s="9" t="inlineStr">
        <is>
          <t>Quyền truy cập thư viện đã cấp; khay ảnh gần đây hiển thị lưới 3 cột.</t>
        </is>
      </c>
      <c r="H150" s="9" t="inlineStr">
        <is>
          <t>1. Mở khay Gallery (lưới 3 cột).
2. Chạm chọn ảnh thứ nhất.
3. Quan sát UI có cho chọn thêm ảnh thứ hai không.</t>
        </is>
      </c>
      <c r="I150" s="9" t="inlineStr">
        <is>
          <t>2 ảnh trong khay</t>
        </is>
      </c>
      <c r="J150" s="9" t="inlineStr">
        <is>
          <t>Chọn 1 ảnh chuyển thẳng sang Loading Screen ngay lập tức — không có cơ chế multi-select ở phiên bản v1, đúng ghi chú "Chỉ cho chọn một ảnh ở phiên bản v1".</t>
        </is>
      </c>
      <c r="K150" s="9" t="inlineStr">
        <is>
          <t>Medium</t>
        </is>
      </c>
      <c r="L150" s="10" t="n"/>
      <c r="M150" s="10" t="inlineStr">
        <is>
          <t>Not Run</t>
        </is>
      </c>
      <c r="N150" s="10" t="n"/>
      <c r="O150" s="10" t="n"/>
      <c r="P150" s="9" t="n"/>
      <c r="Q150" s="9" t="n"/>
    </row>
    <row r="151">
      <c r="A151" s="9" t="inlineStr">
        <is>
          <t>SS-SCR-014-SC1-TC4</t>
        </is>
      </c>
      <c r="B151" s="9" t="inlineStr">
        <is>
          <t>SS-SCR-014-SC1</t>
        </is>
      </c>
      <c r="C151" s="9" t="inlineStr">
        <is>
          <t>SS-SCR-014</t>
        </is>
      </c>
      <c r="D151" s="9" t="inlineStr">
        <is>
          <t>FR-IS-02, FR-IS-04</t>
        </is>
      </c>
      <c r="E151" s="9" t="inlineStr">
        <is>
          <t>Functional</t>
        </is>
      </c>
      <c r="F151" s="9" t="inlineStr">
        <is>
          <t>Định dạng PNG được chấp nhận và xử lý đúng</t>
        </is>
      </c>
      <c r="G151" s="9" t="inlineStr">
        <is>
          <t>Quyền truy cập thư viện đã cấp; có ảnh PNG hợp lệ trong khay.</t>
        </is>
      </c>
      <c r="H151" s="9" t="inlineStr">
        <is>
          <t>1. Mở khay Gallery.
2. Chọn 1 ảnh định dạng PNG (dung lượng hợp lệ, VD 2MB).
3. Quan sát hệ thống có chấp nhận và chuyển sang Loading Screen hay không.</t>
        </is>
      </c>
      <c r="I151" s="9" t="inlineStr">
        <is>
          <t>Ảnh PNG 2MB</t>
        </is>
      </c>
      <c r="J151" s="9" t="inlineStr">
        <is>
          <t>Ảnh PNG được chấp nhận, không hiện Toast lỗi, chuyển thẳng sang Loading Screen (SS-SCR-004) — đúng theo FR-IS-04 (chấp nhận JPG/PNG/WEBP).</t>
        </is>
      </c>
      <c r="K151" s="9" t="inlineStr">
        <is>
          <t>Medium</t>
        </is>
      </c>
      <c r="L151" s="10" t="n"/>
      <c r="M151" s="10" t="inlineStr">
        <is>
          <t>Not Run</t>
        </is>
      </c>
      <c r="N151" s="10" t="n"/>
      <c r="O151" s="10" t="n"/>
      <c r="P151" s="9" t="n"/>
      <c r="Q151" s="9" t="n"/>
    </row>
    <row r="152">
      <c r="A152" s="9" t="inlineStr">
        <is>
          <t>SS-SCR-014-SC1-TC5</t>
        </is>
      </c>
      <c r="B152" s="9" t="inlineStr">
        <is>
          <t>SS-SCR-014-SC1</t>
        </is>
      </c>
      <c r="C152" s="9" t="inlineStr">
        <is>
          <t>SS-SCR-014</t>
        </is>
      </c>
      <c r="D152" s="9" t="inlineStr">
        <is>
          <t>FR-IS-02, FR-IS-04</t>
        </is>
      </c>
      <c r="E152" s="9" t="inlineStr">
        <is>
          <t>Functional</t>
        </is>
      </c>
      <c r="F152" s="9" t="inlineStr">
        <is>
          <t>Định dạng WEBP được chấp nhận — trước bản cập nhật này chưa có test case nào kiểm tra định dạng này</t>
        </is>
      </c>
      <c r="G152" s="9" t="inlineStr">
        <is>
          <t>Quyền truy cập thư viện đã cấp; có ảnh WEBP hợp lệ trong khay.</t>
        </is>
      </c>
      <c r="H152" s="9" t="inlineStr">
        <is>
          <t>1. Mở khay Gallery.
2. Chọn 1 ảnh định dạng WEBP (dung lượng hợp lệ, VD 2MB).
3. Quan sát hệ thống có chấp nhận và chuyển sang Loading Screen hay không.</t>
        </is>
      </c>
      <c r="I152" s="9" t="inlineStr">
        <is>
          <t>Ảnh WEBP 2MB</t>
        </is>
      </c>
      <c r="J152" s="9" t="inlineStr">
        <is>
          <t>Ảnh WEBP được chấp nhận, không hiện Toast lỗi, chuyển thẳng sang Loading Screen (SS-SCR-004) — đúng theo FR-IS-04 (chấp nhận JPG/PNG/WEBP). Đây là định dạng duy nhất trong danh sách BRD chưa từng được test riêng trước bản cập nhật này.</t>
        </is>
      </c>
      <c r="K152" s="9" t="inlineStr">
        <is>
          <t>Medium</t>
        </is>
      </c>
      <c r="L152" s="10" t="n"/>
      <c r="M152" s="10" t="inlineStr">
        <is>
          <t>Not Run</t>
        </is>
      </c>
      <c r="N152" s="10" t="n"/>
      <c r="O152" s="10" t="n"/>
      <c r="P152" s="9" t="n"/>
      <c r="Q152" s="9" t="n"/>
    </row>
    <row r="153">
      <c r="A153" s="9" t="inlineStr">
        <is>
          <t>SS-SCR-014-SC2-TC1</t>
        </is>
      </c>
      <c r="B153" s="9" t="inlineStr">
        <is>
          <t>SS-SCR-014-SC2</t>
        </is>
      </c>
      <c r="C153" s="9" t="inlineStr">
        <is>
          <t>SS-SCR-014</t>
        </is>
      </c>
      <c r="D153" s="9" t="inlineStr">
        <is>
          <t>FR-IS-02, FR-IS-04</t>
        </is>
      </c>
      <c r="E153" s="9" t="inlineStr">
        <is>
          <t>Edge</t>
        </is>
      </c>
      <c r="F153" s="9" t="inlineStr">
        <is>
          <t>Trạng thái rỗng khi thư viện ảnh không có ảnh nào</t>
        </is>
      </c>
      <c r="G153" s="9" t="inlineStr">
        <is>
          <t>Thiết bị test chưa có ảnh nào trong bộ nhớ/thư viện.</t>
        </is>
      </c>
      <c r="H153" s="9" t="inlineStr">
        <is>
          <t>1. Trên thiết bị test không có ảnh nào trong thư viện.
2. Mở khay Gallery từ Camera Screen.
3. Quan sát UI.</t>
        </is>
      </c>
      <c r="I153" s="9" t="inlineStr">
        <is>
          <t>Thư viện 0 ảnh</t>
        </is>
      </c>
      <c r="J153" s="9" t="inlineStr">
        <is>
          <t>Hiển thị thông điệp trạng thái rỗng rõ ràng (không phải lưới trống không giải thích gì); vẫn giữ được đường quay lại chụp ảnh mới.</t>
        </is>
      </c>
      <c r="K153" s="9" t="inlineStr">
        <is>
          <t>Low</t>
        </is>
      </c>
      <c r="L153" s="10" t="n"/>
      <c r="M153" s="10" t="inlineStr">
        <is>
          <t>Not Run</t>
        </is>
      </c>
      <c r="N153" s="10" t="n"/>
      <c r="O153" s="10" t="n"/>
      <c r="P153" s="9" t="n"/>
      <c r="Q153" s="9" t="n"/>
    </row>
    <row r="154">
      <c r="A154" s="9" t="inlineStr">
        <is>
          <t>SS-SCR-014-SC3-TC1</t>
        </is>
      </c>
      <c r="B154" s="9" t="inlineStr">
        <is>
          <t>SS-SCR-014-SC3</t>
        </is>
      </c>
      <c r="C154" s="9" t="inlineStr">
        <is>
          <t>SS-SCR-014</t>
        </is>
      </c>
      <c r="D154" s="9" t="inlineStr">
        <is>
          <t>FR-IS-02, FR-IS-04</t>
        </is>
      </c>
      <c r="E154" s="9" t="inlineStr">
        <is>
          <t>Negative</t>
        </is>
      </c>
      <c r="F154" s="9" t="inlineStr">
        <is>
          <t>Từ chối quyền Thư viện — hiển thị hướng dẫn cấp quyền lại</t>
        </is>
      </c>
      <c r="G154" s="9" t="inlineStr">
        <is>
          <t>Chạm nút Thư viện lần đầu, hệ thống hỏi quyền.</t>
        </is>
      </c>
      <c r="H154" s="9" t="inlineStr">
        <is>
          <t>1. Từ Camera Screen, tap nút Thư viện lần đầu.
2. Ở popup quyền hệ thống, chọn "Từ chối".
3. Quan sát UI.</t>
        </is>
      </c>
      <c r="I154" s="9" t="inlineStr">
        <is>
          <t>Quyền thư viện = Denied</t>
        </is>
      </c>
      <c r="J154" s="9" t="inlineStr">
        <is>
          <t>Hiển thị hướng dẫn mở Cài đặt để cấp quyền lại; không crash; khách vẫn có thể dùng chức năng Chụp ảnh trực tiếp bình thường.</t>
        </is>
      </c>
      <c r="K154" s="9" t="inlineStr">
        <is>
          <t>Medium</t>
        </is>
      </c>
      <c r="L154" s="10" t="n"/>
      <c r="M154" s="10" t="inlineStr">
        <is>
          <t>Not Run</t>
        </is>
      </c>
      <c r="N154" s="10" t="n"/>
      <c r="O154" s="10" t="n"/>
      <c r="P154" s="9" t="n"/>
      <c r="Q154" s="9" t="n"/>
    </row>
    <row r="155">
      <c r="A155" s="9" t="inlineStr">
        <is>
          <t>SS-SCR-014-SC4-TC1</t>
        </is>
      </c>
      <c r="B155" s="9" t="inlineStr">
        <is>
          <t>SS-SCR-014-SC4</t>
        </is>
      </c>
      <c r="C155" s="9" t="inlineStr">
        <is>
          <t>SS-SCR-014</t>
        </is>
      </c>
      <c r="D155" s="9" t="inlineStr">
        <is>
          <t>FR-IS-02, FR-IS-04</t>
        </is>
      </c>
      <c r="E155" s="9" t="inlineStr">
        <is>
          <t>Functional</t>
        </is>
      </c>
      <c r="F155" s="9" t="inlineStr">
        <is>
          <t>Tap nút "X" trên header khay Gallery đóng về Camera Screen, không chọn ảnh</t>
        </is>
      </c>
      <c r="G155" s="9" t="inlineStr">
        <is>
          <t>Khay "Ảnh gần đây" đang mở.</t>
        </is>
      </c>
      <c r="H155" s="9" t="inlineStr">
        <is>
          <t>1. Mở khay Gallery từ Camera Screen.
2. Tap nút "X" ở góc trên bên phải header khay.
3. Quan sát màn hình sau khi đóng.</t>
        </is>
      </c>
      <c r="I155" s="9" t="inlineStr">
        <is>
          <t>Tap "X"</t>
        </is>
      </c>
      <c r="J155" s="9" t="inlineStr">
        <is>
          <t>Quay lại đúng Camera Screen (không chọn ảnh nào); camera vẫn đang chạy nền đúng như trạng thái trước khi mở khay (không phải khởi động lại từ đầu).</t>
        </is>
      </c>
      <c r="K155" s="9" t="inlineStr">
        <is>
          <t>Low</t>
        </is>
      </c>
      <c r="L155" s="10" t="n"/>
      <c r="M155" s="10" t="inlineStr">
        <is>
          <t>Not Run</t>
        </is>
      </c>
      <c r="N155" s="10" t="n"/>
      <c r="O155" s="10" t="n"/>
      <c r="P155" s="9" t="n"/>
      <c r="Q155" s="9" t="n"/>
    </row>
    <row r="156">
      <c r="A156" s="9" t="inlineStr">
        <is>
          <t>SS-SCR-014-SC4-TC2</t>
        </is>
      </c>
      <c r="B156" s="9" t="inlineStr">
        <is>
          <t>SS-SCR-014-SC4</t>
        </is>
      </c>
      <c r="C156" s="9" t="inlineStr">
        <is>
          <t>SS-SCR-014</t>
        </is>
      </c>
      <c r="D156" s="9" t="inlineStr">
        <is>
          <t>FR-IS-02, FR-IS-04</t>
        </is>
      </c>
      <c r="E156" s="9" t="inlineStr">
        <is>
          <t>Functional</t>
        </is>
      </c>
      <c r="F156" s="9" t="inlineStr">
        <is>
          <t>Tap vào vùng tối bên ngoài khay Gallery cũng đóng khay, hành vi nhất quán với nút X</t>
        </is>
      </c>
      <c r="G156" s="9" t="inlineStr">
        <is>
          <t>Khay "Ảnh gần đây" đang mở.</t>
        </is>
      </c>
      <c r="H156" s="9" t="inlineStr">
        <is>
          <t>1. Mở khay Gallery từ Camera Screen.
2. Tap vào vùng camera preview phía trên khay (nền tối/khu vực ngoài sheet, không tap vào bất kỳ ảnh nào trong lưới).
3. Quan sát màn hình sau khi tap.</t>
        </is>
      </c>
      <c r="I156" s="9" t="inlineStr">
        <is>
          <t>Tap vùng ngoài sheet</t>
        </is>
      </c>
      <c r="J156" s="9" t="inlineStr">
        <is>
          <t>Khay đóng lại, quay về Camera Screen giống hệt hành vi của nút "X" (TC1) — không chọn ảnh nào, không có khác biệt hành vi giữa 2 cách đóng.</t>
        </is>
      </c>
      <c r="K156" s="9" t="inlineStr">
        <is>
          <t>Low</t>
        </is>
      </c>
      <c r="L156" s="10" t="n"/>
      <c r="M156" s="10" t="inlineStr">
        <is>
          <t>Not Run</t>
        </is>
      </c>
      <c r="N156" s="10" t="n"/>
      <c r="O156" s="10" t="n"/>
      <c r="P156" s="9" t="n"/>
      <c r="Q156" s="9" t="n"/>
    </row>
    <row r="157">
      <c r="A157" s="9" t="inlineStr">
        <is>
          <t>SS-SCR-015-SC1-TC1</t>
        </is>
      </c>
      <c r="B157" s="9" t="inlineStr">
        <is>
          <t>SS-SCR-015-SC1</t>
        </is>
      </c>
      <c r="C157" s="9" t="inlineStr">
        <is>
          <t>SS-SCR-015</t>
        </is>
      </c>
      <c r="D157" s="9" t="inlineStr">
        <is>
          <t>FR-IS-03, FR-IS-07</t>
        </is>
      </c>
      <c r="E157" s="9" t="inlineStr">
        <is>
          <t>Functional</t>
        </is>
      </c>
      <c r="F157" s="9" t="inlineStr">
        <is>
          <t>Trang kết quả ảnh tái sử dụng đúng component Sort/Filter/Product Card của luồng Text</t>
        </is>
      </c>
      <c r="G157" s="9" t="inlineStr">
        <is>
          <t>Ảnh đã xử lý thành công.</t>
        </is>
      </c>
      <c r="H157" s="9" t="inlineStr">
        <is>
          <t>1. Thực hiện tìm kiếm bằng ảnh hộp sữa TH True Milk thành công.
2. Trên trang kết quả ảnh, mở Sort, mở Filter, thêm 1 sản phẩm vào giỏ.
3. So sánh hành vi/giao diện với trang kết quả Text Search (SS-SCR-005).</t>
        </is>
      </c>
      <c r="I157" s="9" t="inlineStr">
        <is>
          <t>Ảnh hộp sữa TH True Milk</t>
        </is>
      </c>
      <c r="J157" s="9" t="inlineStr">
        <is>
          <t>Toàn bộ hành vi Sort/Filter/Add-to-cart trên trang kết quả ảnh giống hệt luồng Text Search, chỉ khác nguồn truy vấn (ảnh thay vì từ khoá) — đúng nguyên tắc "dùng chung trang kết quả, tiết kiệm effort lớn nhất của thiết kế".</t>
        </is>
      </c>
      <c r="K157" s="9" t="inlineStr">
        <is>
          <t>High</t>
        </is>
      </c>
      <c r="L157" s="10" t="n"/>
      <c r="M157" s="10" t="inlineStr">
        <is>
          <t>Not Run</t>
        </is>
      </c>
      <c r="N157" s="10" t="n"/>
      <c r="O157" s="10" t="n"/>
      <c r="P157" s="9" t="n"/>
      <c r="Q157" s="9" t="n"/>
    </row>
    <row r="158">
      <c r="A158" s="9" t="inlineStr">
        <is>
          <t>SS-SCR-015-SC1-TC2</t>
        </is>
      </c>
      <c r="B158" s="9" t="inlineStr">
        <is>
          <t>SS-SCR-015-SC1</t>
        </is>
      </c>
      <c r="C158" s="9" t="inlineStr">
        <is>
          <t>SS-SCR-015</t>
        </is>
      </c>
      <c r="D158" s="9" t="inlineStr">
        <is>
          <t>FR-IS-03, FR-IS-07</t>
        </is>
      </c>
      <c r="E158" s="9" t="inlineStr">
        <is>
          <t>Functional</t>
        </is>
      </c>
      <c r="F158" s="9" t="inlineStr">
        <is>
          <t>Tap vào thumbnail ảnh mở công cụ Crop</t>
        </is>
      </c>
      <c r="G158" s="9" t="inlineStr">
        <is>
          <t>Ảnh đã xử lý thành công.</t>
        </is>
      </c>
      <c r="H158" s="9" t="inlineStr">
        <is>
          <t>1. Ở trang kết quả ảnh, chạm vào thumbnail ảnh trong ô tìm kiếm.
2. Quan sát công cụ Crop mở ra.
3. Kéo khung chữ nhật để thu hẹp vùng quét, xác nhận.
4. Quan sát thumbnail trong ô tìm kiếm sau khi crop có thay đổi theo vùng đã chọn hay vẫn giữ ảnh gốc.</t>
        </is>
      </c>
      <c r="I158" s="9" t="inlineStr">
        <is>
          <t>Thumbnail ảnh đã upload</t>
        </is>
      </c>
      <c r="J158" s="9" t="inlineStr">
        <is>
          <t>Công cụ Crop overlay mở đúng, cho phép kéo khung chữ nhật giới hạn vùng quét AI; sau khi xác nhận, hệ thống chạy lại tìm kiếm dựa trên vùng ảnh đã crop; đồng thời thumbnail trong ô tìm kiếm cũng phải cập nhật hiển thị ĐÚNG PHẦN ẢNH ĐÃ CROP (không còn hiển thị ảnh gốc đầy đủ chưa cắt) — để khách xác nhận trực quan hệ thống đang tìm theo đúng vùng đã chọn.</t>
        </is>
      </c>
      <c r="K158" s="9" t="inlineStr">
        <is>
          <t>Medium</t>
        </is>
      </c>
      <c r="L158" s="10" t="n"/>
      <c r="M158" s="10" t="inlineStr">
        <is>
          <t>Not Run</t>
        </is>
      </c>
      <c r="N158" s="10" t="n"/>
      <c r="O158" s="10" t="n"/>
      <c r="P158" s="9" t="n"/>
      <c r="Q158" s="9" t="n"/>
    </row>
    <row r="159">
      <c r="A159" s="11" t="inlineStr">
        <is>
          <t>SS-SCR-015-SC1-TC3</t>
        </is>
      </c>
      <c r="B159" s="11" t="inlineStr">
        <is>
          <t>SS-SCR-015-SC1</t>
        </is>
      </c>
      <c r="C159" s="11" t="inlineStr">
        <is>
          <t>SS-SCR-015</t>
        </is>
      </c>
      <c r="D159" s="11" t="inlineStr">
        <is>
          <t>FR-IS-03, FR-IS-07</t>
        </is>
      </c>
      <c r="E159" s="11" t="inlineStr">
        <is>
          <t>Boundary</t>
        </is>
      </c>
      <c r="F159" s="11" t="inlineStr">
        <is>
          <t>Ngưỡng độ tin cậy (confidence) nhận diện chưa được chốt</t>
        </is>
      </c>
      <c r="G159" s="11" t="inlineStr">
        <is>
          <t>Ảnh đã xử lý thành công.</t>
        </is>
      </c>
      <c r="H159" s="11" t="inlineStr">
        <is>
          <t>1. Giả lập ảnh cho kết quả nhận diện ở mức confidence biên (gần ngưỡng).
2. Quan sát hệ thống trả kết quả hay chuyển sang màn hình "Không nhận diện được" (SS-SCR-016).</t>
        </is>
      </c>
      <c r="I159" s="11" t="inlineStr">
        <is>
          <t>Ảnh confidence biên</t>
        </is>
      </c>
      <c r="J159" s="11" t="inlineStr">
        <is>
          <t>TBD — ngưỡng confidence cụ thể để quyết định trả kết quả hay chuyển sang lỗi chưa được TD chốt; không thực thi Pass/Fail định lượng cho tới khi có con số chính thức. Xem QnA-03.</t>
        </is>
      </c>
      <c r="K159" s="11" t="inlineStr">
        <is>
          <t>Medium</t>
        </is>
      </c>
      <c r="L159" s="10" t="n"/>
      <c r="M159" s="10" t="inlineStr">
        <is>
          <t>N/A</t>
        </is>
      </c>
      <c r="N159" s="10" t="n"/>
      <c r="O159" s="10" t="n"/>
      <c r="P159" s="11" t="inlineStr">
        <is>
          <t>QnA-03</t>
        </is>
      </c>
      <c r="Q159" s="11" t="n"/>
    </row>
    <row r="160">
      <c r="A160" s="9" t="inlineStr">
        <is>
          <t>SS-SCR-015-SC1-TC4</t>
        </is>
      </c>
      <c r="B160" s="9" t="inlineStr">
        <is>
          <t>SS-SCR-015-SC1</t>
        </is>
      </c>
      <c r="C160" s="9" t="inlineStr">
        <is>
          <t>SS-SCR-015</t>
        </is>
      </c>
      <c r="D160" s="9" t="inlineStr">
        <is>
          <t>FR-IS-03, FR-IS-07</t>
        </is>
      </c>
      <c r="E160" s="9" t="inlineStr">
        <is>
          <t>Functional</t>
        </is>
      </c>
      <c r="F160" s="9" t="inlineStr">
        <is>
          <t>Chụp/tải ảnh mới trong lúc đang ở trang kết quả ảnh — ảnh mới ghi đè hoàn toàn ảnh cũ</t>
        </is>
      </c>
      <c r="G160" s="9" t="inlineStr">
        <is>
          <t>Đang ở trang kết quả ảnh (SS-SCR-015) với ảnh hộp sữa TH True Milk đã xử lý xong.</t>
        </is>
      </c>
      <c r="H160" s="9" t="inlineStr">
        <is>
          <t>1. Ở trang kết quả ảnh hiện tại (ảnh A: hộp sữa TH True Milk), tap icon Camera trên Search Bar để mở lại Camera Screen.
2. Chụp 1 ảnh HOÀN TOÀN KHÁC (ảnh B: hộp sữa Vinamilk).
3. Chờ xử lý xong, quan sát trang kết quả ảnh mới.
4. Kiểm tra thumbnail trong ô tìm kiếm, danh sách sản phẩm, và trạng thái Sort/Filter có phải hoàn toàn của ảnh B hay còn sót lại dữ liệu/trạng thái nào của ảnh A không.</t>
        </is>
      </c>
      <c r="I160" s="9" t="inlineStr">
        <is>
          <t>Ảnh A (TH True Milk) → chụp ảnh B (Vinamilk)</t>
        </is>
      </c>
      <c r="J160" s="9" t="inlineStr">
        <is>
          <t>Ảnh B ghi đè hoàn toàn ảnh A: thumbnail trong ô tìm kiếm đổi thành ảnh B; danh sách kết quả là của ảnh B (không còn sản phẩm chỉ liên quan tới ảnh A); mọi bộ lọc/sắp xếp đang áp dụng cho ảnh A trước đó reset về mặc định cho truy vấn mới (tương tự hành vi đổi từ khoá mới đã xác nhận ở SS-SCR-010-SC4).</t>
        </is>
      </c>
      <c r="K160" s="9" t="inlineStr">
        <is>
          <t>High</t>
        </is>
      </c>
      <c r="L160" s="10" t="n"/>
      <c r="M160" s="10" t="inlineStr">
        <is>
          <t>Not Run</t>
        </is>
      </c>
      <c r="N160" s="10" t="n"/>
      <c r="O160" s="10" t="n"/>
      <c r="P160" s="9" t="n"/>
      <c r="Q160" s="9" t="n"/>
    </row>
    <row r="161">
      <c r="A161" s="9" t="inlineStr">
        <is>
          <t>SS-SCR-015-SC1-TC5</t>
        </is>
      </c>
      <c r="B161" s="9" t="inlineStr">
        <is>
          <t>SS-SCR-015-SC1</t>
        </is>
      </c>
      <c r="C161" s="9" t="inlineStr">
        <is>
          <t>SS-SCR-015</t>
        </is>
      </c>
      <c r="D161" s="9" t="inlineStr">
        <is>
          <t>FR-IS-03, FR-IS-07</t>
        </is>
      </c>
      <c r="E161" s="9" t="inlineStr">
        <is>
          <t>Functional</t>
        </is>
      </c>
      <c r="F161" s="9" t="inlineStr">
        <is>
          <t>Sau khi chụp ảnh hoặc chọn ảnh từ thư viện thành công, ảnh load đúng vào ô tìm kiếm (Search Bar) trên trang kết quả</t>
        </is>
      </c>
      <c r="G161" s="9" t="inlineStr">
        <is>
          <t>Đã xử lý xong 1 lượt tìm bằng ảnh.</t>
        </is>
      </c>
      <c r="H161" s="9" t="inlineStr">
        <is>
          <t>1. Thực hiện chụp ảnh trực tiếp (SS-SCR-013) thành công, quan sát ô tìm kiếm trên trang kết quả (SS-SCR-015).
2. Lặp lại nhưng lần này CHỌN ảnh từ thư viện (SS-SCR-014) thay vì chụp trực tiếp, quan sát ô tìm kiếm.</t>
        </is>
      </c>
      <c r="I161" s="9" t="inlineStr">
        <is>
          <t>Luồng Chụp ảnh / Luồng Chọn ảnh thư viện</t>
        </is>
      </c>
      <c r="J161" s="9" t="inlineStr">
        <is>
          <t>Ở CẢ 2 luồng, ảnh vừa xử lý (chụp trực tiếp hoặc chọn từ thư viện) đều hiển thị đúng dưới dạng thumbnail thu nhỏ NGAY TRONG ô tìm kiếm (thay thế vị trí từ khoá text), không có khác biệt về hành vi hiển thị thumbnail giữa 2 nguồn ảnh đầu vào.</t>
        </is>
      </c>
      <c r="K161" s="9" t="inlineStr">
        <is>
          <t>High</t>
        </is>
      </c>
      <c r="L161" s="10" t="n"/>
      <c r="M161" s="10" t="inlineStr">
        <is>
          <t>Not Run</t>
        </is>
      </c>
      <c r="N161" s="10" t="n"/>
      <c r="O161" s="10" t="n"/>
      <c r="P161" s="9" t="n"/>
      <c r="Q161" s="9" t="n"/>
    </row>
    <row r="162">
      <c r="A162" s="9" t="inlineStr">
        <is>
          <t>SS-SCR-015-SC2-TC1</t>
        </is>
      </c>
      <c r="B162" s="9" t="inlineStr">
        <is>
          <t>SS-SCR-015-SC2</t>
        </is>
      </c>
      <c r="C162" s="9" t="inlineStr">
        <is>
          <t>SS-SCR-015</t>
        </is>
      </c>
      <c r="D162" s="9" t="inlineStr">
        <is>
          <t>FR-IS-03, FR-IS-07</t>
        </is>
      </c>
      <c r="E162" s="9" t="inlineStr">
        <is>
          <t>Performance</t>
        </is>
      </c>
      <c r="F162" s="9" t="inlineStr">
        <is>
          <t>p95 thời gian phản hồi tìm kiếm ảnh &lt; 3.000ms</t>
        </is>
      </c>
      <c r="G162" s="9" t="inlineStr">
        <is>
          <t>Điều kiện mạng bình thường.</t>
        </is>
      </c>
      <c r="H162" s="9" t="inlineStr">
        <is>
          <t>1. Thực hiện 30+ lượt tìm kiếm ảnh với ảnh chuẩn, điều kiện mạng bình thường.
2. Đo thời gian từ khi gửi ảnh tới khi sản phẩm đầu tiên hiển thị cho từng lượt.
3. Tính p95 của tập số liệu.</t>
        </is>
      </c>
      <c r="I162" s="9" t="inlineStr">
        <is>
          <t>Ảnh sản phẩm chuẩn x ≥30 lượt</t>
        </is>
      </c>
      <c r="J162" s="9" t="inlineStr">
        <is>
          <t>p95 thời gian phản hồi &lt; 3.000ms — đạt FR-IS-07/NFR-004.</t>
        </is>
      </c>
      <c r="K162" s="9" t="inlineStr">
        <is>
          <t>High</t>
        </is>
      </c>
      <c r="L162" s="10" t="n"/>
      <c r="M162" s="10" t="inlineStr">
        <is>
          <t>Not Run</t>
        </is>
      </c>
      <c r="N162" s="10" t="n"/>
      <c r="O162" s="10" t="n"/>
      <c r="P162" s="9" t="n"/>
      <c r="Q162" s="9" t="n"/>
    </row>
    <row r="163">
      <c r="A163" s="9" t="inlineStr">
        <is>
          <t>SS-SCR-015-SC3-TC1</t>
        </is>
      </c>
      <c r="B163" s="9" t="inlineStr">
        <is>
          <t>SS-SCR-015-SC3</t>
        </is>
      </c>
      <c r="C163" s="9" t="inlineStr">
        <is>
          <t>SS-SCR-015</t>
        </is>
      </c>
      <c r="D163" s="9" t="inlineStr">
        <is>
          <t>FR-IS-03, FR-IS-07</t>
        </is>
      </c>
      <c r="E163" s="9" t="inlineStr">
        <is>
          <t>Functional</t>
        </is>
      </c>
      <c r="F163" s="9" t="inlineStr">
        <is>
          <t>Bỏ ảnh (✕) quay về tìm bằng từ khoá, không giữ kết quả ảnh cũ</t>
        </is>
      </c>
      <c r="G163" s="9" t="inlineStr">
        <is>
          <t>Đang ở trang kết quả ảnh.</t>
        </is>
      </c>
      <c r="H163" s="9" t="inlineStr">
        <is>
          <t>1. Ở trang kết quả ảnh (đã tìm bằng ảnh hộp sữa).
2. Tap (✕) trên thumbnail ảnh trong ô tìm kiếm.
3. Quan sát UI ngay sau đó.</t>
        </is>
      </c>
      <c r="I163" s="9" t="inlineStr">
        <is>
          <t>N/A</t>
        </is>
      </c>
      <c r="J163" s="9" t="inlineStr">
        <is>
          <t>Ảnh bị gỡ khỏi ô tìm kiếm; hệ thống chuyển về trạng thái nhập từ khoá (ô trống, sẵn sàng gõ); không còn hiển thị kết quả của truy vấn ảnh cũ.</t>
        </is>
      </c>
      <c r="K163" s="9" t="inlineStr">
        <is>
          <t>Medium</t>
        </is>
      </c>
      <c r="L163" s="10" t="n"/>
      <c r="M163" s="10" t="inlineStr">
        <is>
          <t>Not Run</t>
        </is>
      </c>
      <c r="N163" s="10" t="n"/>
      <c r="O163" s="10" t="n"/>
      <c r="P163" s="9" t="n"/>
      <c r="Q163" s="9" t="n"/>
    </row>
    <row r="164">
      <c r="A164" s="9" t="inlineStr">
        <is>
          <t>SS-SCR-015-SC4-TC1</t>
        </is>
      </c>
      <c r="B164" s="9" t="inlineStr">
        <is>
          <t>SS-SCR-015-SC4</t>
        </is>
      </c>
      <c r="C164" s="9" t="inlineStr">
        <is>
          <t>SS-SCR-015</t>
        </is>
      </c>
      <c r="D164" s="9" t="inlineStr">
        <is>
          <t>FR-IS-03, FR-IS-07</t>
        </is>
      </c>
      <c r="E164" s="9" t="inlineStr">
        <is>
          <t>Boundary</t>
        </is>
      </c>
      <c r="F164" s="9" t="inlineStr">
        <is>
          <t>Xử lý ổn định khi có nhiều SKU tương đồng gần bằng nhau</t>
        </is>
      </c>
      <c r="G164" s="9" t="inlineStr">
        <is>
          <t>Catalogue có nhiều SKU hình dáng bao bì tương tự.</t>
        </is>
      </c>
      <c r="H164" s="9" t="inlineStr">
        <is>
          <t>1. Chụp/tải ảnh 1 hộp sữa có bao bì tương tự nhiều nhãn hiệu khác trong catalogue.
2. Quan sát danh sách kết quả trả về.</t>
        </is>
      </c>
      <c r="I164" s="9" t="inlineStr">
        <is>
          <t>Ảnh sản phẩm có nhiều biến thể tương tự</t>
        </is>
      </c>
      <c r="J164" s="9" t="inlineStr">
        <is>
          <t>Trả về danh sách nhiều SKU xếp hạng theo độ tương đồng giảm dần (không chỉ 1 kết quả duy nhất, không rỗng, không lỗi).</t>
        </is>
      </c>
      <c r="K164" s="9" t="inlineStr">
        <is>
          <t>Medium</t>
        </is>
      </c>
      <c r="L164" s="10" t="n"/>
      <c r="M164" s="10" t="inlineStr">
        <is>
          <t>Not Run</t>
        </is>
      </c>
      <c r="N164" s="10" t="n"/>
      <c r="O164" s="10" t="n"/>
      <c r="P164" s="9" t="n"/>
      <c r="Q164" s="9" t="n"/>
    </row>
    <row r="165">
      <c r="A165" s="9" t="inlineStr">
        <is>
          <t>SS-SCR-016-SC1-TC1</t>
        </is>
      </c>
      <c r="B165" s="9" t="inlineStr">
        <is>
          <t>SS-SCR-016-SC1</t>
        </is>
      </c>
      <c r="C165" s="9" t="inlineStr">
        <is>
          <t>SS-SCR-016</t>
        </is>
      </c>
      <c r="D165" s="9" t="inlineStr">
        <is>
          <t>FR-IS-05</t>
        </is>
      </c>
      <c r="E165" s="9" t="inlineStr">
        <is>
          <t>Edge</t>
        </is>
      </c>
      <c r="F165" s="9" t="inlineStr">
        <is>
          <t>Ảnh mờ/không nhận diện được → màn lỗi thân thiện + 2 đường thoát</t>
        </is>
      </c>
      <c r="G165" s="9" t="inlineStr">
        <is>
          <t>Ảnh hợp lệ về định dạng &amp; dung lượng nhưng không nhận diện được nội dung.</t>
        </is>
      </c>
      <c r="H165" s="9" t="inlineStr">
        <is>
          <t>1. Upload ảnh mờ/out-of-focus.
2. Quan sát trang kết quả.
3. Chạm "Thử lại".
4. Quay lại luồng ảnh, upload lại ảnh mờ, lần này chạm "Tìm bằng từ khoá".
5. Quan sát trạng thái màn hình Pre-search vừa chuyển tới: ô tìm kiếm, khối Tìm kiếm gần đây/Xu hướng.</t>
        </is>
      </c>
      <c r="I165" s="9" t="inlineStr">
        <is>
          <t>Ảnh mờ/out-of-focus</t>
        </is>
      </c>
      <c r="J165" s="9" t="inlineStr">
        <is>
          <t>Bước 2: hiển thị đúng trang lỗi "Không nhận diện được" với hướng dẫn khắc phục cụ thể, không dùng mã lỗi kỹ thuật. Bước 3: quay lại Camera Screen, giữ nguyên chế độ camera trước/sau đã dùng. Bước 4: chuyển đúng sang Pre-search Screen (SS-SCR-001) — không phải quay lại Camera Screen như CTA "Thử lại". Bước 5: Pre-search Screen hiển thị ở trạng thái sạch/bình thường — ô tìm kiếm trống và sẵn sàng nhận input mới, các khối Tìm kiếm gần đây/Xu hướng tìm kiếm hiển thị đầy đủ như một lần vào Pre-search thông thường, không còn dấu vết nào của lượt tìm bằng ảnh thất bại trước đó (không có banner lỗi sót lại).</t>
        </is>
      </c>
      <c r="K165" s="9" t="inlineStr">
        <is>
          <t>High</t>
        </is>
      </c>
      <c r="L165" s="10" t="n"/>
      <c r="M165" s="10" t="inlineStr">
        <is>
          <t>Not Run</t>
        </is>
      </c>
      <c r="N165" s="10" t="n"/>
      <c r="O165" s="10" t="n"/>
      <c r="P165" s="9" t="n"/>
      <c r="Q165" s="9" t="n"/>
    </row>
    <row r="166">
      <c r="A166" s="9" t="inlineStr">
        <is>
          <t>SS-SCR-016-SC1-TC2</t>
        </is>
      </c>
      <c r="B166" s="9" t="inlineStr">
        <is>
          <t>SS-SCR-016-SC1</t>
        </is>
      </c>
      <c r="C166" s="9" t="inlineStr">
        <is>
          <t>SS-SCR-016</t>
        </is>
      </c>
      <c r="D166" s="9" t="inlineStr">
        <is>
          <t>FR-IS-05</t>
        </is>
      </c>
      <c r="E166" s="9" t="inlineStr">
        <is>
          <t>Edge</t>
        </is>
      </c>
      <c r="F166" s="9" t="inlineStr">
        <is>
          <t>Ảnh không chứa sản phẩm (phong cảnh/tường trắng) không ép trả kết quả sai</t>
        </is>
      </c>
      <c r="G166" s="9" t="inlineStr">
        <is>
          <t>Ảnh hợp lệ về định dạng &amp; dung lượng nhưng không nhận diện được nội dung.</t>
        </is>
      </c>
      <c r="H166" s="9" t="inlineStr">
        <is>
          <t>1. Upload ảnh phong cảnh hoặc bức tường trắng (không có sản phẩm).
2. Quan sát kết quả trả về.</t>
        </is>
      </c>
      <c r="I166" s="9" t="inlineStr">
        <is>
          <t>Ảnh không có nội dung sản phẩm</t>
        </is>
      </c>
      <c r="J166" s="9" t="inlineStr">
        <is>
          <t>Hệ thống KHÔNG ép trả một tập kết quả gán bừa; chuyển sang đúng màn hình lỗi "Không nhận diện được" thân thiện, đề xuất text search làm phương án dự phòng.</t>
        </is>
      </c>
      <c r="K166" s="9" t="inlineStr">
        <is>
          <t>High</t>
        </is>
      </c>
      <c r="L166" s="10" t="n"/>
      <c r="M166" s="10" t="inlineStr">
        <is>
          <t>Not Run</t>
        </is>
      </c>
      <c r="N166" s="10" t="n"/>
      <c r="O166" s="10" t="n"/>
      <c r="P166" s="9" t="n"/>
      <c r="Q166" s="9" t="n"/>
    </row>
    <row r="167">
      <c r="A167" s="18" t="inlineStr">
        <is>
          <t>SS-SCR-016-SC1-TC3</t>
        </is>
      </c>
      <c r="B167" s="18" t="inlineStr">
        <is>
          <t>SS-SCR-016-SC1</t>
        </is>
      </c>
      <c r="C167" s="18" t="inlineStr">
        <is>
          <t>SS-SCR-016</t>
        </is>
      </c>
      <c r="D167" s="18" t="inlineStr">
        <is>
          <t>FR-IS-05</t>
        </is>
      </c>
      <c r="E167" s="18" t="inlineStr">
        <is>
          <t>Edge</t>
        </is>
      </c>
      <c r="F167" s="18" t="inlineStr">
        <is>
          <t>Nhấn nút Back trên header màn lỗi "Không nhận diện được" — TBD đích đến</t>
        </is>
      </c>
      <c r="G167" s="18" t="inlineStr">
        <is>
          <t>Đang ở màn hình lỗi "Không nhận diện được" (SS-SCR-016) sau khi upload ảnh mờ.</t>
        </is>
      </c>
      <c r="H167" s="18" t="inlineStr">
        <is>
          <t>1. Upload ảnh mờ, xác nhận màn lỗi "Không nhận diện được" hiện ra.
2. Tap nút "Back" ở góc trên bên trái header (không tap "Thử lại" hay "Tìm bằng từ khoá").
3. Quan sát màn hình được điều hướng tới.</t>
        </is>
      </c>
      <c r="I167" s="18" t="inlineStr">
        <is>
          <t>Tap "Back" trên header</t>
        </is>
      </c>
      <c r="J167" s="18" t="inlineStr">
        <is>
          <t>ĐÃ XÁC NHẬN (QnA-45): nút Back trên header = quay lại MÀN HÌNH NGAY TRƯỚC ĐÓ trong navigation stack (bỏ qua các màn error/loading/unknown) - theo đúng quy tắc điều hướng chuẩn. Có thể TRÙNG hành vi với CTA 'Thử lại' (nếu màn trước là Camera Screen) - việc trùng này chấp nhận được, không ảnh hưởng trải nghiệm. Pass = tap Back -&gt; về đúng màn trước error screen; không crash, không kẹt lại màn lỗi.</t>
        </is>
      </c>
      <c r="K167" s="18" t="inlineStr">
        <is>
          <t>Medium</t>
        </is>
      </c>
      <c r="L167" s="10" t="n"/>
      <c r="M167" s="10" t="inlineStr">
        <is>
          <t>N/A</t>
        </is>
      </c>
      <c r="N167" s="10" t="n"/>
      <c r="O167" s="10" t="n"/>
      <c r="P167" s="18" t="inlineStr">
        <is>
          <t>QnA-45</t>
        </is>
      </c>
      <c r="Q167" s="18" t="inlineStr">
        <is>
          <t>RESOLVED QnA-45 (BA 27/08/2026): Back = màn hình trước trong stack; có thể trùng 'Thử lại', chấp nhận.</t>
        </is>
      </c>
    </row>
    <row r="168">
      <c r="A168" s="9" t="inlineStr">
        <is>
          <t>SS-SCR-016-SC2-TC1</t>
        </is>
      </c>
      <c r="B168" s="9" t="inlineStr">
        <is>
          <t>SS-SCR-016-SC2</t>
        </is>
      </c>
      <c r="C168" s="9" t="inlineStr">
        <is>
          <t>SS-SCR-016</t>
        </is>
      </c>
      <c r="D168" s="9" t="inlineStr">
        <is>
          <t>FR-IS-05</t>
        </is>
      </c>
      <c r="E168" s="9" t="inlineStr">
        <is>
          <t>Exception</t>
        </is>
      </c>
      <c r="F168" s="9" t="inlineStr">
        <is>
          <t>Thử lại 3 lần liên tiếp đều thất bại — không bị khoá chức năng</t>
        </is>
      </c>
      <c r="G168" s="9" t="inlineStr">
        <is>
          <t>Đang lặp lại luồng Image Search nhiều lần.</t>
        </is>
      </c>
      <c r="H168" s="9" t="inlineStr">
        <is>
          <t>1. Upload ảnh mờ, xác nhận màn lỗi hiện ra.
2. Tap "Thử lại", upload lại ảnh mờ khác, xác nhận màn lỗi lần 2.
3. Lặp lại lần thứ 3.</t>
        </is>
      </c>
      <c r="I168" s="9" t="inlineStr">
        <is>
          <t>3 ảnh mờ liên tiếp</t>
        </is>
      </c>
      <c r="J168" s="9" t="inlineStr">
        <is>
          <t>Cả 3 lần đều hiển thị đúng màn "Không nhận diện được" với đầy đủ 2 CTA (Thử lại / Tìm bằng từ khoá); không có cơ chế khoá tính năng hay giới hạn số lần thử.</t>
        </is>
      </c>
      <c r="K168" s="9" t="inlineStr">
        <is>
          <t>Low</t>
        </is>
      </c>
      <c r="L168" s="10" t="n"/>
      <c r="M168" s="10" t="inlineStr">
        <is>
          <t>Not Run</t>
        </is>
      </c>
      <c r="N168" s="10" t="n"/>
      <c r="O168" s="10" t="n"/>
      <c r="P168" s="9" t="n"/>
      <c r="Q168" s="9" t="n"/>
    </row>
    <row r="169">
      <c r="A169" s="9" t="inlineStr">
        <is>
          <t>SS-SCR-017-SC1-TC1</t>
        </is>
      </c>
      <c r="B169" s="9" t="inlineStr">
        <is>
          <t>SS-SCR-017-SC1</t>
        </is>
      </c>
      <c r="C169" s="9" t="inlineStr">
        <is>
          <t>SS-SCR-017</t>
        </is>
      </c>
      <c r="D169" s="9" t="inlineStr">
        <is>
          <t>FR-VS-01, FR-VS-02</t>
        </is>
      </c>
      <c r="E169" s="9" t="inlineStr">
        <is>
          <t>Normal</t>
        </is>
      </c>
      <c r="F169" s="9" t="inlineStr">
        <is>
          <t>Transcript realtime + nút Dừng chủ động</t>
        </is>
      </c>
      <c r="G169" s="9" t="inlineStr">
        <is>
          <t>Quyền Micro đã cấp; đang ở lớp thu âm Listening.</t>
        </is>
      </c>
      <c r="H169" s="9" t="inlineStr">
        <is>
          <t>1. Chạm icon Mic, cấp quyền Micro lần đầu.
2. Nói "Ba quả chuối 60.000".
3. Quan sát thẻ "Đang nhận diện", waveform, và văn bản transcript cập nhật theo thời gian thực.
4. Chạm nút Dừng trước khi hệ thống tự động dừng.</t>
        </is>
      </c>
      <c r="I169" s="9" t="inlineStr">
        <is>
          <t>"Ba quả chuối 60.000"</t>
        </is>
      </c>
      <c r="J169" s="9" t="inlineStr">
        <is>
          <t>Thẻ "Đang nhận diện" xuất hiện ngay khi có tín hiệu đầu tiên; transcript hiển thị gần đúng với tốc độ nói; chạm Dừng chuyển ngay sang Loading Screen (SS-SCR-004) mà không cần chờ auto-stop.</t>
        </is>
      </c>
      <c r="K169" s="9" t="inlineStr">
        <is>
          <t>High</t>
        </is>
      </c>
      <c r="L169" s="10" t="n"/>
      <c r="M169" s="10" t="inlineStr">
        <is>
          <t>Not Run</t>
        </is>
      </c>
      <c r="N169" s="10" t="n"/>
      <c r="O169" s="10" t="n"/>
      <c r="P169" s="9" t="n"/>
      <c r="Q169" s="9" t="n"/>
    </row>
    <row r="170">
      <c r="A170" s="9" t="inlineStr">
        <is>
          <t>SS-SCR-017-SC1-TC2</t>
        </is>
      </c>
      <c r="B170" s="9" t="inlineStr">
        <is>
          <t>SS-SCR-017-SC1</t>
        </is>
      </c>
      <c r="C170" s="9" t="inlineStr">
        <is>
          <t>SS-SCR-017</t>
        </is>
      </c>
      <c r="D170" s="9" t="inlineStr">
        <is>
          <t>FR-VS-01, FR-VS-02</t>
        </is>
      </c>
      <c r="E170" s="9" t="inlineStr">
        <is>
          <t>Boundary</t>
        </is>
      </c>
      <c r="F170" s="9" t="inlineStr">
        <is>
          <t>Ngưỡng tự động dừng thu âm cố định 6 giây (đã xác nhận, hết mâu thuẫn)</t>
        </is>
      </c>
      <c r="G170" s="9" t="inlineStr">
        <is>
          <t>Quyền Micro đã cấp; đang ở lớp thu âm Listening.</t>
        </is>
      </c>
      <c r="H170" s="9" t="inlineStr">
        <is>
          <t>1. Nói liên tục không ngừng trong &gt;6 giây, quan sát hệ thống có tự dừng tại giây thứ 6 hay không.
2. Ở lượt khác, nói rồi im lặng 2 giây giữa chừng, quan sát có tự dừng tại mốc im lặng 2s hay không.</t>
        </is>
      </c>
      <c r="I170" s="9" t="inlineStr">
        <is>
          <t>Giọng nói liên tục &gt;6s / giọng nói + khoảng lặng 2s</t>
        </is>
      </c>
      <c r="J170" s="9" t="inlineStr">
        <is>
          <t>Storyboard bản cập nhật (v0.1-20260819) đã gỡ bỏ đề xuất "2 giây im lặng / 15 giây tối đa" — chỉ còn giá trị chính thức duy nhất: tự động dừng thu âm sau đúng 6 giây kể từ khi bắt đầu, không phụ thuộc khoảng lặng giữa chừng. Bước 2 (nói rồi im lặng 2 giây) KHÔNG được kích hoạt auto-stop sớm — hệ thống vẫn tiếp tục thu cho tới mốc 6 giây.</t>
        </is>
      </c>
      <c r="K170" s="9" t="inlineStr">
        <is>
          <t>High</t>
        </is>
      </c>
      <c r="L170" s="10" t="n"/>
      <c r="M170" s="10" t="inlineStr">
        <is>
          <t>Not Run</t>
        </is>
      </c>
      <c r="N170" s="10" t="n"/>
      <c r="O170" s="10" t="n"/>
      <c r="P170" s="9" t="n"/>
      <c r="Q170" s="9" t="n"/>
    </row>
    <row r="171">
      <c r="A171" s="9" t="inlineStr">
        <is>
          <t>SS-SCR-017-SC2-TC1</t>
        </is>
      </c>
      <c r="B171" s="9" t="inlineStr">
        <is>
          <t>SS-SCR-017-SC2</t>
        </is>
      </c>
      <c r="C171" s="9" t="inlineStr">
        <is>
          <t>SS-SCR-017</t>
        </is>
      </c>
      <c r="D171" s="9" t="inlineStr">
        <is>
          <t>FR-VS-01, FR-VS-02</t>
        </is>
      </c>
      <c r="E171" s="9" t="inlineStr">
        <is>
          <t>Boundary</t>
        </is>
      </c>
      <c r="F171" s="9" t="inlineStr">
        <is>
          <t>Xử lý đúng câu nói rất ngắn/1 từ đơn</t>
        </is>
      </c>
      <c r="G171" s="9" t="inlineStr">
        <is>
          <t>Đã bắt đầu thu âm.</t>
        </is>
      </c>
      <c r="H171" s="9" t="inlineStr">
        <is>
          <t>1. Chạm icon Mic, bắt đầu thu âm.
2. Nói nhanh 1 từ "sữa" trong &lt;1 giây rồi im lặng.
3. Quan sát transcript và kết quả.</t>
        </is>
      </c>
      <c r="I171" s="9" t="inlineStr">
        <is>
          <t>"sữa" (&lt;1s)</t>
        </is>
      </c>
      <c r="J171" s="9" t="inlineStr">
        <is>
          <t>Transcript hiển thị đúng "sữa"; hệ thống xử lý như truy vấn hợp lệ, KHÔNG chuyển sang màn "Không nhận diện được" chỉ vì câu nói ngắn.</t>
        </is>
      </c>
      <c r="K171" s="9" t="inlineStr">
        <is>
          <t>Medium</t>
        </is>
      </c>
      <c r="L171" s="10" t="n"/>
      <c r="M171" s="10" t="inlineStr">
        <is>
          <t>Not Run</t>
        </is>
      </c>
      <c r="N171" s="10" t="n"/>
      <c r="O171" s="10" t="n"/>
      <c r="P171" s="9" t="n"/>
      <c r="Q171" s="9" t="n"/>
    </row>
    <row r="172">
      <c r="A172" s="11" t="inlineStr">
        <is>
          <t>SS-SCR-017-SC3-TC1</t>
        </is>
      </c>
      <c r="B172" s="11" t="inlineStr">
        <is>
          <t>SS-SCR-017-SC3</t>
        </is>
      </c>
      <c r="C172" s="11" t="inlineStr">
        <is>
          <t>SS-SCR-017</t>
        </is>
      </c>
      <c r="D172" s="11" t="inlineStr">
        <is>
          <t>FR-VS-01, FR-VS-02</t>
        </is>
      </c>
      <c r="E172" s="11" t="inlineStr">
        <is>
          <t>Exception</t>
        </is>
      </c>
      <c r="F172" s="11" t="inlineStr">
        <is>
          <t>Xử lý số đếm &amp; đơn vị trong câu nói — chưa được chốt cách xử lý</t>
        </is>
      </c>
      <c r="G172" s="11" t="inlineStr">
        <is>
          <t>Đang thu âm.</t>
        </is>
      </c>
      <c r="H172" s="11" t="inlineStr">
        <is>
          <t>1. Nói "sữa tươi hai lít".
2. Quan sát transcript và truy vấn được gửi đi (có giữ nguyên "hai lít", chuyển thành "2 lít"/"2L", hay bỏ qua phần số/đơn vị?).
3. Quan sát kết quả trả về.</t>
        </is>
      </c>
      <c r="I172" s="11" t="inlineStr">
        <is>
          <t>"sữa tươi hai lít"</t>
        </is>
      </c>
      <c r="J172" s="11" t="inlineStr">
        <is>
          <t>OUT OF SCOPE v1 (QnA-17): xử lý số đếm &amp; đơn vị trong câu nói ĐÃ BỎ khỏi scope. Voice search hoạt động theo cơ chế voice-to-text rồi chạy text search bình thường (xem QnA-46) - không có bước xử lý số/đơn vị riêng. Giữ nguyên TC để tham chiếu; yêu cầu tối thiểu: không crash, kết quả vẫn liên quan 'sữa tươi'.</t>
        </is>
      </c>
      <c r="K172" s="11" t="inlineStr">
        <is>
          <t>Medium</t>
        </is>
      </c>
      <c r="L172" s="10" t="n"/>
      <c r="M172" s="10" t="inlineStr">
        <is>
          <t>N/A</t>
        </is>
      </c>
      <c r="N172" s="10" t="n"/>
      <c r="O172" s="10" t="n"/>
      <c r="P172" s="11" t="inlineStr">
        <is>
          <t>QnA-17</t>
        </is>
      </c>
      <c r="Q172" s="11" t="inlineStr">
        <is>
          <t>OUT OF SCOPE v1 - QnA-17 (BA 24/08/2026): đã bỏ xử lý số đếm/đơn vị voice.</t>
        </is>
      </c>
    </row>
    <row r="173">
      <c r="A173" s="9" t="inlineStr">
        <is>
          <t>SS-SCR-017-SC4-TC1</t>
        </is>
      </c>
      <c r="B173" s="9" t="inlineStr">
        <is>
          <t>SS-SCR-017-SC4</t>
        </is>
      </c>
      <c r="C173" s="9" t="inlineStr">
        <is>
          <t>SS-SCR-017</t>
        </is>
      </c>
      <c r="D173" s="9" t="inlineStr">
        <is>
          <t>FR-VS-01, FR-VS-03</t>
        </is>
      </c>
      <c r="E173" s="9" t="inlineStr">
        <is>
          <t>Multilingual</t>
        </is>
      </c>
      <c r="F173" s="9" t="inlineStr">
        <is>
          <t>Nói tiếng Anh — hệ thống tự nhận diện đúng ngôn ngữ và transcribe chính xác</t>
        </is>
      </c>
      <c r="G173" s="9" t="inlineStr">
        <is>
          <t>Quyền Micro đã cấp; UI hệ thống đang ở tiếng Việt (không đổi ngôn ngữ app).</t>
        </is>
      </c>
      <c r="H173" s="9" t="inlineStr">
        <is>
          <t>1. Tap icon Mic, bắt đầu thu âm.
2. Nói 1 câu tiếng Anh rõ ràng (VD "fresh milk one liter").
3. Kết thúc thu âm, quan sát văn bản nhận diện và kết quả trả về.</t>
        </is>
      </c>
      <c r="I173" s="9" t="inlineStr">
        <is>
          <t>"fresh milk one liter" (tiếng Anh)</t>
        </is>
      </c>
      <c r="J173" s="9" t="inlineStr">
        <is>
          <t>Hệ thống tự động nhận diện đây là tiếng Anh mà KHÔNG cần khách chọn ngôn ngữ thủ công trước đó; transcript hiển thị đúng câu tiếng Anh đã nói; kết quả tìm kiếm trả về sản phẩm sữa tươi liên quan (áp dụng logic đa ngôn ngữ FR-SM-02 để map sang catalog tiếng Việt).</t>
        </is>
      </c>
      <c r="K173" s="9" t="inlineStr">
        <is>
          <t>High</t>
        </is>
      </c>
      <c r="L173" s="10" t="n"/>
      <c r="M173" s="10" t="inlineStr">
        <is>
          <t>Not Run</t>
        </is>
      </c>
      <c r="N173" s="10" t="n"/>
      <c r="O173" s="10" t="n"/>
      <c r="P173" s="9" t="n"/>
      <c r="Q173" s="9" t="n"/>
    </row>
    <row r="174">
      <c r="A174" s="9" t="inlineStr">
        <is>
          <t>SS-SCR-017-SC4-TC2</t>
        </is>
      </c>
      <c r="B174" s="9" t="inlineStr">
        <is>
          <t>SS-SCR-017-SC4</t>
        </is>
      </c>
      <c r="C174" s="9" t="inlineStr">
        <is>
          <t>SS-SCR-017</t>
        </is>
      </c>
      <c r="D174" s="9" t="inlineStr">
        <is>
          <t>FR-VS-01, FR-VS-03</t>
        </is>
      </c>
      <c r="E174" s="9" t="inlineStr">
        <is>
          <t>Multilingual</t>
        </is>
      </c>
      <c r="F174" s="9" t="inlineStr">
        <is>
          <t>Nói tiếng Hàn — hệ thống tự nhận diện đúng ngôn ngữ và transcribe chính xác</t>
        </is>
      </c>
      <c r="G174" s="9" t="inlineStr">
        <is>
          <t>Quyền Micro đã cấp; UI hệ thống đang ở tiếng Việt.</t>
        </is>
      </c>
      <c r="H174" s="9" t="inlineStr">
        <is>
          <t>1. Tap icon Mic, bắt đầu thu âm.
2. Nói 1 câu tiếng Hàn rõ ràng (tên sản phẩm phổ biến, VD tương đương "sữa tươi").
3. Kết thúc thu âm, quan sát văn bản nhận diện và kết quả trả về.</t>
        </is>
      </c>
      <c r="I174" s="9" t="inlineStr">
        <is>
          <t>Câu tiếng Hàn (tương đương "sữa tươi")</t>
        </is>
      </c>
      <c r="J174" s="9" t="inlineStr">
        <is>
          <t>Hệ thống tự động nhận diện đây là tiếng Hàn mà không cần chọn thủ công; transcript hiển thị đúng; kết quả tìm kiếm trả về sản phẩm liên quan.</t>
        </is>
      </c>
      <c r="K174" s="9" t="inlineStr">
        <is>
          <t>High</t>
        </is>
      </c>
      <c r="L174" s="10" t="n"/>
      <c r="M174" s="10" t="inlineStr">
        <is>
          <t>Not Run</t>
        </is>
      </c>
      <c r="N174" s="10" t="n"/>
      <c r="O174" s="10" t="n"/>
      <c r="P174" s="9" t="n"/>
      <c r="Q174" s="9" t="n"/>
    </row>
    <row r="175">
      <c r="A175" s="9" t="inlineStr">
        <is>
          <t>SS-SCR-017-SC4-TC3</t>
        </is>
      </c>
      <c r="B175" s="9" t="inlineStr">
        <is>
          <t>SS-SCR-017-SC4</t>
        </is>
      </c>
      <c r="C175" s="9" t="inlineStr">
        <is>
          <t>SS-SCR-017</t>
        </is>
      </c>
      <c r="D175" s="9" t="inlineStr">
        <is>
          <t>FR-VS-01, FR-VS-03</t>
        </is>
      </c>
      <c r="E175" s="9" t="inlineStr">
        <is>
          <t>Multilingual</t>
        </is>
      </c>
      <c r="F175" s="9" t="inlineStr">
        <is>
          <t>Nói tiếng Trung — hệ thống tự nhận diện đúng ngôn ngữ và transcribe chính xác</t>
        </is>
      </c>
      <c r="G175" s="9" t="inlineStr">
        <is>
          <t>Quyền Micro đã cấp; UI hệ thống đang ở tiếng Việt.</t>
        </is>
      </c>
      <c r="H175" s="9" t="inlineStr">
        <is>
          <t>1. Tap icon Mic, bắt đầu thu âm.
2. Nói 1 câu tiếng Trung rõ ràng (tên sản phẩm phổ biến, VD tương đương "sữa tươi").
3. Kết thúc thu âm, quan sát văn bản nhận diện và kết quả trả về.</t>
        </is>
      </c>
      <c r="I175" s="9" t="inlineStr">
        <is>
          <t>Câu tiếng Trung (tương đương "sữa tươi")</t>
        </is>
      </c>
      <c r="J175" s="9" t="inlineStr">
        <is>
          <t>Hệ thống tự động nhận diện đây là tiếng Trung mà không cần chọn thủ công; transcript hiển thị đúng; kết quả tìm kiếm trả về sản phẩm liên quan.</t>
        </is>
      </c>
      <c r="K175" s="9" t="inlineStr">
        <is>
          <t>High</t>
        </is>
      </c>
      <c r="L175" s="10" t="n"/>
      <c r="M175" s="10" t="inlineStr">
        <is>
          <t>Not Run</t>
        </is>
      </c>
      <c r="N175" s="10" t="n"/>
      <c r="O175" s="10" t="n"/>
      <c r="P175" s="9" t="n"/>
      <c r="Q175" s="9" t="n"/>
    </row>
    <row r="176">
      <c r="A176" s="9" t="inlineStr">
        <is>
          <t>SS-SCR-017-SC4-TC4</t>
        </is>
      </c>
      <c r="B176" s="9" t="inlineStr">
        <is>
          <t>SS-SCR-017-SC4</t>
        </is>
      </c>
      <c r="C176" s="9" t="inlineStr">
        <is>
          <t>SS-SCR-017</t>
        </is>
      </c>
      <c r="D176" s="9" t="inlineStr">
        <is>
          <t>FR-VS-01, FR-VS-03</t>
        </is>
      </c>
      <c r="E176" s="9" t="inlineStr">
        <is>
          <t>Multilingual</t>
        </is>
      </c>
      <c r="F176" s="9" t="inlineStr">
        <is>
          <t>Nói tiếng Nga — hệ thống tự nhận diện đúng ngôn ngữ và transcribe chính xác</t>
        </is>
      </c>
      <c r="G176" s="9" t="inlineStr">
        <is>
          <t>Quyền Micro đã cấp; UI hệ thống đang ở tiếng Việt.</t>
        </is>
      </c>
      <c r="H176" s="9" t="inlineStr">
        <is>
          <t>1. Tap icon Mic, bắt đầu thu âm.
2. Nói 1 câu tiếng Nga rõ ràng (tên sản phẩm phổ biến, VD tương đương "sữa tươi").
3. Kết thúc thu âm, quan sát văn bản nhận diện và kết quả trả về.</t>
        </is>
      </c>
      <c r="I176" s="9" t="inlineStr">
        <is>
          <t>Câu tiếng Nga (tương đương "sữa tươi")</t>
        </is>
      </c>
      <c r="J176" s="9" t="inlineStr">
        <is>
          <t>Hệ thống tự động nhận diện đây là tiếng Nga mà không cần chọn thủ công; transcript hiển thị đúng; kết quả tìm kiếm trả về sản phẩm liên quan.</t>
        </is>
      </c>
      <c r="K176" s="9" t="inlineStr">
        <is>
          <t>High</t>
        </is>
      </c>
      <c r="L176" s="10" t="n"/>
      <c r="M176" s="10" t="inlineStr">
        <is>
          <t>Not Run</t>
        </is>
      </c>
      <c r="N176" s="10" t="n"/>
      <c r="O176" s="10" t="n"/>
      <c r="P176" s="9" t="n"/>
      <c r="Q176" s="9" t="n"/>
    </row>
    <row r="177">
      <c r="A177" s="9" t="inlineStr">
        <is>
          <t>SS-SCR-017-SC4-TC5</t>
        </is>
      </c>
      <c r="B177" s="9" t="inlineStr">
        <is>
          <t>SS-SCR-017-SC4</t>
        </is>
      </c>
      <c r="C177" s="9" t="inlineStr">
        <is>
          <t>SS-SCR-017</t>
        </is>
      </c>
      <c r="D177" s="9" t="inlineStr">
        <is>
          <t>FR-VS-01, FR-VS-03</t>
        </is>
      </c>
      <c r="E177" s="9" t="inlineStr">
        <is>
          <t>Boundary</t>
        </is>
      </c>
      <c r="F177" s="9" t="inlineStr">
        <is>
          <t>Đổi ngôn ngữ nói giữa các lượt liên tiếp — hệ thống không bị "kẹt" theo ngôn ngữ lượt trước</t>
        </is>
      </c>
      <c r="G177" s="9" t="inlineStr">
        <is>
          <t>Quyền Micro đã cấp.</t>
        </is>
      </c>
      <c r="H177" s="9" t="inlineStr">
        <is>
          <t>1. Lượt 1: nói tiếng Việt ("sữa tươi"), xác nhận kết quả đúng.
2. Ngay lượt kế tiếp: nói tiếng Anh ("fresh milk"), quan sát hệ thống có tự nhận diện đúng ngôn ngữ MỚI hay vẫn cố hiểu theo tiếng Việt của lượt trước.
3. Lặp lại đổi sang tiếng Hàn ở lượt thứ 3.</t>
        </is>
      </c>
      <c r="I177" s="9" t="inlineStr">
        <is>
          <t>VI → EN → KR (3 lượt liên tiếp)</t>
        </is>
      </c>
      <c r="J177" s="9" t="inlineStr">
        <is>
          <t>Mỗi lượt thu âm được nhận diện ngôn ngữ ĐỘC LẬP, không bị ảnh hưởng bởi ngôn ngữ đã nói ở lượt ngay trước đó; cả 3 lượt đều transcribe đúng ngôn ngữ tương ứng.</t>
        </is>
      </c>
      <c r="K177" s="9" t="inlineStr">
        <is>
          <t>Medium</t>
        </is>
      </c>
      <c r="L177" s="10" t="n"/>
      <c r="M177" s="10" t="inlineStr">
        <is>
          <t>Not Run</t>
        </is>
      </c>
      <c r="N177" s="10" t="n"/>
      <c r="O177" s="10" t="n"/>
      <c r="P177" s="9" t="n"/>
      <c r="Q177" s="9" t="n"/>
    </row>
    <row r="178">
      <c r="A178" s="9" t="inlineStr">
        <is>
          <t>SS-SCR-018-SC1-TC1</t>
        </is>
      </c>
      <c r="B178" s="9" t="inlineStr">
        <is>
          <t>SS-SCR-018-SC1</t>
        </is>
      </c>
      <c r="C178" s="9" t="inlineStr">
        <is>
          <t>SS-SCR-018</t>
        </is>
      </c>
      <c r="D178" s="9" t="inlineStr">
        <is>
          <t>FR-VS-04, FR-VS-05</t>
        </is>
      </c>
      <c r="E178" s="9" t="inlineStr">
        <is>
          <t>Functional</t>
        </is>
      </c>
      <c r="F178" s="9" t="inlineStr">
        <is>
          <t>Điều hướng thẳng tới kết quả, không qua màn xác minh trung gian</t>
        </is>
      </c>
      <c r="G178" s="9" t="inlineStr">
        <is>
          <t>Voice-to-text xử lý xong.</t>
        </is>
      </c>
      <c r="H178" s="9" t="inlineStr">
        <is>
          <t>1. Nói "sữa tươi không đường" và để hệ thống tự dừng/nhấn Dừng.
2. Quan sát luồng chuyển tiếp: có xuất hiện màn hình xác nhận transcript riêng biệt trước khi vào kết quả không?
3. Kiểm tra nội dung Search Bar trên trang kết quả.</t>
        </is>
      </c>
      <c r="I178" s="9" t="inlineStr">
        <is>
          <t>"sữa tươi không đường"</t>
        </is>
      </c>
      <c r="J178" s="9" t="inlineStr">
        <is>
          <t>Không có màn hình xác minh trung gian nào chen giữa; sau xử lý, hệ thống điều hướng thẳng sang trang kết quả (dùng chung layout luồng text) với Search Bar chứa đúng văn bản "sữa tươi không đường".</t>
        </is>
      </c>
      <c r="K178" s="9" t="inlineStr">
        <is>
          <t>High</t>
        </is>
      </c>
      <c r="L178" s="10" t="n"/>
      <c r="M178" s="10" t="inlineStr">
        <is>
          <t>Not Run</t>
        </is>
      </c>
      <c r="N178" s="10" t="n"/>
      <c r="O178" s="10" t="n"/>
      <c r="P178" s="9" t="n"/>
      <c r="Q178" s="9" t="n"/>
    </row>
    <row r="179">
      <c r="A179" s="9" t="inlineStr">
        <is>
          <t>SS-SCR-018-SC1-TC2</t>
        </is>
      </c>
      <c r="B179" s="9" t="inlineStr">
        <is>
          <t>SS-SCR-018-SC1</t>
        </is>
      </c>
      <c r="C179" s="9" t="inlineStr">
        <is>
          <t>SS-SCR-018</t>
        </is>
      </c>
      <c r="D179" s="9" t="inlineStr">
        <is>
          <t>FR-VS-04, FR-VS-05</t>
        </is>
      </c>
      <c r="E179" s="9" t="inlineStr">
        <is>
          <t>Functional</t>
        </is>
      </c>
      <c r="F179" s="9" t="inlineStr">
        <is>
          <t>Sửa tay transcript sai bằng bàn phím</t>
        </is>
      </c>
      <c r="G179" s="9" t="inlineStr">
        <is>
          <t>Voice-to-text xử lý xong.</t>
        </is>
      </c>
      <c r="H179" s="9" t="inlineStr">
        <is>
          <t>1. Giả lập transcript nhận diện sai (VD: hệ thống nghe thành "sữa tương không đường").
2. Chạm vào Search Bar trên trang kết quả.
3. Sửa lại thành "sữa tươi không đường" bằng bàn phím và submit.</t>
        </is>
      </c>
      <c r="I179" s="9" t="inlineStr">
        <is>
          <t>Transcript sai → sửa tay</t>
        </is>
      </c>
      <c r="J179" s="9" t="inlineStr">
        <is>
          <t>Chạm Search Bar cho phép sửa trực tiếp bằng bàn phím; sau khi sửa &amp; submit, hệ thống chạy lại truy vấn theo đúng văn bản mới, trả kết quả tương ứng.</t>
        </is>
      </c>
      <c r="K179" s="9" t="inlineStr">
        <is>
          <t>Medium</t>
        </is>
      </c>
      <c r="L179" s="10" t="n"/>
      <c r="M179" s="10" t="inlineStr">
        <is>
          <t>Not Run</t>
        </is>
      </c>
      <c r="N179" s="10" t="n"/>
      <c r="O179" s="10" t="n"/>
      <c r="P179" s="9" t="n"/>
      <c r="Q179" s="9" t="n"/>
    </row>
    <row r="180">
      <c r="A180" s="18" t="inlineStr">
        <is>
          <t>SS-SCR-018-SC1-TC3</t>
        </is>
      </c>
      <c r="B180" s="18" t="inlineStr">
        <is>
          <t>SS-SCR-018-SC1</t>
        </is>
      </c>
      <c r="C180" s="18" t="inlineStr">
        <is>
          <t>SS-SCR-018</t>
        </is>
      </c>
      <c r="D180" s="18" t="inlineStr">
        <is>
          <t>FR-VS-04, FR-VS-05</t>
        </is>
      </c>
      <c r="E180" s="18" t="inlineStr">
        <is>
          <t>Edge</t>
        </is>
      </c>
      <c r="F180" s="18" t="inlineStr">
        <is>
          <t>Độ tin cậy trung bình-thấp hiển thị banner gợi ý — TBD tính năng có nằm trong scope v1 không</t>
        </is>
      </c>
      <c r="G180" s="18" t="inlineStr">
        <is>
          <t>Voice-to-text xử lý xong.</t>
        </is>
      </c>
      <c r="H180" s="18" t="inlineStr">
        <is>
          <t>1. Giả lập giọng nói cho kết quả transcribe có độ tin cậy trung bình-thấp (gần giống nhưng không chắc chắn).
2. Quan sát UI trang kết quả.</t>
        </is>
      </c>
      <c r="I180" s="18" t="inlineStr">
        <is>
          <t>Giọng nói mơ hồ/độ tin cậy trung bình</t>
        </is>
      </c>
      <c r="J180" s="18" t="inlineStr">
        <is>
          <t>OUT OF SCOPE v1 (QnA-46): voice search hiện áp dụng cơ chế voice-to-text -&gt; sau đó chạy theo cơ chế text search bình thường. KHÔNG có banner gợi ý 'Bạn có muốn tìm...?' riêng cho voice khi confidence trung bình-thấp (cơ chế này chỉ có trong ghi chú storyboard, không có trong BRD FR-VS-04/05). Giữ nguyên TC để tham chiếu. LƯU Ý: BA trả lời theo trí nhớ ('em nhớ TD từng nói vậy') - cần TD xác nhận chính thức.</t>
        </is>
      </c>
      <c r="K180" s="18" t="inlineStr">
        <is>
          <t>Medium</t>
        </is>
      </c>
      <c r="L180" s="10" t="n"/>
      <c r="M180" s="10" t="inlineStr">
        <is>
          <t>N/A</t>
        </is>
      </c>
      <c r="N180" s="10" t="n"/>
      <c r="O180" s="10" t="n"/>
      <c r="P180" s="18" t="inlineStr">
        <is>
          <t>QnA-46</t>
        </is>
      </c>
      <c r="Q180" s="18" t="inlineStr">
        <is>
          <t>OUT OF SCOPE v1 - QnA-46 (BA 27/08/2026): voice = voice-to-text + text search; không banner confidence riêng. Cần TD xác nhận chính thức.</t>
        </is>
      </c>
    </row>
    <row r="181">
      <c r="A181" s="9" t="inlineStr">
        <is>
          <t>SS-SCR-018-SC1-TC4</t>
        </is>
      </c>
      <c r="B181" s="9" t="inlineStr">
        <is>
          <t>SS-SCR-018-SC1</t>
        </is>
      </c>
      <c r="C181" s="9" t="inlineStr">
        <is>
          <t>SS-SCR-018</t>
        </is>
      </c>
      <c r="D181" s="9" t="inlineStr">
        <is>
          <t>FR-VS-04, FR-VS-05</t>
        </is>
      </c>
      <c r="E181" s="9" t="inlineStr">
        <is>
          <t>Functional</t>
        </is>
      </c>
      <c r="F181" s="9" t="inlineStr">
        <is>
          <t>Transcript hợp lệ nhưng không khớp sản phẩm nào (câu vô nghĩa với catalogue) → chuyển đúng sang Zero Result giống luồng Text</t>
        </is>
      </c>
      <c r="G181" s="9" t="inlineStr">
        <is>
          <t>Voice-to-text xử lý xong, chuỗi transcript hợp lệ (không rỗng) nhưng không khớp catalogue.</t>
        </is>
      </c>
      <c r="H181" s="9" t="inlineStr">
        <is>
          <t>1. Nói một câu rõ ràng nhưng không phải tên sản phẩm hợp lệ (VD "xịt muỗi Tesla").
2. Để hệ thống transcribe thành công (không rơi vào luồng lỗi nhận diện giọng nói SS-SCR-019).
3. Quan sát trang được điều hướng tới.</t>
        </is>
      </c>
      <c r="I181" s="9" t="inlineStr">
        <is>
          <t>"xịt muỗi Tesla" (giọng nói)</t>
        </is>
      </c>
      <c r="J181" s="9" t="inlineStr">
        <is>
          <t>Vì transcript hợp lệ, không rỗng, hệ thống KHÔNG chuyển sang màn lỗi giọng nói (SS-SCR-019, chỉ dành cho trường hợp không nghe rõ/transcript rỗng — xem SC2). Vì catalogue không có SKU khớp, hệ thống áp dụng đúng cơ chế Zero Result Prevention 3 tầng giống hệt luồng Text Search: hiển thị trang "Không tìm thấy kết quả" (SS-SCR-012) với khối "Có thể bạn sẽ thích", không phải trang trắng hay lỗi giọng nói.</t>
        </is>
      </c>
      <c r="K181" s="9" t="inlineStr">
        <is>
          <t>High</t>
        </is>
      </c>
      <c r="L181" s="10" t="n"/>
      <c r="M181" s="10" t="inlineStr">
        <is>
          <t>Not Run</t>
        </is>
      </c>
      <c r="N181" s="10" t="n"/>
      <c r="O181" s="10" t="n"/>
      <c r="P181" s="9" t="n"/>
      <c r="Q181" s="9" t="n"/>
    </row>
    <row r="182">
      <c r="A182" s="9" t="inlineStr">
        <is>
          <t>SS-SCR-018-SC2-TC1</t>
        </is>
      </c>
      <c r="B182" s="9" t="inlineStr">
        <is>
          <t>SS-SCR-018-SC2</t>
        </is>
      </c>
      <c r="C182" s="9" t="inlineStr">
        <is>
          <t>SS-SCR-018</t>
        </is>
      </c>
      <c r="D182" s="9" t="inlineStr">
        <is>
          <t>FR-VS-04, FR-VS-05</t>
        </is>
      </c>
      <c r="E182" s="9" t="inlineStr">
        <is>
          <t>Boundary</t>
        </is>
      </c>
      <c r="F182" s="9" t="inlineStr">
        <is>
          <t>Transcript rỗng được xử lý như luồng lỗi, không hiển thị kết quả trống nghĩa</t>
        </is>
      </c>
      <c r="G182" s="9" t="inlineStr">
        <is>
          <t>Kết thúc thu âm, hệ thống xử lý xong.</t>
        </is>
      </c>
      <c r="H182" s="9" t="inlineStr">
        <is>
          <t>1. Giả lập giọng nói cực nhỏ khiến engine trả về chuỗi transcript rỗng ("").
2. Quan sát màn hình sau khi xử lý xong.</t>
        </is>
      </c>
      <c r="I182" s="9" t="inlineStr">
        <is>
          <t>Transcript = rỗng</t>
        </is>
      </c>
      <c r="J182" s="9" t="inlineStr">
        <is>
          <t>Hệ thống chuyển sang màn "Không nhận diện được" (SS-SCR-019) thay vì mở trang kết quả với Search Bar trống (tránh trạng thái vô nghĩa/khó hiểu cho khách).</t>
        </is>
      </c>
      <c r="K182" s="9" t="inlineStr">
        <is>
          <t>Medium</t>
        </is>
      </c>
      <c r="L182" s="10" t="n"/>
      <c r="M182" s="10" t="inlineStr">
        <is>
          <t>Not Run</t>
        </is>
      </c>
      <c r="N182" s="10" t="n"/>
      <c r="O182" s="10" t="n"/>
      <c r="P182" s="9" t="n"/>
      <c r="Q182" s="9" t="n"/>
    </row>
    <row r="183">
      <c r="A183" s="18" t="inlineStr">
        <is>
          <t>SS-SCR-018-SC3-TC1</t>
        </is>
      </c>
      <c r="B183" s="18" t="inlineStr">
        <is>
          <t>SS-SCR-018-SC3</t>
        </is>
      </c>
      <c r="C183" s="18" t="inlineStr">
        <is>
          <t>SS-SCR-018</t>
        </is>
      </c>
      <c r="D183" s="18" t="inlineStr">
        <is>
          <t>FR-VS-08, NFR-005</t>
        </is>
      </c>
      <c r="E183" s="18" t="inlineStr">
        <is>
          <t>Performance</t>
        </is>
      </c>
      <c r="F183" s="18" t="inlineStr">
        <is>
          <t>p95 thời gian phản hồi tìm kiếm giọng nói — đo thực tế, chưa chấm Pass/Fail do ngưỡng còn mâu thuẫn (FR-VS-08 vs NFR-005)</t>
        </is>
      </c>
      <c r="G183" s="18" t="inlineStr">
        <is>
          <t>Điều kiện mạng bình thường.</t>
        </is>
      </c>
      <c r="H183" s="18" t="inlineStr">
        <is>
          <t>1. Thực hiện 30+ lượt tìm kiếm giọng nói với câu nói chuẩn, điều kiện mạng bình thường.
2. Đo thời gian từ khi kết thúc thu âm (auto-stop hoặc manual stop) tới khi sản phẩm đầu tiên hiển thị trên trang kết quả, cho từng lượt (bao gồm cả thời gian chuyển đổi giọng nói thành văn bản, theo đúng phạm vi đo của FR-VS-08/NFR-005).
3. Tính p95 của tập số liệu.</t>
        </is>
      </c>
      <c r="I183" s="18" t="inlineStr">
        <is>
          <t>Giọng nói chuẩn x ≥30 lượt</t>
        </is>
      </c>
      <c r="J183" s="18" t="inlineStr">
        <is>
          <t>TBD — đo được số liệu p95 thực tế, nhưng KHÔNG chấm Pass/Fail cho tới khi xác nhận ngưỡng chính thức là 4.000ms (NFR-005) hay 6.000ms (FR-VS-08). Xem QnA-25.</t>
        </is>
      </c>
      <c r="K183" s="18" t="inlineStr">
        <is>
          <t>High</t>
        </is>
      </c>
      <c r="L183" s="10" t="n"/>
      <c r="M183" s="10" t="inlineStr">
        <is>
          <t>N/A</t>
        </is>
      </c>
      <c r="N183" s="10" t="n"/>
      <c r="O183" s="10" t="n"/>
      <c r="P183" s="18" t="inlineStr">
        <is>
          <t>QnA-25</t>
        </is>
      </c>
      <c r="Q183" s="18" t="inlineStr">
        <is>
          <t>OPEN — QnA-25: xem chi tiết trong file QnA log.</t>
        </is>
      </c>
    </row>
    <row r="184">
      <c r="A184" s="9" t="inlineStr">
        <is>
          <t>SS-SCR-019-SC1-TC1</t>
        </is>
      </c>
      <c r="B184" s="9" t="inlineStr">
        <is>
          <t>SS-SCR-019-SC1</t>
        </is>
      </c>
      <c r="C184" s="9" t="inlineStr">
        <is>
          <t>SS-SCR-019</t>
        </is>
      </c>
      <c r="D184" s="9" t="inlineStr">
        <is>
          <t>FR-VS-06</t>
        </is>
      </c>
      <c r="E184" s="9" t="inlineStr">
        <is>
          <t>Exception</t>
        </is>
      </c>
      <c r="F184" s="9" t="inlineStr">
        <is>
          <t>Tiếng ồn/im lặng → màn lỗi thân thiện, không kích hoạt tìm kiếm sai</t>
        </is>
      </c>
      <c r="G184" s="9" t="inlineStr">
        <is>
          <t>Micro hoạt động, thu âm đã kết thúc (auto-stop hoặc manual stop).</t>
        </is>
      </c>
      <c r="H184" s="9" t="inlineStr">
        <is>
          <t>1. Chạm icon Mic, bắt đầu thu âm.
2. Chỉ tạo tiếng ồn nền (không nói rõ ràng) cho tới khi thu âm kết thúc.
3. Quan sát UI kết quả.
4. Chạm "Thử lại".</t>
        </is>
      </c>
      <c r="I184" s="9" t="inlineStr">
        <is>
          <t>Tiếng ồn nền, không có giọng nói rõ</t>
        </is>
      </c>
      <c r="J184" s="9" t="inlineStr">
        <is>
          <t>Bước 3: hiển thị đúng trang "Không nhận diện được" với hướng dẫn "Giọng nói chưa rõ ràng. Vui lòng thử lại bằng cách nói to và rõ hơn."; KHÔNG có truy vấn tìm kiếm giả mạo nào được kích hoạt/hiển thị kết quả sai. Bước 4: mở lại đúng lớp thu âm (SS-SCR-017).</t>
        </is>
      </c>
      <c r="K184" s="9" t="inlineStr">
        <is>
          <t>High</t>
        </is>
      </c>
      <c r="L184" s="10" t="n"/>
      <c r="M184" s="10" t="inlineStr">
        <is>
          <t>Not Run</t>
        </is>
      </c>
      <c r="N184" s="10" t="n"/>
      <c r="O184" s="10" t="n"/>
      <c r="P184" s="9" t="n"/>
      <c r="Q184" s="9" t="n"/>
    </row>
    <row r="185">
      <c r="A185" s="9" t="inlineStr">
        <is>
          <t>SS-SCR-019-SC1-TC2</t>
        </is>
      </c>
      <c r="B185" s="9" t="inlineStr">
        <is>
          <t>SS-SCR-019-SC1</t>
        </is>
      </c>
      <c r="C185" s="9" t="inlineStr">
        <is>
          <t>SS-SCR-019</t>
        </is>
      </c>
      <c r="D185" s="9" t="inlineStr">
        <is>
          <t>FR-VS-06</t>
        </is>
      </c>
      <c r="E185" s="9" t="inlineStr">
        <is>
          <t>Functional</t>
        </is>
      </c>
      <c r="F185" s="9" t="inlineStr">
        <is>
          <t>CTA phụ "Tìm bằng từ khoá" luôn có đường thoát</t>
        </is>
      </c>
      <c r="G185" s="9" t="inlineStr">
        <is>
          <t>Micro hoạt động, thu âm đã kết thúc (auto-stop hoặc manual stop).</t>
        </is>
      </c>
      <c r="H185" s="9" t="inlineStr">
        <is>
          <t>1. Ở màn "Không nhận diện được" của luồng giọng nói.
2. Chạm CTA phụ "Tìm bằng từ khoá".
3. Quan sát trạng thái màn hình Pre-search vừa chuyển tới: ô tìm kiếm, khối Tìm kiếm gần đây/Xu hướng.</t>
        </is>
      </c>
      <c r="I185" s="9" t="inlineStr">
        <is>
          <t>N/A</t>
        </is>
      </c>
      <c r="J185" s="9" t="inlineStr">
        <is>
          <t>Chuyển đúng sang Pre-search Screen (SS-SCR-001) — không phải mở lại lớp thu âm như CTA "Thử lại"; khách không bao giờ bị kẹt ở màn lỗi mà không có lối thoát sang phương thức tìm kiếm khác. Pre-search Screen hiển thị ở trạng thái sạch/bình thường — ô tìm kiếm trống và sẵn sàng nhận input mới, các khối Tìm kiếm gần đây/Xu hướng tìm kiếm hiển thị đầy đủ như một lần vào Pre-search thông thường, không còn dấu vết nào của lượt tìm bằng giọng nói thất bại trước đó (không có banner lỗi sót lại).</t>
        </is>
      </c>
      <c r="K185" s="9" t="inlineStr">
        <is>
          <t>Medium</t>
        </is>
      </c>
      <c r="L185" s="10" t="n"/>
      <c r="M185" s="10" t="inlineStr">
        <is>
          <t>Not Run</t>
        </is>
      </c>
      <c r="N185" s="10" t="n"/>
      <c r="O185" s="10" t="n"/>
      <c r="P185" s="9" t="n"/>
      <c r="Q185" s="9" t="n"/>
    </row>
    <row r="186">
      <c r="A186" s="18" t="inlineStr">
        <is>
          <t>SS-SCR-019-SC1-TC3</t>
        </is>
      </c>
      <c r="B186" s="18" t="inlineStr">
        <is>
          <t>SS-SCR-019-SC1</t>
        </is>
      </c>
      <c r="C186" s="18" t="inlineStr">
        <is>
          <t>SS-SCR-019</t>
        </is>
      </c>
      <c r="D186" s="18" t="inlineStr">
        <is>
          <t>FR-VS-06</t>
        </is>
      </c>
      <c r="E186" s="18" t="inlineStr">
        <is>
          <t>Edge</t>
        </is>
      </c>
      <c r="F186" s="18" t="inlineStr">
        <is>
          <t>Nhấn nút Back trên header màn lỗi "Không nhận diện được" (giọng nói) — TBD đích đến</t>
        </is>
      </c>
      <c r="G186" s="18" t="inlineStr">
        <is>
          <t>Đang ở màn hình lỗi "Không nhận diện được" (SS-SCR-019) sau khi thu âm không rõ.</t>
        </is>
      </c>
      <c r="H186" s="18" t="inlineStr">
        <is>
          <t>1. Thu âm với tiếng ồn/im lặng, xác nhận màn lỗi "Không nhận diện được" hiện ra.
2. Tap nút "Back" ở góc trên bên trái header (không tap "Thử lại" hay "Tìm bằng từ khoá").
3. Quan sát màn hình được điều hướng tới.</t>
        </is>
      </c>
      <c r="I186" s="18" t="inlineStr">
        <is>
          <t>Tap "Back" trên header</t>
        </is>
      </c>
      <c r="J186" s="18" t="inlineStr">
        <is>
          <t>ĐÃ XÁC NHẬN (QnA-45): giống SS-SCR-016-SC1-TC3 - nút Back = quay lại màn hình ngay trước đó trong navigation stack (bỏ qua error/loading), có thể trùng hành vi 'Thử lại', chấp nhận được. Pass = tap Back -&gt; về đúng màn trước; không crash, không kẹt màn lỗi.</t>
        </is>
      </c>
      <c r="K186" s="18" t="inlineStr">
        <is>
          <t>Medium</t>
        </is>
      </c>
      <c r="L186" s="10" t="n"/>
      <c r="M186" s="10" t="inlineStr">
        <is>
          <t>N/A</t>
        </is>
      </c>
      <c r="N186" s="10" t="n"/>
      <c r="O186" s="10" t="n"/>
      <c r="P186" s="18" t="inlineStr">
        <is>
          <t>QnA-45</t>
        </is>
      </c>
      <c r="Q186" s="18" t="inlineStr">
        <is>
          <t>RESOLVED QnA-45 (BA 27/08/2026).</t>
        </is>
      </c>
    </row>
    <row r="187">
      <c r="A187" s="9" t="inlineStr">
        <is>
          <t>SS-SCR-019-SC2-TC1</t>
        </is>
      </c>
      <c r="B187" s="9" t="inlineStr">
        <is>
          <t>SS-SCR-019-SC2</t>
        </is>
      </c>
      <c r="C187" s="9" t="inlineStr">
        <is>
          <t>SS-SCR-019</t>
        </is>
      </c>
      <c r="D187" s="9" t="inlineStr">
        <is>
          <t>FR-VS-06</t>
        </is>
      </c>
      <c r="E187" s="9" t="inlineStr">
        <is>
          <t>Boundary</t>
        </is>
      </c>
      <c r="F187" s="9" t="inlineStr">
        <is>
          <t>3 lần thử liên tiếp đều thất bại — không bị khoá tính năng Voice Search</t>
        </is>
      </c>
      <c r="G187" s="9" t="inlineStr">
        <is>
          <t>Lặp lại luồng Voice Search nhiều lần.</t>
        </is>
      </c>
      <c r="H187" s="9" t="inlineStr">
        <is>
          <t>1. Thực hiện Voice Search với tiếng ồn/im lặng, xác nhận màn lỗi hiện ra.
2. Tap "Thử lại", lặp lại 2 lần nữa với cùng điều kiện.</t>
        </is>
      </c>
      <c r="I187" s="9" t="inlineStr">
        <is>
          <t>3 lần liên tiếp thất bại</t>
        </is>
      </c>
      <c r="J187" s="9" t="inlineStr">
        <is>
          <t>Cả 3 lần đều hiển thị đúng màn "Không nhận diện được" với đầy đủ CTA "Thử lại"/"Tìm bằng từ khoá"; tính năng Voice Search vẫn hoạt động bình thường ở lần thử thứ 4 nếu khách tiếp tục.</t>
        </is>
      </c>
      <c r="K187" s="9" t="inlineStr">
        <is>
          <t>Low</t>
        </is>
      </c>
      <c r="L187" s="10" t="n"/>
      <c r="M187" s="10" t="inlineStr">
        <is>
          <t>Not Run</t>
        </is>
      </c>
      <c r="N187" s="10" t="n"/>
      <c r="O187" s="10" t="n"/>
      <c r="P187" s="9" t="n"/>
      <c r="Q187" s="9" t="n"/>
    </row>
  </sheetData>
  <autoFilter ref="A2:Q187"/>
  <mergeCells count="1">
    <mergeCell ref="A1:Q1"/>
  </mergeCells>
  <dataValidations count="1">
    <dataValidation sqref="M3:M187" showDropDown="0" showInputMessage="0" showErrorMessage="0" allowBlank="1" type="list">
      <formula1>"Pass,Fail,Blocked,N/A,Not Run"</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K25"/>
  <sheetViews>
    <sheetView showGridLines="0" zoomScaleNormal="100" workbookViewId="0">
      <pane ySplit="2" topLeftCell="A3" activePane="bottomLeft" state="frozen"/>
      <selection pane="bottomLeft" activeCell="A1" sqref="A1:N1"/>
    </sheetView>
  </sheetViews>
  <sheetFormatPr baseColWidth="8" defaultColWidth="8.7109375" defaultRowHeight="15"/>
  <cols>
    <col width="5" customWidth="1" min="1" max="1"/>
    <col width="14" customWidth="1" min="2" max="2"/>
    <col width="30" customWidth="1" min="3" max="3"/>
    <col width="22" customWidth="1" min="4" max="4"/>
    <col width="12" customWidth="1" min="5" max="5"/>
    <col width="40" customWidth="1" min="6" max="6"/>
    <col width="26" customWidth="1" min="7" max="8"/>
    <col width="42" customWidth="1" min="9" max="9"/>
    <col width="10" customWidth="1" min="10" max="12"/>
    <col width="12" customWidth="1" min="13" max="13"/>
    <col width="40" customWidth="1" min="14" max="14"/>
  </cols>
  <sheetData>
    <row r="1" ht="21.75" customHeight="1">
      <c r="A1" s="2" t="inlineStr">
        <is>
          <t>Integration — Test Scenario Register</t>
        </is>
      </c>
    </row>
    <row r="2" ht="25.5" customHeight="1">
      <c r="A2" s="12" t="inlineStr">
        <is>
          <t>No</t>
        </is>
      </c>
      <c r="B2" s="12" t="inlineStr">
        <is>
          <t>Scenario ID</t>
        </is>
      </c>
      <c r="C2" s="12" t="inlineStr">
        <is>
          <t>Module</t>
        </is>
      </c>
      <c r="D2" s="12" t="inlineStr">
        <is>
          <t>REQ ID</t>
        </is>
      </c>
      <c r="E2" s="12" t="inlineStr">
        <is>
          <t>Scenario Type</t>
        </is>
      </c>
      <c r="F2" s="12" t="inlineStr">
        <is>
          <t>Business Rule / System Flow</t>
        </is>
      </c>
      <c r="G2" s="12" t="inlineStr">
        <is>
          <t>Systems Involved</t>
        </is>
      </c>
      <c r="H2" s="12" t="inlineStr">
        <is>
          <t>Preconditions</t>
        </is>
      </c>
      <c r="I2" s="12" t="inlineStr">
        <is>
          <t>Expected Behavior</t>
        </is>
      </c>
      <c r="J2" s="12" t="inlineStr">
        <is>
          <t>QnA Ref</t>
        </is>
      </c>
      <c r="K2" s="12" t="inlineStr">
        <is>
          <t>Comments</t>
        </is>
      </c>
    </row>
    <row r="3" ht="63.75" customHeight="1">
      <c r="A3" s="9" t="n">
        <v>1</v>
      </c>
      <c r="B3" s="9" t="inlineStr">
        <is>
          <t>INT-01-SC1</t>
        </is>
      </c>
      <c r="C3" s="9" t="inlineStr">
        <is>
          <t>Công cụ xếp hạng tìm kiếm (Search Ranking Engine)</t>
        </is>
      </c>
      <c r="D3" s="9" t="inlineStr">
        <is>
          <t>FR-PR-01, FR-PR-02, FR-PR-03, FR-PR-04</t>
        </is>
      </c>
      <c r="E3" s="9" t="inlineStr">
        <is>
          <t>Functional</t>
        </is>
      </c>
      <c r="F3" s="9" t="inlineStr">
        <is>
          <t>Áp dụng mô hình xếp hạng: CÔNG THỨC BLEND TRỌNG SỐ DUY NHẤT (Relevance/Purchase Affinity/Margin/Promotion/Trending) + 3 OVERRIDE ngoại lệ (Out-of-stock đẩy đáy, Khách vãng lai Purchase Affinity=0, Sponsored ghim vị trí + gắn nhãn). KHÔNG phải chuỗi 'tầng ưu tiên' rời rạc (ĐÃ XÁC NHẬN QnA-66).</t>
        </is>
      </c>
      <c r="G3" s="9" t="n"/>
      <c r="H3" s="9" t="inlineStr">
        <is>
          <t>Tập kết quả có SKU hết hàng, SKU được boost kinh doanh, và có lịch sử cá nhân hoá của khách.</t>
        </is>
      </c>
      <c r="I3" s="9" t="inlineStr">
        <is>
          <t>SKU hết hàng luôn bị đẩy xuống cuối bất kể điểm blend cao thế nào (Out-of-stock override). Các SKU còn hàng xếp theo TỔNG ĐIỂM BLEND. Thứ tự áp 3 override so với bước tính blend (trước/sau) - câu hỏi kiến trúc, chờ TD (QnA-66).</t>
        </is>
      </c>
      <c r="J3" s="9" t="inlineStr">
        <is>
          <t>QnA-66</t>
        </is>
      </c>
      <c r="K3" s="9" t="inlineStr">
        <is>
          <t>QnA-66 (BA 28/08/2026): blend, không phải tầng. Thứ tự override/blend OPEN - TD.</t>
        </is>
      </c>
    </row>
    <row r="4" ht="51" customHeight="1">
      <c r="A4" s="9" t="n">
        <v>2</v>
      </c>
      <c r="B4" s="9" t="inlineStr">
        <is>
          <t>INT-01-SC2</t>
        </is>
      </c>
      <c r="C4" s="9" t="inlineStr">
        <is>
          <t>Công cụ xếp hạng tìm kiếm (Search Ranking Engine)</t>
        </is>
      </c>
      <c r="D4" s="9" t="inlineStr">
        <is>
          <t>FR-PR-01, FR-PR-02, FR-PR-03, FR-PR-04</t>
        </is>
      </c>
      <c r="E4" s="9" t="inlineStr">
        <is>
          <t>Boundary</t>
        </is>
      </c>
      <c r="F4" s="9" t="inlineStr">
        <is>
          <t>Kiểm tra hành vi khi 2 SKU có điểm relevance bằng nhau tuyệt đối (tie-break).</t>
        </is>
      </c>
      <c r="G4" s="9" t="n"/>
      <c r="H4" s="9" t="inlineStr">
        <is>
          <t>2 SKU cùng relevance score, cùng stock&gt;0, không SKU nào được boost/cá nhân hoá.</t>
        </is>
      </c>
      <c r="I4" s="9" t="inlineStr">
        <is>
          <t>Hệ thống áp dụng quy tắc tie-break nhất quán (VD: theo Product_ID, theo thời gian cập nhật, hoặc theo doanh số) — cần xác nhận quy tắc cụ thể. ĐÃ XÁC NHẬN QnA-67: quy tắc tie-break PHẢI deterministic (không random) để QA tái lập; tiêu chí phụ cụ thể do TD chọn.</t>
        </is>
      </c>
      <c r="J4" s="9" t="inlineStr">
        <is>
          <t>QnA-67</t>
        </is>
      </c>
      <c r="K4" s="9" t="inlineStr">
        <is>
          <t>RESOLVED QnA-67 (BA): tie-break phải deterministic.</t>
        </is>
      </c>
    </row>
    <row r="5" ht="38.25" customHeight="1">
      <c r="A5" s="9" t="n">
        <v>3</v>
      </c>
      <c r="B5" s="9" t="inlineStr">
        <is>
          <t>INT-02-SC1</t>
        </is>
      </c>
      <c r="C5" s="9" t="inlineStr">
        <is>
          <t>Hiểu truy vấn — Đồng nghĩa &amp; Đa ngôn ngữ (Query Understanding)</t>
        </is>
      </c>
      <c r="D5" s="9" t="inlineStr">
        <is>
          <t>FR-SM-01, FR-SM-02, FR-SM-03, FR-SM-04, FR-SM-06</t>
        </is>
      </c>
      <c r="E5" s="9" t="inlineStr">
        <is>
          <t>Functional</t>
        </is>
      </c>
      <c r="F5" s="9" t="inlineStr">
        <is>
          <t>Mở rộng truy vấn qua từ đồng nghĩa (synonym expansion) ở tầng backend.</t>
        </is>
      </c>
      <c r="G5" s="9" t="n"/>
      <c r="H5" s="9" t="inlineStr">
        <is>
          <t>Từ điển đồng nghĩa đã cấu hình "yogurt" = "sữa chua".</t>
        </is>
      </c>
      <c r="I5" s="9" t="inlineStr">
        <is>
          <t>Truy vấn "yogurt" trả về đúng tập kết quả sản phẩm sữa chua trong catalogue tiếng Việt, không cần khách gõ đúng "sữa chua".</t>
        </is>
      </c>
      <c r="J5" s="9" t="n"/>
      <c r="K5" s="9" t="n"/>
    </row>
    <row r="6" ht="38.25" customHeight="1">
      <c r="A6" s="9" t="n">
        <v>4</v>
      </c>
      <c r="B6" s="9" t="inlineStr">
        <is>
          <t>INT-02-SC2</t>
        </is>
      </c>
      <c r="C6" s="9" t="inlineStr">
        <is>
          <t>Hiểu truy vấn — Đồng nghĩa &amp; Đa ngôn ngữ (Query Understanding)</t>
        </is>
      </c>
      <c r="D6" s="9" t="inlineStr">
        <is>
          <t>FR-SM-01, FR-SM-02, FR-SM-03, FR-SM-04, FR-SM-06</t>
        </is>
      </c>
      <c r="E6" s="9" t="inlineStr">
        <is>
          <t>Functional</t>
        </is>
      </c>
      <c r="F6" s="9" t="inlineStr">
        <is>
          <t>Chuẩn hoá dấu tiếng Việt (diacritic normalization) ở tầng index/backend.</t>
        </is>
      </c>
      <c r="G6" s="9" t="n"/>
      <c r="H6" s="9" t="inlineStr">
        <is>
          <t>Index đã bật chuẩn hoá bỏ dấu.</t>
        </is>
      </c>
      <c r="I6" s="9" t="inlineStr">
        <is>
          <t>Truy vấn không dấu ("sua tuoi") trả về cùng tập kết quả với truy vấn có dấu ("sữa tươi").</t>
        </is>
      </c>
      <c r="J6" s="9" t="n"/>
      <c r="K6" s="9" t="n"/>
    </row>
    <row r="7" ht="38.25" customHeight="1">
      <c r="A7" s="9" t="n">
        <v>5</v>
      </c>
      <c r="B7" s="9" t="inlineStr">
        <is>
          <t>INT-03-SC1</t>
        </is>
      </c>
      <c r="C7" s="9" t="inlineStr">
        <is>
          <t>Autocomplete &amp; Sửa lỗi chính tả — Backend</t>
        </is>
      </c>
      <c r="D7" s="9" t="inlineStr">
        <is>
          <t>FR-SP-01, FR-AC-01, FR-AC-03</t>
        </is>
      </c>
      <c r="E7" s="9" t="inlineStr">
        <is>
          <t>Performance</t>
        </is>
      </c>
      <c r="F7" s="9" t="inlineStr">
        <is>
          <t>Đo độ trễ API gợi ý autocomplete ở tầng backend (loại trừ thời gian debounce UI).</t>
        </is>
      </c>
      <c r="G7" s="9" t="n"/>
      <c r="H7" s="9" t="inlineStr">
        <is>
          <t>Endpoint autocomplete hoạt động bình thường, tải thông thường.</t>
        </is>
      </c>
      <c r="I7" s="9" t="inlineStr">
        <is>
          <t>P95 thời gian phản hồi API &lt; 300ms theo NFR-002 (đo tại tầng server, không tính thời gian debounce phía client).</t>
        </is>
      </c>
      <c r="J7" s="9" t="n"/>
      <c r="K7" s="9" t="n"/>
    </row>
    <row r="8" ht="63.75" customHeight="1">
      <c r="A8" s="11" t="n">
        <v>6</v>
      </c>
      <c r="B8" s="11" t="inlineStr">
        <is>
          <t>INT-03-SC2</t>
        </is>
      </c>
      <c r="C8" s="11" t="inlineStr">
        <is>
          <t>Autocomplete &amp; Sửa lỗi chính tả — Backend</t>
        </is>
      </c>
      <c r="D8" s="11" t="inlineStr">
        <is>
          <t>FR-SP-01, FR-AC-01, FR-AC-03</t>
        </is>
      </c>
      <c r="E8" s="11" t="inlineStr">
        <is>
          <t>Behavior</t>
        </is>
      </c>
      <c r="F8" s="11" t="inlineStr">
        <is>
          <t>Kiểm tra cơ chế phát hiện lỗi chính tả (fuzzy-match) trả về đúng khoảng cách Levenshtein/phonetic cho phép.</t>
        </is>
      </c>
      <c r="G8" s="11" t="n"/>
      <c r="H8" s="11" t="inlineStr">
        <is>
          <t>Từ điển catalogue đã index đầy đủ.</t>
        </is>
      </c>
      <c r="I8" s="11" t="inlineStr">
        <is>
          <t>Truy vấn lệch tối đa N ký tự (ngưỡng cụ thể — TBD, xem QnA-03) so với 1 từ hợp lệ trong catalogue sẽ kích hoạt banner sửa lỗi; lệch quá ngưỡng thì không kích hoạt (coi như truy vấn không liên quan).</t>
        </is>
      </c>
      <c r="J8" s="11" t="inlineStr">
        <is>
          <t>QnA-03</t>
        </is>
      </c>
      <c r="K8" s="11" t="inlineStr">
        <is>
          <t>OPEN — QnA-03</t>
        </is>
      </c>
    </row>
    <row r="9" ht="51" customHeight="1">
      <c r="A9" s="9" t="n">
        <v>7</v>
      </c>
      <c r="B9" s="9" t="inlineStr">
        <is>
          <t>INT-04-SC1</t>
        </is>
      </c>
      <c r="C9" s="9" t="inlineStr">
        <is>
          <t>Cá nhân hoá — Tích hợp OMS (Order History)</t>
        </is>
      </c>
      <c r="D9" s="9" t="inlineStr">
        <is>
          <t>FR-PS-03</t>
        </is>
      </c>
      <c r="E9" s="9" t="inlineStr">
        <is>
          <t>Integration</t>
        </is>
      </c>
      <c r="F9" s="9" t="inlineStr">
        <is>
          <t>Đồng bộ dữ liệu Order History từ OMS để tính khối "Thường mua".</t>
        </is>
      </c>
      <c r="G9" s="9" t="n"/>
      <c r="H9" s="9" t="inlineStr">
        <is>
          <t>OMS có API trả lịch sử đơn hàng COMPLETED trong 90 ngày gần nhất.</t>
        </is>
      </c>
      <c r="I9" s="9" t="inlineStr">
        <is>
          <t>Search Service gọi đúng API OMS, lọc đúng trạng thái COMPLETED, đúng CỬA SỔ THÍCH ỨNG 3-6 THÁNG theo BRD (không phải 90 ngày cố định), tính đúng Order Count (không phải Item Quantity) cho từng SKU. Phạm vi = đơn của khách ở MỌI serving store (ĐÃ XÁC NHẬN QnA-24).
Lọc hiển thị 2 lớp (QnA-24, BA cập nhật - nạp 28/09/2026): lớp 1 đếm Order Count trên đơn của khách ở MỌI store; lớp 2 chỉ giữ SKU thuộc catalogue của Serving Store đang chọn VÀ còn hàng (stock&gt;0), rồi mới lấy Top đầu.</t>
        </is>
      </c>
      <c r="J9" s="9" t="inlineStr">
        <is>
          <t>QnA-24</t>
        </is>
      </c>
      <c r="K9" s="9" t="inlineStr">
        <is>
          <t>RESOLVED QnA-24 (BA 24/08/2026): cửa sổ thích ứng 3-6 tháng BRD, cross-store.
QnA-24 cập nhật 28/09/2026: thêm lớp lọc theo storeId + còn hàng (INT-04-SC1-TC3).</t>
        </is>
      </c>
    </row>
    <row r="10" ht="63.75" customHeight="1">
      <c r="A10" s="11" t="n">
        <v>8</v>
      </c>
      <c r="B10" s="11" t="inlineStr">
        <is>
          <t>INT-05-SC1</t>
        </is>
      </c>
      <c r="C10" s="11" t="inlineStr">
        <is>
          <t>Sponsored Ads — Tích hợp Retail Media</t>
        </is>
      </c>
      <c r="D10" s="11" t="inlineStr">
        <is>
          <t>FR-PR-05</t>
        </is>
      </c>
      <c r="E10" s="11" t="inlineStr">
        <is>
          <t>Integration</t>
        </is>
      </c>
      <c r="F10" s="11" t="inlineStr">
        <is>
          <t>Search Service gọi Retail Media Platform để lấy danh sách quảng cáo phù hợp truy vấn.</t>
        </is>
      </c>
      <c r="G10" s="11" t="n"/>
      <c r="H10" s="11" t="inlineStr">
        <is>
          <t>Retail Media Platform có ≥1 chiến dịch active cho từ khoá test.</t>
        </is>
      </c>
      <c r="I10" s="11" t="inlineStr">
        <is>
          <t>Search Service gửi đúng request (query, user segment nếu có) tới Retail Media, nhận về danh sách SKU tài trợ kèm vị trí/slot, chèn đúng vào response cuối cùng kèm cờ is_sponsored=true.</t>
        </is>
      </c>
      <c r="J10" s="11" t="inlineStr">
        <is>
          <t>QnA-04</t>
        </is>
      </c>
      <c r="K10" s="11" t="inlineStr">
        <is>
          <t>OPEN — QnA-04</t>
        </is>
      </c>
    </row>
    <row r="11" ht="63.75" customHeight="1">
      <c r="A11" s="11" t="n">
        <v>9</v>
      </c>
      <c r="B11" s="11" t="inlineStr">
        <is>
          <t>INT-06-SC1</t>
        </is>
      </c>
      <c r="C11" s="11" t="inlineStr">
        <is>
          <t>Tìm bằng ảnh — Tích hợp Computer Vision Service</t>
        </is>
      </c>
      <c r="D11" s="11" t="inlineStr">
        <is>
          <t>FR-IS-01, FR-IS-03, FR-IS-05, FR-IS-07</t>
        </is>
      </c>
      <c r="E11" s="11" t="inlineStr">
        <is>
          <t>Integration</t>
        </is>
      </c>
      <c r="F11" s="11" t="inlineStr">
        <is>
          <t>Search Service gửi ảnh tới Computer Vision (CV) Service và ánh xạ kết quả nhận diện sang Product_ID trong catalogue.</t>
        </is>
      </c>
      <c r="G11" s="11" t="n"/>
      <c r="H11" s="11" t="inlineStr">
        <is>
          <t>CV Service hoạt động bình thường, đã train trên catalogue LOTTE Mart.</t>
        </is>
      </c>
      <c r="I11" s="11" t="inlineStr">
        <is>
          <t>CV Service trả về danh sách nhãn/embedding kèm điểm tin cậy; Search Service ánh xạ đúng sang Product_ID thực tế trong catalogue, không trả nhãn không tồn tại trong hệ thống bán hàng.</t>
        </is>
      </c>
      <c r="J11" s="11" t="inlineStr">
        <is>
          <t>QnA-03</t>
        </is>
      </c>
      <c r="K11" s="11" t="inlineStr">
        <is>
          <t>OPEN — QnA-03</t>
        </is>
      </c>
    </row>
    <row r="12" ht="63.75" customHeight="1">
      <c r="A12" s="11" t="n">
        <v>10</v>
      </c>
      <c r="B12" s="11" t="inlineStr">
        <is>
          <t>INT-07-SC1</t>
        </is>
      </c>
      <c r="C12" s="11" t="inlineStr">
        <is>
          <t>Tìm bằng giọng nói — Tích hợp Speech-to-Text Service</t>
        </is>
      </c>
      <c r="D12" s="11" t="inlineStr">
        <is>
          <t>FR-VS-01, FR-VS-04, FR-VS-06</t>
        </is>
      </c>
      <c r="E12" s="11" t="inlineStr">
        <is>
          <t>Integration</t>
        </is>
      </c>
      <c r="F12" s="11" t="inlineStr">
        <is>
          <t>Search Service gửi audio stream tới Speech-to-Text (STT) Service và nhận transcript để chạy tìm kiếm.</t>
        </is>
      </c>
      <c r="G12" s="11" t="n"/>
      <c r="H12" s="11" t="inlineStr">
        <is>
          <t>STT Service hỗ trợ tiếng Việt, đang hoạt động bình thường.</t>
        </is>
      </c>
      <c r="I12" s="11" t="inlineStr">
        <is>
          <t>STT Service trả transcript kèm điểm tin cậy (confidence score); Search Service dùng transcript này chạy qua đúng pipeline Query Understanding (đồng nghĩa, chuẩn hoá dấu) giống hệt luồng Text Search. (Xử lý số đếm/đơn vị: OUT OF SCOPE v1 - QnA-17, đã bỏ. Voice = voice-to-text -&gt; text search theo QnA-46.)</t>
        </is>
      </c>
      <c r="J12" s="11" t="inlineStr">
        <is>
          <t>QnA-17</t>
        </is>
      </c>
      <c r="K12" s="11" t="inlineStr">
        <is>
          <t>QnA-17 - OUT OF SCOPE v1 (số đếm/đơn vị đã bỏ). Pipeline chung vẫn test bình thường.</t>
        </is>
      </c>
    </row>
    <row r="13" ht="63.75" customHeight="1">
      <c r="A13" s="9" t="n">
        <v>11</v>
      </c>
      <c r="B13" s="9" t="inlineStr">
        <is>
          <t>INT-08-SC1</t>
        </is>
      </c>
      <c r="C13" s="9" t="inlineStr">
        <is>
          <t>Thêm giỏ hàng — Tích hợp Cart/OMS Transactional</t>
        </is>
      </c>
      <c r="D13" s="9" t="inlineStr">
        <is>
          <t>Không có FR ID rõ ràng — xem QnA-07</t>
        </is>
      </c>
      <c r="E13" s="9" t="inlineStr">
        <is>
          <t>Integration</t>
        </is>
      </c>
      <c r="F13" s="9" t="inlineStr">
        <is>
          <t>Gọi API thêm giỏ hàng và đảm bảo tính toàn vẹn giao dịch (transactional integrity) khi có nhiều request đồng thời.</t>
        </is>
      </c>
      <c r="G13" s="9" t="n"/>
      <c r="H13" s="9" t="inlineStr">
        <is>
          <t>1 SKU có tồn kho giới hạn (VD: 5 sản phẩm).</t>
        </is>
      </c>
      <c r="I13" s="9" t="inlineStr">
        <is>
          <t>Khi có nhiều request thêm giỏ đồng thời từ nhiều phiên khác nhau cho cùng 1 SKU giới hạn tồn kho, hệ thống không cho tổng số lượng thêm giỏ vượt quá tồn kho thực tế (race condition an toàn). - OUT OF SCOPE Smart Search (QnA-07): API thêm giỏ ngoài scope.</t>
        </is>
      </c>
      <c r="J13" s="9" t="n"/>
      <c r="K13" s="9" t="inlineStr">
        <is>
          <t>OUT OF SCOPE - QnA-07 (BA 24/08/2026): Add to cart ngoài scope Smart Search.</t>
        </is>
      </c>
    </row>
    <row r="14" ht="51" customHeight="1">
      <c r="A14" s="11" t="n">
        <v>12</v>
      </c>
      <c r="B14" s="11" t="inlineStr">
        <is>
          <t>INT-09-SC1</t>
        </is>
      </c>
      <c r="C14" s="11" t="inlineStr">
        <is>
          <t>Catalog &amp; Inventory — Đồng bộ tồn kho thời gian thực</t>
        </is>
      </c>
      <c r="D14" s="11" t="inlineStr">
        <is>
          <t>Liên quan FR-PR-01 (Out-of-stock override)</t>
        </is>
      </c>
      <c r="E14" s="11" t="inlineStr">
        <is>
          <t>Integration</t>
        </is>
      </c>
      <c r="F14" s="11" t="inlineStr">
        <is>
          <t>Search Index cập nhật trạng thái tồn kho gần thời gian thực khi Inventory Service thay đổi.</t>
        </is>
      </c>
      <c r="G14" s="11" t="n"/>
      <c r="H14" s="11" t="inlineStr">
        <is>
          <t>1 SKU đang còn hàng (stock=10) trong Search Index.</t>
        </is>
      </c>
      <c r="I14" s="11" t="inlineStr">
        <is>
          <t>Khi Inventory Service cập nhật SKU về stock=0, Search Index phải phản ánh thay đổi trong khoảng thời gian chấp nhận được (SLA đồng bộ — TBD) để tránh bán SKU đã hết hàng.</t>
        </is>
      </c>
      <c r="J14" s="11" t="inlineStr">
        <is>
          <t>QnA-03</t>
        </is>
      </c>
      <c r="K14" s="11" t="inlineStr">
        <is>
          <t>OPEN — QnA-03</t>
        </is>
      </c>
    </row>
    <row r="15" ht="51" customHeight="1">
      <c r="A15" s="9" t="n">
        <v>13</v>
      </c>
      <c r="B15" s="9" t="inlineStr">
        <is>
          <t>INT-10-SC1</t>
        </is>
      </c>
      <c r="C15" s="9" t="inlineStr">
        <is>
          <t>Zero-Result Fallback Engine — Thuật toán gợi ý thay thế</t>
        </is>
      </c>
      <c r="D15" s="9" t="inlineStr">
        <is>
          <t>FR-ZR-02, FR-SM-07</t>
        </is>
      </c>
      <c r="E15" s="9" t="inlineStr">
        <is>
          <t>Functional</t>
        </is>
      </c>
      <c r="F15" s="9" t="inlineStr">
        <is>
          <t>Kiểm tra thuật toán chọn Substitute (sản phẩm thay thế) dựa trên vector similarity/category.</t>
        </is>
      </c>
      <c r="G15" s="9" t="n"/>
      <c r="H15" s="9" t="inlineStr">
        <is>
          <t>SKU gốc hết hàng, có ≥3 SKU cùng category với vector embedding gần.</t>
        </is>
      </c>
      <c r="I15" s="9" t="inlineStr">
        <is>
          <t>Substitute engine trả về các SKU có similarity score cao nhất, cùng category hoặc category liên quan, còn hàng, sắp theo similarity giảm dần.</t>
        </is>
      </c>
      <c r="J15" s="9" t="n"/>
      <c r="K15" s="9" t="n"/>
    </row>
    <row r="16" ht="51" customHeight="1">
      <c r="A16" s="9" t="n">
        <v>14</v>
      </c>
      <c r="B16" s="9" t="inlineStr">
        <is>
          <t>INT-10-SC2</t>
        </is>
      </c>
      <c r="C16" s="9" t="inlineStr">
        <is>
          <t>Zero-Result Fallback Engine — Thuật toán gợi ý thay thế</t>
        </is>
      </c>
      <c r="D16" s="9" t="inlineStr">
        <is>
          <t>FR-ZR-02, FR-SM-07</t>
        </is>
      </c>
      <c r="E16" s="9" t="inlineStr">
        <is>
          <t>Functional</t>
        </is>
      </c>
      <c r="F16" s="9" t="inlineStr">
        <is>
          <t>Kiểm tra thuật toán Cross-sell dựa trên Basket Analysis (Association Rule Mining).</t>
        </is>
      </c>
      <c r="G16" s="9" t="n"/>
      <c r="H16" s="9" t="inlineStr">
        <is>
          <t>Có dữ liệu lịch sử đơn hàng đủ lớn để tính association rule (VD: Bia + Đậu phộng thường mua cùng nhau).</t>
        </is>
      </c>
      <c r="I16" s="9" t="inlineStr">
        <is>
          <t>Cross-sell engine trả về sản phẩm có association rule mạnh nhất (lift/confidence cao) với SKU gốc, còn hàng.</t>
        </is>
      </c>
      <c r="J16" s="9" t="n"/>
      <c r="K16" s="9" t="n"/>
    </row>
    <row r="17" ht="51" customHeight="1">
      <c r="A17" s="9" t="n">
        <v>15</v>
      </c>
      <c r="B17" s="9" t="inlineStr">
        <is>
          <t>INT-10-SC3</t>
        </is>
      </c>
      <c r="C17" s="9" t="inlineStr">
        <is>
          <t>Zero-Result Fallback Engine — Thuật toán gợi ý thay thế</t>
        </is>
      </c>
      <c r="D17" s="9" t="inlineStr">
        <is>
          <t>FR-ZR-02, FR-SM-07</t>
        </is>
      </c>
      <c r="E17" s="9" t="inlineStr">
        <is>
          <t>Boundary</t>
        </is>
      </c>
      <c r="F17" s="9" t="inlineStr">
        <is>
          <t>Fallback 3 tầng khi không có Substitute lẫn Cross-sell hợp lệ.</t>
        </is>
      </c>
      <c r="G17" s="9" t="n"/>
      <c r="H17" s="9" t="inlineStr">
        <is>
          <t>Từ khoá hoàn toàn ngoài domain catalogue (không có SKU tương đồng, không có association rule nào).</t>
        </is>
      </c>
      <c r="I17" s="9" t="inlineStr">
        <is>
          <t>Hệ thống rơi xuống tầng fallback cuối cùng: Best-seller toàn hệ thống, tối thiểu 10 SKU, không bao giờ trả về mảng rỗng.</t>
        </is>
      </c>
      <c r="J17" s="9" t="n"/>
      <c r="K17" s="9" t="n"/>
    </row>
    <row r="18" ht="51" customHeight="1">
      <c r="A18" s="11" t="n">
        <v>16</v>
      </c>
      <c r="B18" s="11" t="inlineStr">
        <is>
          <t>INT-11-SC1</t>
        </is>
      </c>
      <c r="C18" s="11" t="inlineStr">
        <is>
          <t>Auth &amp; Session — Guest vs Member</t>
        </is>
      </c>
      <c r="D18" s="11" t="inlineStr">
        <is>
          <t>Liên quan FR-PS-03, FR-PS-01</t>
        </is>
      </c>
      <c r="E18" s="11" t="inlineStr">
        <is>
          <t>Behavior</t>
        </is>
      </c>
      <c r="F18" s="11" t="inlineStr">
        <is>
          <t>Xử lý token hết hạn (session expiry) ngay giữa lúc gọi API tìm kiếm/cá nhân hoá.</t>
        </is>
      </c>
      <c r="G18" s="11" t="n"/>
      <c r="H18" s="11" t="inlineStr">
        <is>
          <t>Token JWT của khách sắp hết hạn (còn &lt;5 giây).</t>
        </is>
      </c>
      <c r="I18" s="11" t="inlineStr">
        <is>
          <t>Chưa có tài liệu quy định hành vi UI/API cụ thể — hệ thống nên trả về mã lỗi 401 rõ ràng để client xử lý (refresh token hoặc chuyển về trạng thái Guest) thay vì lỗi 500 hoặc dữ liệu sai.</t>
        </is>
      </c>
      <c r="J18" s="11" t="inlineStr">
        <is>
          <t>QnA-15</t>
        </is>
      </c>
      <c r="K18" s="11" t="inlineStr">
        <is>
          <t>OPEN — QnA-15</t>
        </is>
      </c>
    </row>
    <row r="19" ht="63.75" customHeight="1">
      <c r="A19" s="9" t="n">
        <v>17</v>
      </c>
      <c r="B19" s="9" t="inlineStr">
        <is>
          <t>INT-11-SC2</t>
        </is>
      </c>
      <c r="C19" s="9" t="inlineStr">
        <is>
          <t>Auth &amp; Session — Guest vs Member</t>
        </is>
      </c>
      <c r="D19" s="9" t="inlineStr">
        <is>
          <t>Liên quan FR-PS-03, FR-PS-01</t>
        </is>
      </c>
      <c r="E19" s="9" t="inlineStr">
        <is>
          <t>Functional</t>
        </is>
      </c>
      <c r="F19" s="9" t="inlineStr">
        <is>
          <t>Khách Guest chuyển sang đăng nhập giữa phiên tìm kiếm — dữ liệu cá nhân hoá phải cập nhật đúng.</t>
        </is>
      </c>
      <c r="G19" s="9" t="n"/>
      <c r="H19" s="9" t="inlineStr">
        <is>
          <t>Khách đang ở chế độ Guest, sau đó đăng nhập thành công.</t>
        </is>
      </c>
      <c r="I19" s="9" t="inlineStr">
        <is>
          <t>Sau khi đăng nhập, khối "Thường mua" phải chuyển từ trạng thái Guest (ẩn/fallback) sang đúng dữ liệu cá nhân hoá của tài khoản vừa đăng nhập, không cần khách phải tải lại trang thủ công.</t>
        </is>
      </c>
      <c r="J19" s="9" t="n"/>
      <c r="K19" s="9" t="n"/>
    </row>
    <row r="20" ht="51" customHeight="1">
      <c r="A20" s="9" t="n">
        <v>18</v>
      </c>
      <c r="B20" s="9" t="inlineStr">
        <is>
          <t>INT-12-SC1</t>
        </is>
      </c>
      <c r="C20" s="9" t="inlineStr">
        <is>
          <t>Analytics &amp; Event Logging</t>
        </is>
      </c>
      <c r="D20" s="9" t="inlineStr">
        <is>
          <t>Liên quan FR-PS-02 (Trending), NFR tracking</t>
        </is>
      </c>
      <c r="E20" s="9" t="inlineStr">
        <is>
          <t>Integration</t>
        </is>
      </c>
      <c r="F20" s="9" t="inlineStr">
        <is>
          <t>Ghi nhận sự kiện tìm kiếm (search event) vào hệ thống Analytics để phục vụ tính Trending Score.</t>
        </is>
      </c>
      <c r="G20" s="9" t="n"/>
      <c r="H20" s="9" t="inlineStr">
        <is>
          <t>Analytics pipeline hoạt động bình thường.</t>
        </is>
      </c>
      <c r="I20" s="9" t="inlineStr">
        <is>
          <t>Mỗi lượt tìm kiếm thành công (có kết quả &gt;0) phải được ghi nhận đúng vào event log với đầy đủ trường: query text, timestamp, user segment (Guest/Member), số kết quả trả về.</t>
        </is>
      </c>
      <c r="J20" s="9" t="n"/>
      <c r="K20" s="9" t="n"/>
    </row>
    <row r="21" ht="63.75" customHeight="1">
      <c r="A21" s="9" t="n">
        <v>19</v>
      </c>
      <c r="B21" s="9" t="inlineStr">
        <is>
          <t>INT-13-SC1</t>
        </is>
      </c>
      <c r="C21" s="9" t="inlineStr">
        <is>
          <t>Hiệu năng &amp; Khả năng chịu tải (Performance/NFR)</t>
        </is>
      </c>
      <c r="D21" s="9" t="inlineStr">
        <is>
          <t>NFR-001 đến NFR-005 (Search/Autocomplete/Image response time)</t>
        </is>
      </c>
      <c r="E21" s="9" t="inlineStr">
        <is>
          <t>Performance</t>
        </is>
      </c>
      <c r="F21" s="9" t="inlineStr">
        <is>
          <t>Kiểm tra khả năng chịu tải khi có lượng truy vấn tăng đột biến (load spike) — VD giờ cao điểm khuyến mãi.</t>
        </is>
      </c>
      <c r="G21" s="9" t="n"/>
      <c r="H21" s="9" t="inlineStr">
        <is>
          <t>Môi trường load-test đã cấu hình mô phỏng traffic thực tế.</t>
        </is>
      </c>
      <c r="I21" s="9" t="inlineStr">
        <is>
          <t>Ở mức tải đỉnh (peak load, VD gấp 5 lần tải trung bình), P95 thời gian phản hồi tìm kiếm vẫn trong ngưỡng chấp nhận được (≤1.000ms theo ghi chú BRD cho "ngày cao điểm"), tỷ lệ lỗi (error rate) không vượt quá ngưỡng SLA.</t>
        </is>
      </c>
      <c r="J21" s="9" t="n"/>
      <c r="K21" s="9" t="n"/>
    </row>
    <row r="22" ht="38.25" customHeight="1">
      <c r="A22" s="9" t="n">
        <v>21</v>
      </c>
      <c r="B22" s="9" t="inlineStr">
        <is>
          <t>INT-13-SC2</t>
        </is>
      </c>
      <c r="C22" s="9" t="inlineStr">
        <is>
          <t>Hiệu năng &amp; Khả năng chịu tải (Performance/NFR)</t>
        </is>
      </c>
      <c r="D22" s="9" t="inlineStr">
        <is>
          <t>FR-GD-03, NFR-009</t>
        </is>
      </c>
      <c r="E22" s="9" t="inlineStr">
        <is>
          <t>Behavior</t>
        </is>
      </c>
      <c r="F22" s="9" t="inlineStr">
        <is>
          <t>Khi hệ thống AI Search (ngữ nghĩa) gặp sự cố/timeout, tự động hạ cấp (Graceful Degradation) sang thuật toán tìm kiếm Keyword cơ bản, không hiển thị lỗi kỹ thuật cho khách hàng.</t>
        </is>
      </c>
      <c r="G22" s="9" t="inlineStr">
        <is>
          <t>AI Search Service, Basic Keyword Search Engine (fallback), API Gateway</t>
        </is>
      </c>
      <c r="H22" s="9" t="inlineStr">
        <is>
          <t>Có thể giả lập AI Search Service down/timeout (chaos testing hoặc feature-flag tắt AI service) trong môi trường test.</t>
        </is>
      </c>
      <c r="I22" s="9" t="inlineStr">
        <is>
          <t>Khi AI Search Service không khả dụng, request tìm kiếm tự động chuyển sang thuật toán Keyword cơ bản; khách hàng vẫn nhận được kết quả tìm kiếm hợp lý (không phải trang trắng, không phải 0 kết quả do lỗi hệ thống); tuyệt đối KHÔNG hiển thị popup lỗi hay text kỹ thuật (VD "AI service unavailable", stack trace, mã lỗi 5xx) lên UI; khi AI Search Service phục hồi, hệ thống tự động chuyển lại dùng AI Search mà không cần thao tác thủ công.</t>
        </is>
      </c>
      <c r="J22" s="9" t="n"/>
      <c r="K22" s="9" t="n"/>
    </row>
    <row r="23">
      <c r="A23" s="9" t="n">
        <v>22</v>
      </c>
      <c r="B23" s="9" t="inlineStr">
        <is>
          <t>INT-13-SC3</t>
        </is>
      </c>
      <c r="C23" s="9" t="inlineStr">
        <is>
          <t>Hiệu năng &amp; Khả năng chịu tải (Performance/NFR)</t>
        </is>
      </c>
      <c r="D23" s="9" t="inlineStr">
        <is>
          <t>FR-GD-01, NFR-001</t>
        </is>
      </c>
      <c r="E23" s="9" t="inlineStr">
        <is>
          <t>Performance</t>
        </is>
      </c>
      <c r="F23" s="9" t="inlineStr">
        <is>
          <t>Đo P95 thời gian phản hồi tìm kiếm văn bản ở mức tải BÌNH THƯỜNG (không phải tải đỉnh/load spike đã test ở INT-13-SC1) — đối chiếu đúng ngưỡng 300ms P95 theo FR-GD-01/NFR-001.</t>
        </is>
      </c>
      <c r="G23" s="9" t="inlineStr">
        <is>
          <t>AI Search Service, API Gateway, Monitoring</t>
        </is>
      </c>
      <c r="H23" s="9" t="inlineStr">
        <is>
          <t>Môi trường test mô phỏng tải trung bình hằng ngày (không phải peak).</t>
        </is>
      </c>
      <c r="I23" s="9" t="inlineStr">
        <is>
          <t>Ở mức tải trung bình, P95 thời gian phản hồi tìm kiếm văn bản ≤300ms; khác biệt với ngưỡng ≤1.000ms đã test riêng cho tải đỉnh ở INT-13-SC1 (ngưỡng "ngày cao điểm" theo ghi chú BRD KPI-01).</t>
        </is>
      </c>
      <c r="J23" s="9" t="n"/>
      <c r="K23" s="9" t="n"/>
    </row>
    <row r="24">
      <c r="A24" s="9" t="n">
        <v>20</v>
      </c>
      <c r="B24" s="9" t="inlineStr">
        <is>
          <t>INT-14-SC1</t>
        </is>
      </c>
      <c r="C24" s="9" t="inlineStr">
        <is>
          <t>Bảo mật &amp; Quyền riêng tư dữ liệu (Security/PDPL)</t>
        </is>
      </c>
      <c r="D24" s="9" t="inlineStr">
        <is>
          <t>RSK-05, DEP-08 (PDPL dependency)</t>
        </is>
      </c>
      <c r="E24" s="9" t="inlineStr">
        <is>
          <t>Security</t>
        </is>
      </c>
      <c r="F24" s="9" t="inlineStr">
        <is>
          <t>Kiểm tra dữ liệu cá nhân hoá (Order History) không bị rò rỉ chéo giữa các tài khoản khách hàng.</t>
        </is>
      </c>
      <c r="G24" s="9" t="n"/>
      <c r="H24" s="9" t="inlineStr">
        <is>
          <t>2 tài khoản test khác nhau, mỗi tài khoản có lịch sử mua hàng riêng biệt.</t>
        </is>
      </c>
      <c r="I24" s="9" t="inlineStr">
        <is>
          <t>Gọi API "Thường mua" với token của tài khoản A tuyệt đối không trả về dữ liệu của tài khoản B, ngay cả khi 2 request gửi gần như đồng thời.</t>
        </is>
      </c>
      <c r="J24" s="9" t="n"/>
      <c r="K24" s="9" t="n"/>
    </row>
    <row r="25">
      <c r="A25" s="9" t="n">
        <v>23</v>
      </c>
      <c r="B25" s="9" t="inlineStr">
        <is>
          <t>INT-15-SC1</t>
        </is>
      </c>
      <c r="C25" s="9" t="inlineStr">
        <is>
          <t>Phạm vi Serving Store — Search / Trending</t>
        </is>
      </c>
      <c r="D25" s="9" t="inlineStr">
        <is>
          <t>SRS Simplify User Flow Slide 5-6 (AC-03 Serving Store); FR-PS-02</t>
        </is>
      </c>
      <c r="E25" s="9" t="inlineStr">
        <is>
          <t>Integration</t>
        </is>
      </c>
      <c r="F25" s="9" t="inlineStr">
        <is>
          <t>Mọi truy vấn tìm kiếm và Trending chỉ trả dữ liệu thuộc Serving Store đang chọn (storeId).</t>
        </is>
      </c>
      <c r="G25" s="9" t="inlineStr">
        <is>
          <t>Search Service, Search Index, Analytics</t>
        </is>
      </c>
      <c r="H25" s="9" t="inlineStr">
        <is>
          <t>Catalogue khác nhau giữa các store; request mang storeId của Serving Store.</t>
        </is>
      </c>
      <c r="I25" s="9" t="inlineStr">
        <is>
          <t>Kết quả tìm kiếm chỉ gồm SKU thuộc catalogue của storeId (giá/tồn kho của store đó). Trending tính theo từng store. Kiểm theo hành vi (black-box) - đúng với cả thiết kế 1 index gộp + filter lẫn index riêng từng store.</t>
        </is>
      </c>
      <c r="J25" s="9" t="inlineStr">
        <is>
          <t>QnA-64</t>
        </is>
      </c>
      <c r="K25" s="9" t="inlineStr">
        <is>
          <t>Thêm mới 28/09/2026 theo QnA-64 ý (1)(2). Thiết kế index (1 index gộp + filter store_ids) mới là đề xuất BA, chờ TD xác nhận.</t>
        </is>
      </c>
    </row>
  </sheetData>
  <mergeCells count="1">
    <mergeCell ref="A1:K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Q45"/>
  <sheetViews>
    <sheetView showGridLines="0" zoomScaleNormal="100" workbookViewId="0">
      <pane ySplit="2" topLeftCell="A3" activePane="bottomLeft" state="frozen"/>
      <selection pane="bottomLeft" activeCell="C9" sqref="C9"/>
    </sheetView>
  </sheetViews>
  <sheetFormatPr baseColWidth="8" defaultColWidth="8.7109375" defaultRowHeight="15"/>
  <cols>
    <col width="16" customWidth="1" min="1" max="2"/>
    <col width="26" customWidth="1" min="3" max="3"/>
    <col width="20" customWidth="1" min="4" max="4"/>
    <col width="12" customWidth="1" min="5" max="5"/>
    <col width="34" customWidth="1" min="6" max="6"/>
    <col width="24" customWidth="1" min="7" max="7"/>
    <col width="44" customWidth="1" min="8" max="8"/>
    <col width="26" customWidth="1" min="9" max="9"/>
    <col width="42" customWidth="1" min="10" max="10"/>
    <col width="10" customWidth="1" min="11" max="11"/>
    <col width="14" customWidth="1" min="12" max="13"/>
    <col width="10" customWidth="1" min="14" max="14"/>
    <col width="12" customWidth="1" min="15" max="15"/>
    <col width="10" customWidth="1" min="16" max="16"/>
    <col width="40" customWidth="1" min="17" max="17"/>
  </cols>
  <sheetData>
    <row r="1" ht="21.75" customHeight="1">
      <c r="A1" s="2" t="inlineStr">
        <is>
          <t>Integration — Detailed Test Cases</t>
        </is>
      </c>
    </row>
    <row r="2" ht="25.5" customHeight="1">
      <c r="A2" s="12" t="inlineStr">
        <is>
          <t>Test Case ID</t>
        </is>
      </c>
      <c r="B2" s="12" t="inlineStr">
        <is>
          <t>Parent Scenario ID</t>
        </is>
      </c>
      <c r="C2" s="12" t="inlineStr">
        <is>
          <t>Module</t>
        </is>
      </c>
      <c r="D2" s="12" t="inlineStr">
        <is>
          <t>REQ ID</t>
        </is>
      </c>
      <c r="E2" s="12" t="inlineStr">
        <is>
          <t>Test Case Type</t>
        </is>
      </c>
      <c r="F2" s="12" t="inlineStr">
        <is>
          <t>Test Case Title</t>
        </is>
      </c>
      <c r="G2" s="12" t="inlineStr">
        <is>
          <t>Preconditions</t>
        </is>
      </c>
      <c r="H2" s="12" t="inlineStr">
        <is>
          <t>Test Steps</t>
        </is>
      </c>
      <c r="I2" s="12" t="inlineStr">
        <is>
          <t>Test Data</t>
        </is>
      </c>
      <c r="J2" s="12" t="inlineStr">
        <is>
          <t>Expected Result</t>
        </is>
      </c>
      <c r="K2" s="12" t="inlineStr">
        <is>
          <t>Priority</t>
        </is>
      </c>
      <c r="L2" s="12" t="inlineStr">
        <is>
          <t>Actual Result</t>
        </is>
      </c>
      <c r="M2" s="12" t="inlineStr">
        <is>
          <t>Pass/Fail Status</t>
        </is>
      </c>
      <c r="N2" s="12" t="inlineStr">
        <is>
          <t>Tester</t>
        </is>
      </c>
      <c r="O2" s="12" t="inlineStr">
        <is>
          <t>Test Date</t>
        </is>
      </c>
      <c r="P2" s="12" t="inlineStr">
        <is>
          <t>QnA Ref</t>
        </is>
      </c>
      <c r="Q2" s="12" t="inlineStr">
        <is>
          <t>Comments</t>
        </is>
      </c>
    </row>
    <row r="3" ht="51" customHeight="1">
      <c r="A3" s="18" t="inlineStr">
        <is>
          <t>INT-01-SC1-TC1</t>
        </is>
      </c>
      <c r="B3" s="18" t="inlineStr">
        <is>
          <t>INT-01-SC1</t>
        </is>
      </c>
      <c r="C3" s="18" t="inlineStr">
        <is>
          <t>Công cụ xếp hạng tìm kiếm (Search Ranking Engine)</t>
        </is>
      </c>
      <c r="D3" s="18" t="inlineStr">
        <is>
          <t>FR-PR-01, FR-PR-02, FR-PR-03, FR-PR-04</t>
        </is>
      </c>
      <c r="E3" s="18" t="inlineStr">
        <is>
          <t>Functional</t>
        </is>
      </c>
      <c r="F3" s="18" t="inlineStr">
        <is>
          <t>Out-of-stock override luôn thắng các tầng ưu tiên khác</t>
        </is>
      </c>
      <c r="G3" s="18" t="inlineStr">
        <is>
          <t>Tập kết quả có SKU hết hàng, SKU được boost kinh doanh, và có lịch sử cá nhân hoá của khách.</t>
        </is>
      </c>
      <c r="H3" s="18" t="inlineStr">
        <is>
          <t>1. Chuẩn bị 1 SKU hết hàng có relevance score cao nhất + được boost kinh doanh.
2. Gọi API tìm kiếm với từ khoá khớp SKU này.
3. Kiểm tra vị trí SKU trong response.</t>
        </is>
      </c>
      <c r="I3" s="18" t="inlineStr">
        <is>
          <t>SKU-X: stock=0, relevance=0.98, business_boost=true</t>
        </is>
      </c>
      <c r="J3" s="18" t="inlineStr">
        <is>
          <t>SKU-X bị xếp xuống dưới TOÀN BỘ SKU còn hàng trong response, bất kể relevance score hay boost kinh doanh cao đến đâu — xác nhận Out-of-stock override là tầng ưu tiên cao nhất. [QnA-66: BA xác nhận hệ thống dùng công thức BLEND trọng số duy nhất, KHÔNG phải chuỗi 'tầng ưu tiên' rời rạc. Out-of-stock là 1 OVERRIDE ngoại lệ áp lên kết quả blend. TC này vẫn hợp lệ: SKU hết hàng luôn ở đáy. Thứ tự áp override so với bước blend (trước/sau) là câu hỏi kiến trúc, chờ TD.]</t>
        </is>
      </c>
      <c r="K3" s="18" t="inlineStr">
        <is>
          <t>High</t>
        </is>
      </c>
      <c r="L3" s="10" t="n"/>
      <c r="M3" s="10" t="inlineStr">
        <is>
          <t>Not Run</t>
        </is>
      </c>
      <c r="N3" s="10" t="n"/>
      <c r="O3" s="10" t="n"/>
      <c r="P3" s="18" t="inlineStr">
        <is>
          <t>QnA-66</t>
        </is>
      </c>
      <c r="Q3" s="18" t="inlineStr">
        <is>
          <t>QnA-66 (BA 28/08/2026): mô hình xếp hạng = BLEND trọng số duy nhất + 3 override ngoại lệ (Out-of-stock, Khách vãng lai PA=0, Sponsored). TC Out-of-stock override vẫn có căn cứ. Thứ tự áp override vs blend: OPEN, chờ TD.</t>
        </is>
      </c>
    </row>
    <row r="4" ht="63.75" customHeight="1">
      <c r="A4" s="18" t="inlineStr">
        <is>
          <t>INT-01-SC1-TC2</t>
        </is>
      </c>
      <c r="B4" s="18" t="inlineStr">
        <is>
          <t>INT-01-SC1</t>
        </is>
      </c>
      <c r="C4" s="18" t="inlineStr">
        <is>
          <t>Công cụ xếp hạng tìm kiếm (Search Ranking Engine)</t>
        </is>
      </c>
      <c r="D4" s="18" t="inlineStr">
        <is>
          <t>FR-PR-01, FR-PR-02, FR-PR-03, FR-PR-04</t>
        </is>
      </c>
      <c r="E4" s="18" t="inlineStr">
        <is>
          <t>Functional</t>
        </is>
      </c>
      <c r="F4" s="18" t="inlineStr">
        <is>
          <t>Business rule (boost/bury) áp dụng trước Relevance thuần trong nhóm còn hàng</t>
        </is>
      </c>
      <c r="G4" s="18" t="inlineStr">
        <is>
          <t>Tập kết quả có SKU hết hàng, SKU được boost kinh doanh, và có lịch sử cá nhân hoá của khách.</t>
        </is>
      </c>
      <c r="H4" s="18" t="inlineStr">
        <is>
          <t>1. Chuẩn bị 2 SKU cùng còn hàng: SKU-A relevance=0.70 nhưng có boost kinh doanh; SKU-B relevance=0.90 không có boost.
2. Gọi API tìm kiếm khớp cả 2 SKU.
3. So sánh vị trí SKU-A và SKU-B.</t>
        </is>
      </c>
      <c r="I4" s="18" t="inlineStr">
        <is>
          <t>SKU-A: relevance=0.70, boosted; SKU-B: relevance=0.90, không boost</t>
        </is>
      </c>
      <c r="J4" s="18" t="inlineStr">
        <is>
          <t>CẦN VIẾT LẠI (QnA-66): TC này đang giả định có 'tầng ưu tiên' Business rule &gt; Relevance thuần - nhưng BA xác nhận (QnA-66) hệ thống dùng CÔNG THỨC BLEND TRỌNG SỐ DUY NHẤT, KHÔNG có khái niệm tầng. Cần viết lại: thay vì verify thứ tự tầng, verify SKU có TỔNG ĐIỂM SCORECARD BLEND cao hơn (gồm cả thành phần business/promotion) xếp trước. Không chấm Pass/Fail theo mô tả 'tầng' hiện tại. Chi tiết thứ tự áp 3 override so với bước blend: chờ TD.</t>
        </is>
      </c>
      <c r="K4" s="18" t="inlineStr">
        <is>
          <t>High</t>
        </is>
      </c>
      <c r="L4" s="10" t="n"/>
      <c r="M4" s="10" t="inlineStr">
        <is>
          <t>Not Run</t>
        </is>
      </c>
      <c r="N4" s="10" t="n"/>
      <c r="O4" s="10" t="n"/>
      <c r="P4" s="18" t="inlineStr">
        <is>
          <t>QnA-66</t>
        </is>
      </c>
      <c r="Q4" s="18" t="inlineStr">
        <is>
          <t>QnA-66 (BA 28/08/2026): không có 'tầng ưu tiên' - mô hình là blend trọng số. TC2 cần rewrite. OPEN phần thứ tự override/blend (TD).</t>
        </is>
      </c>
    </row>
    <row r="5" ht="89.25" customHeight="1">
      <c r="A5" s="18" t="inlineStr">
        <is>
          <t>INT-01-SC2-TC1</t>
        </is>
      </c>
      <c r="B5" s="18" t="inlineStr">
        <is>
          <t>INT-01-SC2</t>
        </is>
      </c>
      <c r="C5" s="18" t="inlineStr">
        <is>
          <t>Công cụ xếp hạng tìm kiếm (Search Ranking Engine)</t>
        </is>
      </c>
      <c r="D5" s="18" t="inlineStr">
        <is>
          <t>FR-PR-01, FR-PR-02, FR-PR-03, FR-PR-04</t>
        </is>
      </c>
      <c r="E5" s="18" t="inlineStr">
        <is>
          <t>Boundary</t>
        </is>
      </c>
      <c r="F5" s="18" t="inlineStr">
        <is>
          <t>Tie-break khi 2 SKU có relevance score bằng nhau tuyệt đối</t>
        </is>
      </c>
      <c r="G5" s="18" t="inlineStr">
        <is>
          <t>2 SKU cùng relevance score, cùng stock&gt;0, không SKU nào được boost/cá nhân hoá.</t>
        </is>
      </c>
      <c r="H5" s="18" t="inlineStr">
        <is>
          <t>1. Chuẩn bị 2 SKU có relevance score = 0.75 (giống hệt nhau), stock&gt;0, không boost/cá nhân hoá.
2. Gọi API tìm kiếm nhiều lần (≥5 lần) với cùng điều kiện.
3. Kiểm tra thứ tự 2 SKU có nhất quán qua các lần gọi không.</t>
        </is>
      </c>
      <c r="I5" s="18" t="inlineStr">
        <is>
          <t>SKU-A và SKU-B: relevance=0.75 (bằng nhau)</t>
        </is>
      </c>
      <c r="J5" s="18" t="inlineStr">
        <is>
          <t>Thứ tự giữa SKU-A và SKU-B phải NHẤT QUÁN qua mọi lần gọi API (không random đảo lộn thứ tự mỗi lần) — xác nhận có quy tắc tie-break xác định (deterministic), không phụ thuộc vào thứ tự trả về ngẫu nhiên của database.</t>
        </is>
      </c>
      <c r="K5" s="18" t="inlineStr">
        <is>
          <t>Medium</t>
        </is>
      </c>
      <c r="L5" s="10" t="n"/>
      <c r="M5" s="10" t="inlineStr">
        <is>
          <t>Not Run</t>
        </is>
      </c>
      <c r="N5" s="10" t="n"/>
      <c r="O5" s="10" t="n"/>
      <c r="P5" s="18" t="inlineStr">
        <is>
          <t>QnA-67</t>
        </is>
      </c>
      <c r="Q5" s="18" t="inlineStr">
        <is>
          <t>RESOLVED QnA-67 (BA): BA xác nhận quy tắc tie-break PHẢI deterministic (không random) để QA tái lập được - đúng nội dung TC này đang verify. Tiêu chí phụ cụ thể (Product_ID / thời gian cập nhật / doanh số) do TD chọn theo hạ tầng, KHÔNG ảnh hưởng Pass/Fail của TC này. Giữ nguyên Expected.</t>
        </is>
      </c>
    </row>
    <row r="6" ht="63.75" customHeight="1">
      <c r="A6" s="9" t="inlineStr">
        <is>
          <t>INT-01-SC3-TC1</t>
        </is>
      </c>
      <c r="B6" s="9" t="inlineStr">
        <is>
          <t>INT-01-SC3</t>
        </is>
      </c>
      <c r="C6" s="9" t="inlineStr">
        <is>
          <t>Công cụ xếp hạng tìm kiếm (Search Ranking Engine)</t>
        </is>
      </c>
      <c r="D6" s="9" t="inlineStr">
        <is>
          <t>Rule BA 2026-08-24 (rule 5)</t>
        </is>
      </c>
      <c r="E6" s="9" t="inlineStr">
        <is>
          <t>Functional</t>
        </is>
      </c>
      <c r="F6" s="9" t="inlineStr">
        <is>
          <t>Ranking Engine áp dụng số từ khoá match (matchedWords) như 1 tiêu chí riêng, tách biệt điểm relevance thô</t>
        </is>
      </c>
      <c r="G6" s="9" t="inlineStr">
        <is>
          <t>Có ≥2 sản phẩm cùng nhóm điểm relevance/tier nhưng số từ khoá match khác nhau.</t>
        </is>
      </c>
      <c r="H6" s="9" t="inlineStr">
        <is>
          <t>1. Gửi 1 truy vấn đa từ tới Search API sao cho ≥2 SKU cùng tier/score nhưng khác số từ match.
2. Kiểm tra response order, xác nhận SKU match nhiều từ hơn có rank thấp hơn (đứng trước) SKU match ít từ hơn.</t>
        </is>
      </c>
      <c r="I6" s="9" t="inlineStr">
        <is>
          <t>Query đa từ, ≥2 SKU cùng tier khác matchedWords</t>
        </is>
      </c>
      <c r="J6" s="9" t="inlineStr">
        <is>
          <t>Engine xếp SKU có matchedWords cao hơn lên trước, ĐỘC LẬP với điểm relevance/tier thô khi 2 SKU cùng nhóm — khớp đúng rule 5 (matching nhiều từ nhất lên đầu).</t>
        </is>
      </c>
      <c r="K6" s="9" t="inlineStr">
        <is>
          <t>Medium</t>
        </is>
      </c>
      <c r="L6" s="10" t="n"/>
      <c r="M6" s="10" t="inlineStr">
        <is>
          <t>Not Run</t>
        </is>
      </c>
      <c r="N6" s="10" t="n"/>
      <c r="O6" s="10" t="n"/>
      <c r="P6" s="9" t="n"/>
      <c r="Q6" s="9" t="inlineStr">
        <is>
          <t>Rule mới bổ sung 2026-08-24 (AI_CONTEXT.md §3e). Bản giả lập tham khảo: search_engine.js matchedWordCount(), sort key matchedWords &gt; score &gt; popularity. Liên quan QnA-54 (đã trả lời), QnA-66/67 (vẫn Open).</t>
        </is>
      </c>
    </row>
    <row r="7" ht="63.75" customHeight="1">
      <c r="A7" s="9" t="inlineStr">
        <is>
          <t>INT-02-SC1-TC1</t>
        </is>
      </c>
      <c r="B7" s="9" t="inlineStr">
        <is>
          <t>INT-02-SC1</t>
        </is>
      </c>
      <c r="C7" s="9" t="inlineStr">
        <is>
          <t>Hiểu truy vấn — Đồng nghĩa &amp; Đa ngôn ngữ (Query Understanding)</t>
        </is>
      </c>
      <c r="D7" s="9" t="inlineStr">
        <is>
          <t>FR-SM-01, FR-SM-02, FR-SM-03, FR-SM-04, FR-SM-06</t>
        </is>
      </c>
      <c r="E7" s="9" t="inlineStr">
        <is>
          <t>Functional</t>
        </is>
      </c>
      <c r="F7" s="9" t="inlineStr">
        <is>
          <t>API tìm kiếm trả đúng kết quả khi dùng từ đồng nghĩa tiếng Anh</t>
        </is>
      </c>
      <c r="G7" s="9" t="inlineStr">
        <is>
          <t>Từ điển đồng nghĩa đã cấu hình "yogurt" = "sữa chua".</t>
        </is>
      </c>
      <c r="H7" s="9" t="inlineStr">
        <is>
          <t>1. Gọi API tìm kiếm với query="yogurt".
2. Kiểm tra response có chứa các SKU thuộc category "Sữa chua" hay không.
3. So sánh tập kết quả với khi gọi API bằng query="sữa chua".</t>
        </is>
      </c>
      <c r="I7" s="9" t="inlineStr">
        <is>
          <t>query="yogurt" vs query="sữa chua"</t>
        </is>
      </c>
      <c r="J7" s="9" t="inlineStr">
        <is>
          <t>Tập kết quả của 2 truy vấn phải trùng nhau (hoặc chồng lấn đáng kể) — xác nhận cơ chế mở rộng đồng nghĩa backend hoạt động đúng theo FR-SM-04.</t>
        </is>
      </c>
      <c r="K7" s="9" t="inlineStr">
        <is>
          <t>High</t>
        </is>
      </c>
      <c r="L7" s="10" t="n"/>
      <c r="M7" s="10" t="inlineStr">
        <is>
          <t>Not Run</t>
        </is>
      </c>
      <c r="N7" s="10" t="n"/>
      <c r="O7" s="10" t="n"/>
      <c r="P7" s="9" t="n"/>
      <c r="Q7" s="9" t="n"/>
    </row>
    <row r="8" ht="63.75" customHeight="1">
      <c r="A8" s="9" t="inlineStr">
        <is>
          <t>INT-02-SC2-TC1</t>
        </is>
      </c>
      <c r="B8" s="9" t="inlineStr">
        <is>
          <t>INT-02-SC2</t>
        </is>
      </c>
      <c r="C8" s="9" t="inlineStr">
        <is>
          <t>Hiểu truy vấn — Đồng nghĩa &amp; Đa ngôn ngữ (Query Understanding)</t>
        </is>
      </c>
      <c r="D8" s="9" t="inlineStr">
        <is>
          <t>FR-SM-01, FR-SM-02, FR-SM-03, FR-SM-04, FR-SM-06</t>
        </is>
      </c>
      <c r="E8" s="9" t="inlineStr">
        <is>
          <t>Functional</t>
        </is>
      </c>
      <c r="F8" s="9" t="inlineStr">
        <is>
          <t>Truy vấn không dấu trả về đúng kết quả như có dấu</t>
        </is>
      </c>
      <c r="G8" s="9" t="inlineStr">
        <is>
          <t>Index đã bật chuẩn hoá bỏ dấu.</t>
        </is>
      </c>
      <c r="H8" s="9" t="inlineStr">
        <is>
          <t>1. Gọi API tìm kiếm với query="sua tuoi" (không dấu).
2. Gọi API tìm kiếm với query="sữa tươi" (có dấu).
3. So sánh 2 tập kết quả (danh sách Product_ID).</t>
        </is>
      </c>
      <c r="I8" s="9" t="inlineStr">
        <is>
          <t>query="sua tuoi" vs query="sữa tươi"</t>
        </is>
      </c>
      <c r="J8" s="9" t="inlineStr">
        <is>
          <t>2 tập kết quả trùng khớp hoàn toàn (cùng danh sách Product_ID, có thể khác thứ tự do relevance score) — xác nhận chuẩn hoá dấu hoạt động đúng theo FR-SM-06.</t>
        </is>
      </c>
      <c r="K8" s="9" t="inlineStr">
        <is>
          <t>High</t>
        </is>
      </c>
      <c r="L8" s="10" t="n"/>
      <c r="M8" s="10" t="inlineStr">
        <is>
          <t>Not Run</t>
        </is>
      </c>
      <c r="N8" s="10" t="n"/>
      <c r="O8" s="10" t="n"/>
      <c r="P8" s="9" t="n"/>
      <c r="Q8" s="9" t="n"/>
    </row>
    <row r="9" ht="76.5" customHeight="1">
      <c r="A9" s="9" t="inlineStr">
        <is>
          <t>INT-03-SC1-TC1</t>
        </is>
      </c>
      <c r="B9" s="9" t="inlineStr">
        <is>
          <t>INT-03-SC1</t>
        </is>
      </c>
      <c r="C9" s="9" t="inlineStr">
        <is>
          <t>Autocomplete &amp; Sửa lỗi chính tả — Backend</t>
        </is>
      </c>
      <c r="D9" s="9" t="inlineStr">
        <is>
          <t>FR-SP-01, FR-AC-01, FR-AC-03</t>
        </is>
      </c>
      <c r="E9" s="9" t="inlineStr">
        <is>
          <t>Performance</t>
        </is>
      </c>
      <c r="F9" s="9" t="inlineStr">
        <is>
          <t>P95 độ trễ API autocomplete &lt; 300ms</t>
        </is>
      </c>
      <c r="G9" s="9" t="inlineStr">
        <is>
          <t>Endpoint autocomplete hoạt động bình thường, tải thông thường.</t>
        </is>
      </c>
      <c r="H9" s="9" t="inlineStr">
        <is>
          <t>1. Gọi API autocomplete 50 lần với các query khác nhau (2-4 ký tự), điều kiện tải bình thường.
2. Đo thời gian phản hồi từng request (server-side, không tính debounce).
3. Tính p95 của tập số liệu.</t>
        </is>
      </c>
      <c r="I9" s="9" t="inlineStr">
        <is>
          <t>50 request, query 2-4 ký tự</t>
        </is>
      </c>
      <c r="J9" s="9" t="inlineStr">
        <is>
          <t>p95 độ trễ &lt; 300ms — đạt NFR-002.</t>
        </is>
      </c>
      <c r="K9" s="9" t="inlineStr">
        <is>
          <t>High</t>
        </is>
      </c>
      <c r="L9" s="10" t="n"/>
      <c r="M9" s="10" t="inlineStr">
        <is>
          <t>Not Run</t>
        </is>
      </c>
      <c r="N9" s="10" t="n"/>
      <c r="O9" s="10" t="n"/>
      <c r="P9" s="9" t="n"/>
      <c r="Q9" s="9" t="n"/>
    </row>
    <row r="10" ht="89.25" customHeight="1">
      <c r="A10" s="11" t="inlineStr">
        <is>
          <t>INT-03-SC2-TC1</t>
        </is>
      </c>
      <c r="B10" s="11" t="inlineStr">
        <is>
          <t>INT-03-SC2</t>
        </is>
      </c>
      <c r="C10" s="11" t="inlineStr">
        <is>
          <t>Autocomplete &amp; Sửa lỗi chính tả — Backend</t>
        </is>
      </c>
      <c r="D10" s="11" t="inlineStr">
        <is>
          <t>FR-SP-01, FR-AC-01, FR-AC-03</t>
        </is>
      </c>
      <c r="E10" s="11" t="inlineStr">
        <is>
          <t>Behavior</t>
        </is>
      </c>
      <c r="F10" s="11" t="inlineStr">
        <is>
          <t>Ngưỡng kích hoạt fuzzy-match — chưa chốt số cụ thể</t>
        </is>
      </c>
      <c r="G10" s="11" t="inlineStr">
        <is>
          <t>Từ điển catalogue đã index đầy đủ.</t>
        </is>
      </c>
      <c r="H10" s="11" t="inlineStr">
        <is>
          <t>1. Gọi API kiểm tra chính tả với các query lệch 1, 2, 3 ký tự so với từ hợp lệ "sữa tươi".
2. Ghi nhận query nào kích hoạt banner sửa lỗi, query nào không.</t>
        </is>
      </c>
      <c r="I10" s="11" t="inlineStr">
        <is>
          <t>"sua toui" (lệch 2) / "sabc tuoi" (lệch nhiều hơn)</t>
        </is>
      </c>
      <c r="J10" s="11" t="inlineStr">
        <is>
          <t>TBD — ngưỡng khoảng cách chính xác (số ký tự lệch tối đa) để kích hoạt banner sửa lỗi chưa được TD chốt. Yêu cầu tối thiểu: hệ thống phải nhất quán (cùng 1 khoảng cách lệch luôn cho kết quả giống nhau qua nhiều lần gọi). Xem QnA-03.</t>
        </is>
      </c>
      <c r="K10" s="11" t="inlineStr">
        <is>
          <t>Medium</t>
        </is>
      </c>
      <c r="L10" s="10" t="n"/>
      <c r="M10" s="10" t="inlineStr">
        <is>
          <t>N/A</t>
        </is>
      </c>
      <c r="N10" s="10" t="n"/>
      <c r="O10" s="10" t="n"/>
      <c r="P10" s="11" t="inlineStr">
        <is>
          <t>QnA-03</t>
        </is>
      </c>
      <c r="Q10" s="11" t="n"/>
    </row>
    <row r="11" ht="51" customHeight="1">
      <c r="A11" s="18" t="inlineStr">
        <is>
          <t>INT-04-SC1-TC1</t>
        </is>
      </c>
      <c r="B11" s="18" t="inlineStr">
        <is>
          <t>INT-04-SC1</t>
        </is>
      </c>
      <c r="C11" s="18" t="inlineStr">
        <is>
          <t>Cá nhân hoá — Tích hợp OMS (Order History)</t>
        </is>
      </c>
      <c r="D11" s="18" t="inlineStr">
        <is>
          <t>FR-PS-03</t>
        </is>
      </c>
      <c r="E11" s="18" t="inlineStr">
        <is>
          <t>Integration</t>
        </is>
      </c>
      <c r="F11" s="18" t="inlineStr">
        <is>
          <t>Search Service gọi đúng OMS API và lọc đúng điều kiện 90 ngày / COMPLETED</t>
        </is>
      </c>
      <c r="G11" s="18" t="inlineStr">
        <is>
          <t>OMS có API trả lịch sử đơn hàng COMPLETED trong 90 ngày gần nhất.</t>
        </is>
      </c>
      <c r="H11" s="18" t="inlineStr">
        <is>
          <t>1. Chuẩn bị dữ liệu OMS: 1 đơn CANCELLED trong 90 ngày, 1 đơn COMPLETED trong 90 ngày, 1 đơn COMPLETED cách đây 100 ngày (ngoài khung).
2. Gọi API "Thường mua" cho tài khoản test.
3. Kiểm tra response chỉ tính đơn COMPLETED trong đúng 90 ngày.</t>
        </is>
      </c>
      <c r="I11" s="18" t="inlineStr">
        <is>
          <t>3 đơn hàng: CANCELLED/90 ngày, COMPLETED/90 ngày, COMPLETED/100 ngày</t>
        </is>
      </c>
      <c r="J11" s="18" t="inlineStr">
        <is>
          <t>ĐÃ XÁC NHẬN (QnA-24): theo rule BRD - chỉ đơn COMPLETED trong CỬA SỔ THÍCH ỨNG 3-6 THÁNG (khởi đầu 3 tháng gần nhất; +1 tháng mỗi lần nếu tháng đó không có đơn; tối đa 6 tháng) được tính vào Order Count. Phạm vi = đơn của khách ở MỌI serving store (KHÔNG giới hạn 1 store). Đơn CANCELLED và đơn ngoài cửa sổ thích ứng bị loại. Test cần verify hành vi MỞ RỘNG cửa sổ 3-&gt;4-&gt;5-&gt;6 tháng, không hardcode 90 ngày.
Bổ sung (QnA-24 cập nhật 28/09/2026): Order Count tính trên đơn ở mọi store; danh sách trả về đã lọc theo storeId của Serving Store (chỉ SKU thuộc catalogue store đó, stock&gt;0) - chi tiết ở INT-04-SC1-TC3.</t>
        </is>
      </c>
      <c r="K11" s="18" t="inlineStr">
        <is>
          <t>High</t>
        </is>
      </c>
      <c r="L11" s="10" t="n"/>
      <c r="M11" s="10" t="inlineStr">
        <is>
          <t>Not Run</t>
        </is>
      </c>
      <c r="N11" s="10" t="n"/>
      <c r="O11" s="10" t="n"/>
      <c r="P11" s="18" t="inlineStr">
        <is>
          <t>QnA-24</t>
        </is>
      </c>
      <c r="Q11" s="18" t="inlineStr">
        <is>
          <t>RESOLVED QnA-24 (BA 24/08/2026): rule BRD (cửa sổ thích ứng 3-6 tháng), cross-store. Bỏ giả định '90 ngày cố định'.
QnA-24 BA cập nhật (nạp 28/09/2026): tách 2 lớp - lịch sử tính trên mọi store, hiển thị lọc theo Serving Store + còn hàng. Câu trả lời mới không nhắc lại cửa sổ thời gian; vẫn giữ cửa sổ thích ứng 3-6 tháng theo trả lời 24/08.</t>
        </is>
      </c>
    </row>
    <row r="12" ht="63.75" customHeight="1">
      <c r="A12" s="9" t="inlineStr">
        <is>
          <t>INT-04-SC1-TC2</t>
        </is>
      </c>
      <c r="B12" s="9" t="inlineStr">
        <is>
          <t>INT-04-SC1</t>
        </is>
      </c>
      <c r="C12" s="9" t="inlineStr">
        <is>
          <t>Cá nhân hoá — Tích hợp OMS (Order History)</t>
        </is>
      </c>
      <c r="D12" s="9" t="inlineStr">
        <is>
          <t>FR-PS-03</t>
        </is>
      </c>
      <c r="E12" s="9" t="inlineStr">
        <is>
          <t>Integration</t>
        </is>
      </c>
      <c r="F12" s="9" t="inlineStr">
        <is>
          <t>Timeout/lỗi từ OMS API — Search Service phải xử lý mềm dẻo (graceful degradation)</t>
        </is>
      </c>
      <c r="G12" s="9" t="inlineStr">
        <is>
          <t>OMS có API trả lịch sử đơn hàng COMPLETED trong 90 ngày gần nhất.</t>
        </is>
      </c>
      <c r="H12" s="9" t="inlineStr">
        <is>
          <t>1. Giả lập OMS API trả lỗi 5xx hoặc timeout.
2. Gọi API "Thường mua" cho tài khoản test.
3. Quan sát response từ Search Service.</t>
        </is>
      </c>
      <c r="I12" s="9" t="inlineStr">
        <is>
          <t>OMS API lỗi 5xx/timeout</t>
        </is>
      </c>
      <c r="J12" s="9" t="inlineStr">
        <is>
          <t>Search Service KHÔNG lỗi 5xx theo, trả về response hợp lệ (VD: mảng rỗng hoặc fallback sang Best-seller) thay vì để lỗi OMS lan ra làm hỏng toàn bộ trang Pre-search.</t>
        </is>
      </c>
      <c r="K12" s="9" t="inlineStr">
        <is>
          <t>High</t>
        </is>
      </c>
      <c r="L12" s="10" t="n"/>
      <c r="M12" s="10" t="inlineStr">
        <is>
          <t>Not Run</t>
        </is>
      </c>
      <c r="N12" s="10" t="n"/>
      <c r="O12" s="10" t="n"/>
      <c r="P12" s="9" t="n"/>
      <c r="Q12" s="9" t="n"/>
    </row>
    <row r="13" ht="63.75" customHeight="1">
      <c r="A13" s="9" t="inlineStr">
        <is>
          <t>INT-04-SC1-TC3</t>
        </is>
      </c>
      <c r="B13" s="9" t="inlineStr">
        <is>
          <t>INT-04-SC1</t>
        </is>
      </c>
      <c r="C13" s="9" t="inlineStr">
        <is>
          <t>Cá nhân hoá — Tích hợp OMS (Order History)</t>
        </is>
      </c>
      <c r="D13" s="9" t="inlineStr">
        <is>
          <t>FR-PS-03</t>
        </is>
      </c>
      <c r="E13" s="9" t="inlineStr">
        <is>
          <t>Integration</t>
        </is>
      </c>
      <c r="F13" s="9" t="inlineStr">
        <is>
          <t>API "Thường mua": Order Count tính trên đơn ở mọi store, danh sách trả về lọc theo storeId + còn hàng</t>
        </is>
      </c>
      <c r="G13" s="9" t="inlineStr">
        <is>
          <t>OMS có đơn COMPLETED của cùng 1 khách ở Store A và Store B; Inventory có tồn kho theo từng store.</t>
        </is>
      </c>
      <c r="H13" s="9" t="inlineStr">
        <is>
          <t>1. Seed OMS như SS-SCR-001-SC4-TC5 (SKU-P 1 đơn A + 3 đơn B; SKU-Q 2 đơn B; SKU-R 5 đơn B; SKU-S 3 đơn A).
2. Gọi API "Thường mua" với storeId = A.
3. Gọi lại với storeId = B.
4. So sánh Order Count và danh sách SKU của 2 response.</t>
        </is>
      </c>
      <c r="I13" s="9" t="inlineStr">
        <is>
          <t>SKU-R không thuộc catalogue A; SKU-S tồn kho tại A = 0 và không thuộc catalogue B.</t>
        </is>
      </c>
      <c r="J13" s="9" t="inlineStr">
        <is>
          <t>Order Count của SKU-P = 4 ở CẢ HAI lần gọi (tính trên mọi store, không phụ thuộc storeId).
storeId=A: trả SKU-P, SKU-Q; không có SKU-R (ngoài catalogue A), không có SKU-S (stock=0 tại A).
storeId=B: trả SKU-R, SKU-P, SKU-Q theo đúng thứ tự Order Count; không có SKU-S.
Lọc theo store áp dụng SAU khi xếp hạng (lớp 2), không lọc đơn hàng đầu vào (lớp 1).</t>
        </is>
      </c>
      <c r="K13" s="9" t="inlineStr">
        <is>
          <t>High</t>
        </is>
      </c>
      <c r="L13" s="10" t="n"/>
      <c r="M13" s="10" t="inlineStr">
        <is>
          <t>Not Run</t>
        </is>
      </c>
      <c r="N13" s="10" t="n"/>
      <c r="O13" s="10" t="n"/>
      <c r="P13" s="9" t="inlineStr">
        <is>
          <t>QnA-24</t>
        </is>
      </c>
      <c r="Q13" s="9" t="inlineStr">
        <is>
          <t>Thêm mới 28/09/2026 theo câu trả lời cập nhật QnA-24.</t>
        </is>
      </c>
    </row>
    <row r="14" ht="63.75" customHeight="1">
      <c r="A14" s="9" t="inlineStr">
        <is>
          <t>INT-05-SC1-TC1</t>
        </is>
      </c>
      <c r="B14" s="9" t="inlineStr">
        <is>
          <t>INT-05-SC1</t>
        </is>
      </c>
      <c r="C14" s="9" t="inlineStr">
        <is>
          <t>Sponsored Ads — Tích hợp Retail Media</t>
        </is>
      </c>
      <c r="D14" s="9" t="inlineStr">
        <is>
          <t>FR-PR-05</t>
        </is>
      </c>
      <c r="E14" s="9" t="inlineStr">
        <is>
          <t>Integration</t>
        </is>
      </c>
      <c r="F14" s="9" t="inlineStr">
        <is>
          <t>Tích hợp đúng luồng request/response với Retail Media Platform</t>
        </is>
      </c>
      <c r="G14" s="9" t="inlineStr">
        <is>
          <t>Retail Media Platform có ≥1 chiến dịch active cho từ khoá test.</t>
        </is>
      </c>
      <c r="H14" s="9" t="inlineStr">
        <is>
          <t>1. Thiết lập 1 chiến dịch Sponsored active cho từ khoá "sữa chua".
2. Gọi API tìm kiếm với query="sữa chua".
3. Kiểm tra response có field is_sponsored=true cho đúng SKU đã cấu hình chiến dịch.</t>
        </is>
      </c>
      <c r="I14" s="9" t="inlineStr">
        <is>
          <t>Chiến dịch Sponsored cho "sữa chua"</t>
        </is>
      </c>
      <c r="J14" s="9" t="inlineStr">
        <is>
          <t>Response API trả đúng SKU tài trợ với cờ is_sponsored=true; SKU không thuộc chiến dịch nào có is_sponsored=false hoặc không có field này.</t>
        </is>
      </c>
      <c r="K14" s="9" t="inlineStr">
        <is>
          <t>High</t>
        </is>
      </c>
      <c r="L14" s="10" t="n"/>
      <c r="M14" s="10" t="inlineStr">
        <is>
          <t>Not Run</t>
        </is>
      </c>
      <c r="N14" s="10" t="n"/>
      <c r="O14" s="10" t="n"/>
      <c r="P14" s="9" t="n"/>
      <c r="Q14" s="9" t="n"/>
    </row>
    <row r="15" ht="51" customHeight="1">
      <c r="A15" s="9" t="inlineStr">
        <is>
          <t>INT-05-SC1-TC2</t>
        </is>
      </c>
      <c r="B15" s="9" t="inlineStr">
        <is>
          <t>INT-05-SC1</t>
        </is>
      </c>
      <c r="C15" s="9" t="inlineStr">
        <is>
          <t>Sponsored Ads — Tích hợp Retail Media</t>
        </is>
      </c>
      <c r="D15" s="9" t="inlineStr">
        <is>
          <t>FR-PR-05</t>
        </is>
      </c>
      <c r="E15" s="9" t="inlineStr">
        <is>
          <t>Integration</t>
        </is>
      </c>
      <c r="F15" s="9" t="inlineStr">
        <is>
          <t>Retail Media Platform timeout — Search Service vẫn trả kết quả tự nhiên (organic)</t>
        </is>
      </c>
      <c r="G15" s="9" t="inlineStr">
        <is>
          <t>Retail Media Platform có ≥1 chiến dịch active cho từ khoá test.</t>
        </is>
      </c>
      <c r="H15" s="9" t="inlineStr">
        <is>
          <t>1. Giả lập Retail Media Platform timeout.
2. Gọi API tìm kiếm với query có chiến dịch sponsored đang chạy.
3. Quan sát response.</t>
        </is>
      </c>
      <c r="I15" s="9" t="inlineStr">
        <is>
          <t>Retail Media timeout</t>
        </is>
      </c>
      <c r="J15" s="9" t="inlineStr">
        <is>
          <t>Search Service vẫn trả về đầy đủ kết quả tự nhiên (organic results) đúng hạn, không bị chặn/timeout theo lỗi của Retail Media — xác nhận cơ chế circuit-breaker/timeout riêng biệt giữa 2 service.</t>
        </is>
      </c>
      <c r="K15" s="9" t="inlineStr">
        <is>
          <t>High</t>
        </is>
      </c>
      <c r="L15" s="10" t="n"/>
      <c r="M15" s="10" t="inlineStr">
        <is>
          <t>Not Run</t>
        </is>
      </c>
      <c r="N15" s="10" t="n"/>
      <c r="O15" s="10" t="n"/>
      <c r="P15" s="9" t="n"/>
      <c r="Q15" s="9" t="n"/>
    </row>
    <row r="16" ht="63.75" customHeight="1">
      <c r="A16" s="9" t="inlineStr">
        <is>
          <t>INT-06-SC1-TC1</t>
        </is>
      </c>
      <c r="B16" s="9" t="inlineStr">
        <is>
          <t>INT-06-SC1</t>
        </is>
      </c>
      <c r="C16" s="9" t="inlineStr">
        <is>
          <t>Tìm bằng ảnh — Tích hợp Computer Vision Service</t>
        </is>
      </c>
      <c r="D16" s="9" t="inlineStr">
        <is>
          <t>FR-IS-01, FR-IS-03, FR-IS-05, FR-IS-07</t>
        </is>
      </c>
      <c r="E16" s="9" t="inlineStr">
        <is>
          <t>Integration</t>
        </is>
      </c>
      <c r="F16" s="9" t="inlineStr">
        <is>
          <t>Ánh xạ kết quả CV Service sang đúng Product_ID trong catalogue</t>
        </is>
      </c>
      <c r="G16" s="9" t="inlineStr">
        <is>
          <t>CV Service hoạt động bình thường, đã train trên catalogue LOTTE Mart.</t>
        </is>
      </c>
      <c r="H16" s="9" t="inlineStr">
        <is>
          <t>1. Gửi ảnh hộp sữa TH True Milk tới API tìm bằng ảnh.
2. Kiểm tra CV Service trả về nhãn/embedding gì.
3. Kiểm tra Search Service map đúng sang Product_ID thực tế đang bán trên MART.</t>
        </is>
      </c>
      <c r="I16" s="9" t="inlineStr">
        <is>
          <t>Ảnh hộp sữa TH True Milk</t>
        </is>
      </c>
      <c r="J16" s="9" t="inlineStr">
        <is>
          <t>Danh sách Product_ID trả về đều tồn tại thực tế trong catalogue đang bán (is_active=true), không có Product_ID rác/không tồn tại/ngừng bán.</t>
        </is>
      </c>
      <c r="K16" s="9" t="inlineStr">
        <is>
          <t>High</t>
        </is>
      </c>
      <c r="L16" s="10" t="n"/>
      <c r="M16" s="10" t="inlineStr">
        <is>
          <t>Not Run</t>
        </is>
      </c>
      <c r="N16" s="10" t="n"/>
      <c r="O16" s="10" t="n"/>
      <c r="P16" s="9" t="n"/>
      <c r="Q16" s="9" t="n"/>
    </row>
    <row r="17" ht="76.5" customHeight="1">
      <c r="A17" s="9" t="inlineStr">
        <is>
          <t>INT-06-SC1-TC2</t>
        </is>
      </c>
      <c r="B17" s="9" t="inlineStr">
        <is>
          <t>INT-06-SC1</t>
        </is>
      </c>
      <c r="C17" s="9" t="inlineStr">
        <is>
          <t>Tìm bằng ảnh — Tích hợp Computer Vision Service</t>
        </is>
      </c>
      <c r="D17" s="9" t="inlineStr">
        <is>
          <t>FR-IS-01, FR-IS-03, FR-IS-05, FR-IS-07</t>
        </is>
      </c>
      <c r="E17" s="9" t="inlineStr">
        <is>
          <t>Integration</t>
        </is>
      </c>
      <c r="F17" s="9" t="inlineStr">
        <is>
          <t>CV Service trả lỗi/timeout — Search Service chuyển đúng sang luồng lỗi nhận diện</t>
        </is>
      </c>
      <c r="G17" s="9" t="inlineStr">
        <is>
          <t>CV Service hoạt động bình thường, đã train trên catalogue LOTTE Mart.</t>
        </is>
      </c>
      <c r="H17" s="9" t="inlineStr">
        <is>
          <t>1. Giả lập CV Service trả lỗi 5xx hoặc timeout khi xử lý ảnh.
2. Gửi ảnh hợp lệ qua API tìm bằng ảnh.
3. Quan sát response/mã lỗi trả về cho client.</t>
        </is>
      </c>
      <c r="I17" s="9" t="inlineStr">
        <is>
          <t>CV Service lỗi 5xx/timeout</t>
        </is>
      </c>
      <c r="J17" s="9" t="inlineStr">
        <is>
          <t>Search Service trả về mã lỗi/response rõ ràng để client hiển thị đúng màn "Không nhận diện được" (SS-SCR-016), không để lỗi hệ thống (5xx thô) lộ ra client hoặc làm crash app.</t>
        </is>
      </c>
      <c r="K17" s="9" t="inlineStr">
        <is>
          <t>High</t>
        </is>
      </c>
      <c r="L17" s="10" t="n"/>
      <c r="M17" s="10" t="inlineStr">
        <is>
          <t>Not Run</t>
        </is>
      </c>
      <c r="N17" s="10" t="n"/>
      <c r="O17" s="10" t="n"/>
      <c r="P17" s="9" t="n"/>
      <c r="Q17" s="9" t="n"/>
    </row>
    <row r="18" ht="63.75" customHeight="1">
      <c r="A18" s="9" t="inlineStr">
        <is>
          <t>INT-06-SC1-TC3</t>
        </is>
      </c>
      <c r="B18" s="9" t="inlineStr">
        <is>
          <t>INT-06-SC1</t>
        </is>
      </c>
      <c r="C18" s="9" t="inlineStr">
        <is>
          <t>Tìm bằng ảnh — Tích hợp Computer Vision Service</t>
        </is>
      </c>
      <c r="D18" s="9" t="inlineStr">
        <is>
          <t>FR-IS-01, FR-IS-03, FR-IS-05, FR-IS-07</t>
        </is>
      </c>
      <c r="E18" s="9" t="inlineStr">
        <is>
          <t>Performance</t>
        </is>
      </c>
      <c r="F18" s="9" t="inlineStr">
        <is>
          <t>P95 thời gian xử lý ảnh đầu-cuối (upload → CV Service → mapping → response) &lt; 3.000ms</t>
        </is>
      </c>
      <c r="G18" s="9" t="inlineStr">
        <is>
          <t>CV Service hoạt động bình thường, đã train trên catalogue LOTTE Mart.</t>
        </is>
      </c>
      <c r="H18" s="9" t="inlineStr">
        <is>
          <t>1. Gửi 30+ ảnh chuẩn qua API tìm bằng ảnh trong điều kiện tải bình thường.
2. Đo thời gian từ lúc server nhận ảnh tới lúc trả response (không tính thời gian upload từ client).
3. Tính p95.</t>
        </is>
      </c>
      <c r="I18" s="9" t="inlineStr">
        <is>
          <t>30+ ảnh chuẩn</t>
        </is>
      </c>
      <c r="J18" s="9" t="inlineStr">
        <is>
          <t>p95 thời gian xử lý server-side &lt; 3.000ms — đạt FR-IS-07.</t>
        </is>
      </c>
      <c r="K18" s="9" t="inlineStr">
        <is>
          <t>High</t>
        </is>
      </c>
      <c r="L18" s="10" t="n"/>
      <c r="M18" s="10" t="inlineStr">
        <is>
          <t>Not Run</t>
        </is>
      </c>
      <c r="N18" s="10" t="n"/>
      <c r="O18" s="10" t="n"/>
      <c r="P18" s="9" t="n"/>
      <c r="Q18" s="9" t="n"/>
    </row>
    <row r="19" ht="63.75" customHeight="1">
      <c r="A19" s="9" t="inlineStr">
        <is>
          <t>INT-07-SC1-TC1</t>
        </is>
      </c>
      <c r="B19" s="9" t="inlineStr">
        <is>
          <t>INT-07-SC1</t>
        </is>
      </c>
      <c r="C19" s="9" t="inlineStr">
        <is>
          <t>Tìm bằng giọng nói — Tích hợp Speech-to-Text Service</t>
        </is>
      </c>
      <c r="D19" s="9" t="inlineStr">
        <is>
          <t>FR-VS-01, FR-VS-04, FR-VS-06</t>
        </is>
      </c>
      <c r="E19" s="9" t="inlineStr">
        <is>
          <t>Integration</t>
        </is>
      </c>
      <c r="F19" s="9" t="inlineStr">
        <is>
          <t>Transcript từ STT Service được xử lý qua đúng pipeline Query Understanding như Text Search</t>
        </is>
      </c>
      <c r="G19" s="9" t="inlineStr">
        <is>
          <t>STT Service hỗ trợ tiếng Việt, đang hoạt động bình thường.</t>
        </is>
      </c>
      <c r="H19" s="9" t="inlineStr">
        <is>
          <t>1. Gửi audio nói "sua tuoi" (giọng địa phương, không dấu rõ) qua API voice search.
2. Kiểm tra transcript STT Service trả về.
3. Kiểm tra kết quả tìm kiếm cuối cùng có áp dụng đúng chuẩn hoá dấu/đồng nghĩa như Text Search không.</t>
        </is>
      </c>
      <c r="I19" s="9" t="inlineStr">
        <is>
          <t>Audio: "sua tuoi" (giọng địa phương)</t>
        </is>
      </c>
      <c r="J19" s="9" t="inlineStr">
        <is>
          <t>Kết quả tìm kiếm từ giọng nói phải tương đương với khi gõ tay cùng transcript đó vào Text Search — xác nhận dùng chung 1 pipeline xử lý truy vấn.</t>
        </is>
      </c>
      <c r="K19" s="9" t="inlineStr">
        <is>
          <t>High</t>
        </is>
      </c>
      <c r="L19" s="10" t="n"/>
      <c r="M19" s="10" t="inlineStr">
        <is>
          <t>Not Run</t>
        </is>
      </c>
      <c r="N19" s="10" t="n"/>
      <c r="O19" s="10" t="n"/>
      <c r="P19" s="9" t="n"/>
      <c r="Q19" s="9" t="n"/>
    </row>
    <row r="20" ht="51" customHeight="1">
      <c r="A20" s="11" t="inlineStr">
        <is>
          <t>INT-07-SC1-TC2</t>
        </is>
      </c>
      <c r="B20" s="11" t="inlineStr">
        <is>
          <t>INT-07-SC1</t>
        </is>
      </c>
      <c r="C20" s="11" t="inlineStr">
        <is>
          <t>Tìm bằng giọng nói — Tích hợp Speech-to-Text Service</t>
        </is>
      </c>
      <c r="D20" s="11" t="inlineStr">
        <is>
          <t>FR-VS-01, FR-VS-04, FR-VS-06</t>
        </is>
      </c>
      <c r="E20" s="11" t="inlineStr">
        <is>
          <t>Behavior</t>
        </is>
      </c>
      <c r="F20" s="11" t="inlineStr">
        <is>
          <t>STT confidence thấp — hệ thống xử lý số đếm/đơn vị chưa được chốt</t>
        </is>
      </c>
      <c r="G20" s="11" t="inlineStr">
        <is>
          <t>STT Service hỗ trợ tiếng Việt, đang hoạt động bình thường.</t>
        </is>
      </c>
      <c r="H20" s="11" t="inlineStr">
        <is>
          <t>1. Gửi audio "sữa tươi hai lít".
2. Kiểm tra transcript STT trả về (giữ nguyên chữ số hay chuyển "hai" thành "2"?).
3. Kiểm tra truy vấn cuối cùng gửi vào Search Engine.</t>
        </is>
      </c>
      <c r="I20" s="11" t="inlineStr">
        <is>
          <t>Audio: "sữa tươi hai lít"</t>
        </is>
      </c>
      <c r="J20" s="11" t="inlineStr">
        <is>
          <t>OUT OF SCOPE v1 (QnA-17): xử lý số đếm/đơn vị đã bỏ khỏi scope. Voice = voice-to-text -&gt; text search bình thường (QnA-46). Giữ TC tham chiếu; yêu cầu tối thiểu: không lỗi hệ thống, truy vấn cuối vẫn chứa 'sữa tươi'.</t>
        </is>
      </c>
      <c r="K20" s="11" t="inlineStr">
        <is>
          <t>Medium</t>
        </is>
      </c>
      <c r="L20" s="10" t="n"/>
      <c r="M20" s="10" t="inlineStr">
        <is>
          <t>N/A</t>
        </is>
      </c>
      <c r="N20" s="10" t="n"/>
      <c r="O20" s="10" t="n"/>
      <c r="P20" s="11" t="inlineStr">
        <is>
          <t>QnA-17</t>
        </is>
      </c>
      <c r="Q20" s="11" t="inlineStr">
        <is>
          <t>OUT OF SCOPE v1 - QnA-17 (BA 24/08/2026).</t>
        </is>
      </c>
    </row>
    <row r="21" ht="89.25" customHeight="1">
      <c r="A21" s="9" t="inlineStr">
        <is>
          <t>INT-08-SC1-TC1</t>
        </is>
      </c>
      <c r="B21" s="9" t="inlineStr">
        <is>
          <t>INT-08-SC1</t>
        </is>
      </c>
      <c r="C21" s="9" t="inlineStr">
        <is>
          <t>Thêm giỏ hàng — Tích hợp Cart/OMS Transactional</t>
        </is>
      </c>
      <c r="D21" s="9" t="inlineStr">
        <is>
          <t>Không có FR ID rõ ràng — xem QnA-07</t>
        </is>
      </c>
      <c r="E21" s="9" t="inlineStr">
        <is>
          <t>Integration</t>
        </is>
      </c>
      <c r="F21" s="9" t="inlineStr">
        <is>
          <t>Xử lý đồng thời (concurrency) khi nhiều khách cùng thêm giỏ 1 SKU sắp hết hàng</t>
        </is>
      </c>
      <c r="G21" s="9" t="inlineStr">
        <is>
          <t>1 SKU có tồn kho giới hạn (VD: 5 sản phẩm).</t>
        </is>
      </c>
      <c r="H21" s="9" t="inlineStr">
        <is>
          <t>1. Thiết lập 1 SKU tồn kho = 5.
2. Gửi đồng thời 10 request thêm giỏ (mỗi request thêm 1 đơn vị) từ 10 phiên khác nhau.
3. Kiểm tra tổng số lượng thực tế được thêm thành công vào các giỏ hàng.</t>
        </is>
      </c>
      <c r="I21" s="9" t="inlineStr">
        <is>
          <t>Tồn kho=5, 10 request đồng thời</t>
        </is>
      </c>
      <c r="J21" s="9" t="inlineStr">
        <is>
          <t>OUT OF SCOPE Smart Search (QnA-07): API thêm giỏ hàng ngoài scope Smart Search (thuộc module giỏ hàng). Giữ TC để bàn giao bộ test module giỏ hàng.</t>
        </is>
      </c>
      <c r="K21" s="9" t="inlineStr">
        <is>
          <t>High</t>
        </is>
      </c>
      <c r="L21" s="10" t="n"/>
      <c r="M21" s="10" t="inlineStr">
        <is>
          <t>Not Run</t>
        </is>
      </c>
      <c r="N21" s="10" t="n"/>
      <c r="O21" s="10" t="n"/>
      <c r="P21" s="9" t="inlineStr">
        <is>
          <t>QnA-07</t>
        </is>
      </c>
      <c r="Q21" s="9" t="inlineStr">
        <is>
          <t>OUT OF SCOPE - QnA-07 (BA 24/08/2026): Add to cart ngoài scope Smart Search.</t>
        </is>
      </c>
    </row>
    <row r="22" ht="76.5" customHeight="1">
      <c r="A22" s="9" t="inlineStr">
        <is>
          <t>INT-08-SC1-TC2</t>
        </is>
      </c>
      <c r="B22" s="9" t="inlineStr">
        <is>
          <t>INT-08-SC1</t>
        </is>
      </c>
      <c r="C22" s="9" t="inlineStr">
        <is>
          <t>Thêm giỏ hàng — Tích hợp Cart/OMS Transactional</t>
        </is>
      </c>
      <c r="D22" s="9" t="inlineStr">
        <is>
          <t>Không có FR ID rõ ràng — xem QnA-07</t>
        </is>
      </c>
      <c r="E22" s="9" t="inlineStr">
        <is>
          <t>Integration</t>
        </is>
      </c>
      <c r="F22" s="9" t="inlineStr">
        <is>
          <t>Optimistic UI update đồng bộ đúng với trạng thái giỏ hàng thực tế trên OMS</t>
        </is>
      </c>
      <c r="G22" s="9" t="inlineStr">
        <is>
          <t>1 SKU có tồn kho giới hạn (VD: 5 sản phẩm).</t>
        </is>
      </c>
      <c r="H22" s="9" t="inlineStr">
        <is>
          <t>1. Thêm 1 sản phẩm vào giỏ qua API.
2. Gọi API lấy trạng thái giỏ hàng hiện tại từ OMS.
3. So sánh với optimistic update đã hiển thị ở client.</t>
        </is>
      </c>
      <c r="I22" s="9" t="inlineStr">
        <is>
          <t>1 SKU thêm giỏ</t>
        </is>
      </c>
      <c r="J22" s="9" t="inlineStr">
        <is>
          <t>OUT OF SCOPE Smart Search (QnA-07): API thêm giỏ hàng ngoài scope Smart Search (thuộc module giỏ hàng). Giữ TC để bàn giao bộ test module giỏ hàng.</t>
        </is>
      </c>
      <c r="K22" s="9" t="inlineStr">
        <is>
          <t>Medium</t>
        </is>
      </c>
      <c r="L22" s="10" t="n"/>
      <c r="M22" s="10" t="inlineStr">
        <is>
          <t>Not Run</t>
        </is>
      </c>
      <c r="N22" s="10" t="n"/>
      <c r="O22" s="10" t="n"/>
      <c r="P22" s="9" t="inlineStr">
        <is>
          <t>QnA-07</t>
        </is>
      </c>
      <c r="Q22" s="9" t="inlineStr">
        <is>
          <t>OUT OF SCOPE - QnA-07 (BA 24/08/2026): Add to cart ngoài scope Smart Search.</t>
        </is>
      </c>
    </row>
    <row r="23" ht="63.75" customHeight="1">
      <c r="A23" s="11" t="inlineStr">
        <is>
          <t>INT-09-SC1-TC1</t>
        </is>
      </c>
      <c r="B23" s="11" t="inlineStr">
        <is>
          <t>INT-09-SC1</t>
        </is>
      </c>
      <c r="C23" s="11" t="inlineStr">
        <is>
          <t>Catalog &amp; Inventory — Đồng bộ tồn kho thời gian thực</t>
        </is>
      </c>
      <c r="D23" s="11" t="inlineStr">
        <is>
          <t>Liên quan FR-PR-01 (Out-of-stock override)</t>
        </is>
      </c>
      <c r="E23" s="11" t="inlineStr">
        <is>
          <t>Integration</t>
        </is>
      </c>
      <c r="F23" s="11" t="inlineStr">
        <is>
          <t>Độ trễ đồng bộ tồn kho từ Inventory Service sang Search Index</t>
        </is>
      </c>
      <c r="G23" s="11" t="inlineStr">
        <is>
          <t>1 SKU đang còn hàng (stock=10) trong Search Index.</t>
        </is>
      </c>
      <c r="H23" s="11" t="inlineStr">
        <is>
          <t>1. Xác nhận SKU-X đang stock=10 trong Search Index (còn hàng khi tìm kiếm).
2. Cập nhật Inventory Service: SKU-X → stock=0.
3. Đo thời gian từ lúc cập nhật tới khi Search Index phản ánh đúng SKU-X hết hàng (out-of-stock override có hiệu lực).</t>
        </is>
      </c>
      <c r="I23" s="11" t="inlineStr">
        <is>
          <t>SKU-X: 10 → 0</t>
        </is>
      </c>
      <c r="J23" s="11" t="inlineStr">
        <is>
          <t>TBD — SLA đồng bộ cụ thể (VD: &lt;30s, &lt;5 phút, hay near-realtime qua event streaming) chưa được TD xác nhận trong BRD hiện tại. Yêu cầu tối thiểu: có đồng bộ (không phải batch job chạy 1 lần/ngày), tránh trường hợp khách đặt được SKU đã hết hàng thực tế. Xem QnA-03.</t>
        </is>
      </c>
      <c r="K23" s="11" t="inlineStr">
        <is>
          <t>High</t>
        </is>
      </c>
      <c r="L23" s="10" t="n"/>
      <c r="M23" s="10" t="inlineStr">
        <is>
          <t>N/A</t>
        </is>
      </c>
      <c r="N23" s="10" t="n"/>
      <c r="O23" s="10" t="n"/>
      <c r="P23" s="11" t="inlineStr">
        <is>
          <t>QnA-03</t>
        </is>
      </c>
      <c r="Q23" s="11" t="n"/>
    </row>
    <row r="24" ht="63.75" customHeight="1">
      <c r="A24" s="9" t="inlineStr">
        <is>
          <t>INT-09-SC2-TC1</t>
        </is>
      </c>
      <c r="B24" s="9" t="inlineStr">
        <is>
          <t>INT-09-SC2</t>
        </is>
      </c>
      <c r="C24" s="9" t="inlineStr">
        <is>
          <t>Catalog &amp; Inventory — Đồng bộ tồn kho thời gian thực</t>
        </is>
      </c>
      <c r="D24" s="9" t="inlineStr">
        <is>
          <t>Rule BA 2026-08-24 (rule 1)</t>
        </is>
      </c>
      <c r="E24" s="9" t="inlineStr">
        <is>
          <t>Functional</t>
        </is>
      </c>
      <c r="F24" s="9" t="inlineStr">
        <is>
          <t>Full sync ban đầu (OMS → OpenSearch) index đúng toàn bộ catalogue, kèm chuẩn hoá + gắn tag</t>
        </is>
      </c>
      <c r="G24" s="9" t="inlineStr">
        <is>
          <t>Tính năng vừa lên (go-live), OMS có dữ liệu sản phẩm đầy đủ.</t>
        </is>
      </c>
      <c r="H24" s="9" t="inlineStr">
        <is>
          <t>1. Kích hoạt Full sync từ OMS sang OpenSearch.
2. Sau khi hoàn tất, kiểm tra ngẫu nhiên N sản phẩm: so sánh dữ liệu đã index (tên, tag) với dữ liệu gốc OMS đã qua chuẩn hoá.</t>
        </is>
      </c>
      <c r="I24" s="9" t="inlineStr">
        <is>
          <t>Toàn bộ catalogue OMS, mẫu ngẫu nhiên N SKU để đối chiếu</t>
        </is>
      </c>
      <c r="J24" s="9" t="inlineStr">
        <is>
          <t>100% sản phẩm được index; dữ liệu tên/short description đã qua chuẩn hoá đúng quy trình (rule 4); tag category được gắn đúng.</t>
        </is>
      </c>
      <c r="K24" s="9" t="inlineStr">
        <is>
          <t>High</t>
        </is>
      </c>
      <c r="L24" s="10" t="n"/>
      <c r="M24" s="10" t="inlineStr">
        <is>
          <t>Not Run</t>
        </is>
      </c>
      <c r="N24" s="10" t="n"/>
      <c r="O24" s="10" t="n"/>
      <c r="P24" s="9" t="n"/>
      <c r="Q24" s="9" t="inlineStr">
        <is>
          <t>Rule mới bổ sung 2026-08-24 (AI_CONTEXT.md §3e, rule 1). Test case backend/vận hành, không kiểm qua UI khách hàng trực tiếp — cần môi trường test có quyền trigger Full sync.</t>
        </is>
      </c>
    </row>
    <row r="25" ht="76.5" customHeight="1">
      <c r="A25" s="9" t="inlineStr">
        <is>
          <t>INT-09-SC2-TC2</t>
        </is>
      </c>
      <c r="B25" s="9" t="inlineStr">
        <is>
          <t>INT-09-SC2</t>
        </is>
      </c>
      <c r="C25" s="9" t="inlineStr">
        <is>
          <t>Catalog &amp; Inventory — Đồng bộ tồn kho thời gian thực</t>
        </is>
      </c>
      <c r="D25" s="9" t="inlineStr">
        <is>
          <t>Rule BA 2026-08-24 (rule 1)</t>
        </is>
      </c>
      <c r="E25" s="9" t="inlineStr">
        <is>
          <t>Functional</t>
        </is>
      </c>
      <c r="F25" s="9" t="inlineStr">
        <is>
          <t>OMS update Tên/Short Description 1 SKU đã có — chỉ sync lại đúng SKU đó (incremental), không full-sync lại toàn catalogue</t>
        </is>
      </c>
      <c r="G25" s="9" t="inlineStr">
        <is>
          <t>Sản phẩm đã được index từ trước (qua Full sync).</t>
        </is>
      </c>
      <c r="H25" s="9" t="inlineStr">
        <is>
          <t>1. Sửa Tên hoặc Short Description của 1 SKU-X trên OMS.
2. Quan sát cơ chế sync được kích hoạt (log/monitoring): xác nhận CHỈ SKU-X được gửi sync lại, không phải toàn bộ catalogue.
3. Sau khi sync xong, tìm kiếm theo tên mới của SKU-X, xác nhận kết quả đã cập nhật.</t>
        </is>
      </c>
      <c r="I25" s="9" t="inlineStr">
        <is>
          <t>1 SKU-X, sửa Tên/Short Description</t>
        </is>
      </c>
      <c r="J25" s="9" t="inlineStr">
        <is>
          <t>Chỉ SKU-X (và các SKU khác thực sự có update) được gửi sync lại — KHÔNG trigger full sync toàn catalogue; sau khi sync, tìm kiếm theo tên mới trả về đúng SKU-X đã cập nhật.</t>
        </is>
      </c>
      <c r="K25" s="9" t="inlineStr">
        <is>
          <t>High</t>
        </is>
      </c>
      <c r="L25" s="10" t="n"/>
      <c r="M25" s="10" t="inlineStr">
        <is>
          <t>Not Run</t>
        </is>
      </c>
      <c r="N25" s="10" t="n"/>
      <c r="O25" s="10" t="n"/>
      <c r="P25" s="9" t="n"/>
      <c r="Q25" s="9" t="inlineStr">
        <is>
          <t>Rule mới bổ sung 2026-08-24 (AI_CONTEXT.md §3e, rule 1).</t>
        </is>
      </c>
    </row>
    <row r="26" ht="76.5" customHeight="1">
      <c r="A26" s="9" t="inlineStr">
        <is>
          <t>INT-09-SC3-TC1</t>
        </is>
      </c>
      <c r="B26" s="9" t="inlineStr">
        <is>
          <t>INT-09-SC3</t>
        </is>
      </c>
      <c r="C26" s="9" t="inlineStr">
        <is>
          <t>Catalog &amp; Inventory — Đồng bộ tồn kho thời gian thực</t>
        </is>
      </c>
      <c r="D26" s="9" t="inlineStr">
        <is>
          <t>Rule BA 2026-08-24 (rule 3)</t>
        </is>
      </c>
      <c r="E26" s="9" t="inlineStr">
        <is>
          <t>Negative</t>
        </is>
      </c>
      <c r="F26" s="9" t="inlineStr">
        <is>
          <t>Batch sync lỗi giữa chừng (lô 50 SKU) — toàn bộ batch đó KHÔNG được reflect</t>
        </is>
      </c>
      <c r="G26" s="9" t="inlineStr">
        <is>
          <t>Có 1 batch sync gồm 50 SKU đang chờ xử lý; giả lập lỗi xảy ra ở 1 SKU bất kỳ trong batch (VD dữ liệu SKU thứ 27/50 không hợp lệ).</t>
        </is>
      </c>
      <c r="H26" s="9" t="inlineStr">
        <is>
          <t>1. Chuẩn bị 1 batch 50 SKU trong đó có 1 SKU dữ liệu lỗi (VD thiếu field bắt buộc).
2. Chạy sync batch này.
3. Sau khi batch thất bại, kiểm tra TOÀN BỘ 50 SKU trong batch (kể cả 49 SKU dữ liệu hợp lệ) — có SKU nào được reflect vào index không?</t>
        </is>
      </c>
      <c r="I26" s="9" t="inlineStr">
        <is>
          <t>1 batch = 50 SKU, trong đó 1 SKU dữ liệu lỗi</t>
        </is>
      </c>
      <c r="J26" s="9" t="inlineStr">
        <is>
          <t>TOÀN BỘ 50 SKU trong batch lỗi đều KHÔNG được reflect vào index (all-or-nothing theo batch) — bao gồm cả 49 SKU dữ liệu hợp lệ, không có hiện tượng partial-success trong 1 batch.</t>
        </is>
      </c>
      <c r="K26" s="9" t="inlineStr">
        <is>
          <t>High</t>
        </is>
      </c>
      <c r="L26" s="10" t="n"/>
      <c r="M26" s="10" t="inlineStr">
        <is>
          <t>Not Run</t>
        </is>
      </c>
      <c r="N26" s="10" t="n"/>
      <c r="O26" s="10" t="n"/>
      <c r="P26" s="9" t="n"/>
      <c r="Q26" s="9" t="inlineStr">
        <is>
          <t>Rule mới bổ sung 2026-08-24 (AI_CONTEXT.md §3e, rule 3). Đây là hành vi ĐÃ ĐƯỢC XÁC NHẬN (không phải TBD) theo lời BA trong meeting — batch size cố định = 50 SKU.</t>
        </is>
      </c>
    </row>
    <row r="27" ht="63.75" customHeight="1">
      <c r="A27" s="9" t="inlineStr">
        <is>
          <t>INT-09-SC4-TC1</t>
        </is>
      </c>
      <c r="B27" s="9" t="inlineStr">
        <is>
          <t>INT-09-SC4</t>
        </is>
      </c>
      <c r="C27" s="9" t="inlineStr">
        <is>
          <t>Catalog &amp; Inventory — Đồng bộ tồn kho thời gian thực</t>
        </is>
      </c>
      <c r="D27" s="9" t="inlineStr">
        <is>
          <t>Rule BA 2026-08-24 (rule 4)</t>
        </is>
      </c>
      <c r="E27" s="9" t="inlineStr">
        <is>
          <t>Functional</t>
        </is>
      </c>
      <c r="F27" s="9" t="inlineStr">
        <is>
          <t>Quy trình index chạy đúng thứ tự: chuẩn hoá → translate → gắn tag category → Enrichment</t>
        </is>
      </c>
      <c r="G27" s="9" t="inlineStr">
        <is>
          <t>1 SKU mới từ OMS, có Tên/Short Description gốc (VD tiếng Việt, chưa dịch, chưa gắn tag).</t>
        </is>
      </c>
      <c r="H27" s="9" t="inlineStr">
        <is>
          <t>1. Đưa 1 SKU mới vào pipeline index.
2. Kiểm tra dữ liệu SKU sau từng bước: (a) sau chuẩn hoá — tên/short description đã sạch HTML/entity/boilerplate; (b) sau translate — có bản dịch (EN/KR); (c) sau gắn tag — có tag ở level category; (d) sau Enrichment — có bản không dấu + biến thể ngữ nghĩa.</t>
        </is>
      </c>
      <c r="I27" s="9" t="inlineStr">
        <is>
          <t>1 SKU mới, theo dõi qua từng bước pipeline</t>
        </is>
      </c>
      <c r="J27" s="9" t="inlineStr">
        <is>
          <t>Dữ liệu SKU đi qua đúng 4 bước theo thứ tự: chuẩn hoá (name, short description) → translate → gắn tag category → Enrichment (không dấu, ngữ nghĩa); mỗi bước đều để lại kết quả đúng như mô tả, không có bước nào bị bỏ qua hay thực hiện sai thứ tự.</t>
        </is>
      </c>
      <c r="K27" s="9" t="inlineStr">
        <is>
          <t>Medium</t>
        </is>
      </c>
      <c r="L27" s="10" t="n"/>
      <c r="M27" s="10" t="inlineStr">
        <is>
          <t>Not Run</t>
        </is>
      </c>
      <c r="N27" s="10" t="n"/>
      <c r="O27" s="10" t="n"/>
      <c r="P27" s="9" t="n"/>
      <c r="Q27" s="9" t="inlineStr">
        <is>
          <t>Rule mới bổ sung 2026-08-24 (AI_CONTEXT.md §3e, rule 4). Test case backend, cần môi trường có visibility vào pipeline index (log/staging data theo từng bước).</t>
        </is>
      </c>
    </row>
    <row r="28" ht="51" customHeight="1">
      <c r="A28" s="9" t="inlineStr">
        <is>
          <t>INT-09-SC5-TC1</t>
        </is>
      </c>
      <c r="B28" s="9" t="inlineStr">
        <is>
          <t>INT-09-SC5</t>
        </is>
      </c>
      <c r="C28" s="9" t="inlineStr">
        <is>
          <t>Catalog &amp; Inventory — Đồng bộ tồn kho thời gian thực</t>
        </is>
      </c>
      <c r="D28" s="9" t="inlineStr">
        <is>
          <t>Rule BA 2026-08-24 (rule 2)</t>
        </is>
      </c>
      <c r="E28" s="9" t="inlineStr">
        <is>
          <t>Functional</t>
        </is>
      </c>
      <c r="F28" s="9" t="inlineStr">
        <is>
          <t>Sản phẩm không Active bị loại khỏi Search Index — Elasticsearch chỉ hiển thị sản phẩm Active</t>
        </is>
      </c>
      <c r="G28" s="9" t="inlineStr">
        <is>
          <t>Có ≥1 SKU ở trạng thái không Active trong OMS.</t>
        </is>
      </c>
      <c r="H28" s="9" t="inlineStr">
        <is>
          <t>1. Xác nhận 1 SKU-Y ở trạng thái không Active trên OMS.
2. Sau khi sync/index, kiểm tra trực tiếp Search Index (hoặc gọi Search API) — SKU-Y có tồn tại trong index/kết quả không, dưới bất kỳ query nào (kể cả khớp 100% tên)?</t>
        </is>
      </c>
      <c r="I28" s="9" t="inlineStr">
        <is>
          <t>1 SKU không Active</t>
        </is>
      </c>
      <c r="J28" s="9" t="inlineStr">
        <is>
          <t>SKU-Y KHÔNG xuất hiện trong Search Index/kết quả trả về của Elasticsearch, dưới mọi query — đúng rule 2 (Elasticsearch chỉ hiển thị sản phẩm Active).</t>
        </is>
      </c>
      <c r="K28" s="9" t="inlineStr">
        <is>
          <t>High</t>
        </is>
      </c>
      <c r="L28" s="10" t="n"/>
      <c r="M28" s="10" t="inlineStr">
        <is>
          <t>Not Run</t>
        </is>
      </c>
      <c r="N28" s="10" t="n"/>
      <c r="O28" s="10" t="n"/>
      <c r="P28" s="9" t="inlineStr">
        <is>
          <t>QnA-69</t>
        </is>
      </c>
      <c r="Q28" s="9" t="inlineStr">
        <is>
          <t>Rule mới bổ sung 2026-08-24 (AI_CONTEXT.md §3e, rule 2). Bản backend của SS-SCR-005-SC12-TC1. LƯU Ý: field "Active" tạm dùng `status`, CHƯA xác nhận chính thức BA/Dev — xem QnA-69.</t>
        </is>
      </c>
    </row>
    <row r="29" ht="76.5" customHeight="1">
      <c r="A29" s="9" t="inlineStr">
        <is>
          <t>INT-10-SC1-TC1</t>
        </is>
      </c>
      <c r="B29" s="9" t="inlineStr">
        <is>
          <t>INT-10-SC1</t>
        </is>
      </c>
      <c r="C29" s="9" t="inlineStr">
        <is>
          <t>Zero-Result Fallback Engine — Thuật toán gợi ý thay thế</t>
        </is>
      </c>
      <c r="D29" s="9" t="inlineStr">
        <is>
          <t>FR-ZR-02, FR-SM-07</t>
        </is>
      </c>
      <c r="E29" s="9" t="inlineStr">
        <is>
          <t>Functional</t>
        </is>
      </c>
      <c r="F29" s="9" t="inlineStr">
        <is>
          <t>Substitute engine trả đúng SKU tương đồng nhất, còn hàng, sắp theo similarity</t>
        </is>
      </c>
      <c r="G29" s="9" t="inlineStr">
        <is>
          <t>SKU gốc hết hàng, có ≥3 SKU cùng category với vector embedding gần.</t>
        </is>
      </c>
      <c r="H29" s="9" t="inlineStr">
        <is>
          <t>1. Chuẩn bị SKU gốc "Bia Corona" (hết hàng) và 5 SKU bia khác cùng category còn hàng với similarity score khác nhau.
2. Gọi API Substitute cho SKU gốc.
3. Kiểm tra danh sách trả về có đúng thứ tự similarity giảm dần và toàn bộ còn hàng không.</t>
        </is>
      </c>
      <c r="I29" s="9" t="inlineStr">
        <is>
          <t>SKU gốc hết hàng + 5 SKU cùng category</t>
        </is>
      </c>
      <c r="J29" s="9" t="inlineStr">
        <is>
          <t>Danh sách trả về chỉ gồm SKU còn hàng, sắp theo similarity score giảm dần; SKU có similarity thấp nhất trong nhóm ứng viên (nếu dưới ngưỡng tối thiểu) không được đưa vào danh sách.</t>
        </is>
      </c>
      <c r="K29" s="9" t="inlineStr">
        <is>
          <t>High</t>
        </is>
      </c>
      <c r="L29" s="10" t="n"/>
      <c r="M29" s="10" t="inlineStr">
        <is>
          <t>Not Run</t>
        </is>
      </c>
      <c r="N29" s="10" t="n"/>
      <c r="O29" s="10" t="n"/>
      <c r="P29" s="9" t="n"/>
      <c r="Q29" s="9" t="n"/>
    </row>
    <row r="30" ht="102" customHeight="1">
      <c r="A30" s="9" t="inlineStr">
        <is>
          <t>INT-10-SC2-TC1</t>
        </is>
      </c>
      <c r="B30" s="9" t="inlineStr">
        <is>
          <t>INT-10-SC2</t>
        </is>
      </c>
      <c r="C30" s="9" t="inlineStr">
        <is>
          <t>Zero-Result Fallback Engine — Thuật toán gợi ý thay thế</t>
        </is>
      </c>
      <c r="D30" s="9" t="inlineStr">
        <is>
          <t>FR-ZR-02, FR-SM-07</t>
        </is>
      </c>
      <c r="E30" s="9" t="inlineStr">
        <is>
          <t>Functional</t>
        </is>
      </c>
      <c r="F30" s="9" t="inlineStr">
        <is>
          <t>Cross-sell engine trả đúng sản phẩm có association rule mạnh nhất</t>
        </is>
      </c>
      <c r="G30" s="9" t="inlineStr">
        <is>
          <t>Có dữ liệu lịch sử đơn hàng đủ lớn để tính association rule (VD: Bia + Đậu phộng thường mua cùng nhau).</t>
        </is>
      </c>
      <c r="H30" s="9" t="inlineStr">
        <is>
          <t>1. Chuẩn bị dữ liệu lịch sử: "Bia Corona" thường được mua cùng "Đậu phộng rang" (confidence cao) và "Nước ngọt" (confidence thấp hơn).
2. Gọi API Cross-sell cho "Bia Corona".
3. Kiểm tra thứ tự sản phẩm trả về.</t>
        </is>
      </c>
      <c r="I30" s="9" t="inlineStr">
        <is>
          <t>Association rule: Bia+Đậu phộng (confidence cao), Bia+Nước ngọt (confidence thấp)</t>
        </is>
      </c>
      <c r="J30" s="9" t="inlineStr">
        <is>
          <t>"Đậu phộng rang" xếp trước "Nước ngọt" trong danh sách Cross-sell, đúng theo confidence score của association rule.</t>
        </is>
      </c>
      <c r="K30" s="9" t="inlineStr">
        <is>
          <t>Medium</t>
        </is>
      </c>
      <c r="L30" s="10" t="n"/>
      <c r="M30" s="10" t="inlineStr">
        <is>
          <t>Not Run</t>
        </is>
      </c>
      <c r="N30" s="10" t="n"/>
      <c r="O30" s="10" t="n"/>
      <c r="P30" s="9" t="n"/>
      <c r="Q30" s="9" t="n"/>
    </row>
    <row r="31" ht="102" customHeight="1">
      <c r="A31" s="9" t="inlineStr">
        <is>
          <t>INT-10-SC3-TC1</t>
        </is>
      </c>
      <c r="B31" s="9" t="inlineStr">
        <is>
          <t>INT-10-SC3</t>
        </is>
      </c>
      <c r="C31" s="9" t="inlineStr">
        <is>
          <t>Zero-Result Fallback Engine — Thuật toán gợi ý thay thế</t>
        </is>
      </c>
      <c r="D31" s="9" t="inlineStr">
        <is>
          <t>FR-ZR-02, FR-SM-07</t>
        </is>
      </c>
      <c r="E31" s="9" t="inlineStr">
        <is>
          <t>Boundary</t>
        </is>
      </c>
      <c r="F31" s="9" t="inlineStr">
        <is>
          <t>Fallback về Best-seller khi không có Substitute/Cross-sell — không bao giờ trả rỗng</t>
        </is>
      </c>
      <c r="G31" s="9" t="inlineStr">
        <is>
          <t>Từ khoá hoàn toàn ngoài domain catalogue (không có SKU tương đồng, không có association rule nào).</t>
        </is>
      </c>
      <c r="H31" s="9" t="inlineStr">
        <is>
          <t>1. Gọi API Zero-Result Fallback với 1 từ khoá hoàn toàn ngoài domain, không có SKU tương đồng/association rule nào.
2. Kiểm tra response.</t>
        </is>
      </c>
      <c r="I31" s="9" t="inlineStr">
        <is>
          <t>Từ khoá ngoài domain catalogue</t>
        </is>
      </c>
      <c r="J31" s="9" t="inlineStr">
        <is>
          <t>Response trả về tối thiểu 10 SKU Best-seller của toàn hệ thống, KHÔNG BAO GIỜ trả về mảng rỗng — đúng nguyên tắc "không bao giờ để trang trắng" (FR-SM-07).</t>
        </is>
      </c>
      <c r="K31" s="9" t="inlineStr">
        <is>
          <t>High</t>
        </is>
      </c>
      <c r="L31" s="10" t="n"/>
      <c r="M31" s="10" t="inlineStr">
        <is>
          <t>Not Run</t>
        </is>
      </c>
      <c r="N31" s="10" t="n"/>
      <c r="O31" s="10" t="n"/>
      <c r="P31" s="9" t="n"/>
      <c r="Q31" s="9" t="n"/>
    </row>
    <row r="32" ht="102" customHeight="1">
      <c r="A32" s="9" t="inlineStr">
        <is>
          <t>INT-10-SC3-TC2</t>
        </is>
      </c>
      <c r="B32" s="9" t="inlineStr">
        <is>
          <t>INT-10-SC3</t>
        </is>
      </c>
      <c r="C32" s="9" t="inlineStr">
        <is>
          <t>Zero-Result Fallback Engine — Thuật toán gợi ý thay thế</t>
        </is>
      </c>
      <c r="D32" s="9" t="inlineStr">
        <is>
          <t>FR-ZR-02, DEP-06; SRS Simplify User Flow Slide 5-6 (AC-03 Serving Store)</t>
        </is>
      </c>
      <c r="E32" s="9" t="inlineStr">
        <is>
          <t>Integration</t>
        </is>
      </c>
      <c r="F32" s="9" t="inlineStr">
        <is>
          <t>API fallback Best-seller tôn trọng storeId: không trả sản phẩm ngoài catalogue Serving Store</t>
        </is>
      </c>
      <c r="G32" s="9" t="inlineStr">
        <is>
          <t>Fallback engine được gọi với 1 query không có Substitute/Cross-sell hợp lệ.</t>
        </is>
      </c>
      <c r="H32" s="9" t="inlineStr">
        <is>
          <t>1. Gọi API tìm kiếm với query gây Zero Result tới tầng Best-seller, storeId = A.
2. Lặp lại với storeId = B.
3. Đối chiếu từng SKU trả về với catalogue + tồn kho của store tương ứng.</t>
        </is>
      </c>
      <c r="I32" s="9" t="inlineStr">
        <is>
          <t>SKU-T: best-seller toàn hệ thống, chỉ bán ở Store B.</t>
        </is>
      </c>
      <c r="J32" s="9" t="inlineStr">
        <is>
          <t>storeId=A: 100% SKU thuộc catalogue Store A, không có SKU-T. storeId=B: có thể có SKU-T. Danh sách Best-seller của 2 store khác nhau, xếp theo doanh số của chính store đó.</t>
        </is>
      </c>
      <c r="K32" s="9" t="inlineStr">
        <is>
          <t>High</t>
        </is>
      </c>
      <c r="L32" s="10" t="n"/>
      <c r="M32" s="10" t="inlineStr">
        <is>
          <t>Not Run</t>
        </is>
      </c>
      <c r="N32" s="10" t="n"/>
      <c r="O32" s="10" t="n"/>
      <c r="P32" s="9" t="inlineStr">
        <is>
          <t>QnA-64</t>
        </is>
      </c>
      <c r="Q32" s="9" t="inlineStr">
        <is>
          <t>Thêm mới 28/09/2026 theo QnA-64 ý (3).</t>
        </is>
      </c>
    </row>
    <row r="33">
      <c r="A33" s="9" t="inlineStr">
        <is>
          <t>INT-10-SC4-TC1</t>
        </is>
      </c>
      <c r="B33" s="9" t="inlineStr">
        <is>
          <t>INT-10-SC4</t>
        </is>
      </c>
      <c r="C33" s="9" t="inlineStr">
        <is>
          <t>Zero-Result Fallback Engine — Thuật toán gợi ý thay thế</t>
        </is>
      </c>
      <c r="D33" s="9" t="inlineStr">
        <is>
          <t>Rule BA 2026-08-24 (rule 6); FR-ZR-02</t>
        </is>
      </c>
      <c r="E33" s="9" t="inlineStr">
        <is>
          <t>Functional</t>
        </is>
      </c>
      <c r="F33" s="9" t="inlineStr">
        <is>
          <t>Engine "Có thể bạn sẽ thích" (Substitute → Cross-sell → Best-seller) được tái sử dụng cho trường hợp khớp 100% đúng 1 sản phẩm, không chỉ Zero Result</t>
        </is>
      </c>
      <c r="G33" s="9" t="inlineStr">
        <is>
          <t>Engine gợi ý Substitute/Cross-sell/Best-seller đã hoạt động đúng cho luồng Zero Result (INT-10-SC1/SC2/SC3).</t>
        </is>
      </c>
      <c r="H33" s="9" t="inlineStr">
        <is>
          <t>1. Gửi truy vấn khớp 100% đúng 1 SKU (không phải Zero Result) tới Search API.
2. Kiểm tra response có kèm danh sách gợi ý "Có thể bạn sẽ thích", tính bằng CÙNG engine đã dùng ở Zero Result.
3. Đối chiếu danh sách gợi ý với kết quả engine trả về khi gọi trực tiếp cho SKU đó (như thể đang ở luồng Zero Result).</t>
        </is>
      </c>
      <c r="I33" s="9" t="inlineStr">
        <is>
          <t>1 SKU khớp 100%, đối chiếu gợi ý với engine Zero Result</t>
        </is>
      </c>
      <c r="J33" s="9" t="inlineStr">
        <is>
          <t>Danh sách gợi ý cho trường hợp khớp 100% GIỐNG với danh sách engine trả ra khi gọi cho cùng SKU đó ở luồng Zero Result (cùng thuật toán Substitute→Cross-sell→Best-seller, chỉ khác điều kiện trigger) — không phải 1 engine gợi ý khác/riêng biệt.</t>
        </is>
      </c>
      <c r="K33" s="9" t="inlineStr">
        <is>
          <t>Medium</t>
        </is>
      </c>
      <c r="L33" s="10" t="n"/>
      <c r="M33" s="10" t="inlineStr">
        <is>
          <t>Not Run</t>
        </is>
      </c>
      <c r="N33" s="10" t="n"/>
      <c r="O33" s="10" t="n"/>
      <c r="P33" s="9" t="n"/>
      <c r="Q33" s="9" t="inlineStr">
        <is>
          <t>Rule mới bổ sung 2026-08-24 (AI_CONTEXT.md §3e, rule 6). Bản giả lập tham khảo: search_engine.js pickYouMightLike(), dùng chung cho cả 2 trigger.</t>
        </is>
      </c>
    </row>
    <row r="34">
      <c r="A34" s="11" t="inlineStr">
        <is>
          <t>INT-11-SC1-TC1</t>
        </is>
      </c>
      <c r="B34" s="11" t="inlineStr">
        <is>
          <t>INT-11-SC1</t>
        </is>
      </c>
      <c r="C34" s="11" t="inlineStr">
        <is>
          <t>Auth &amp; Session — Guest vs Member</t>
        </is>
      </c>
      <c r="D34" s="11" t="inlineStr">
        <is>
          <t>Liên quan FR-PS-03, FR-PS-01</t>
        </is>
      </c>
      <c r="E34" s="11" t="inlineStr">
        <is>
          <t>Behavior</t>
        </is>
      </c>
      <c r="F34" s="11" t="inlineStr">
        <is>
          <t>Token hết hạn giữa lúc gọi API cá nhân hoá — hành vi API chưa được tài liệu hoá đầy đủ</t>
        </is>
      </c>
      <c r="G34" s="11" t="inlineStr">
        <is>
          <t>Token JWT của khách sắp hết hạn (còn &lt;5 giây).</t>
        </is>
      </c>
      <c r="H34" s="11" t="inlineStr">
        <is>
          <t>1. Lấy token JWT sắp hết hạn (&lt;5s).
2. Gọi API "Thường mua" (yêu cầu xác thực) đúng lúc token hết hạn.
3. Kiểm tra mã lỗi HTTP trả về.</t>
        </is>
      </c>
      <c r="I34" s="11" t="inlineStr">
        <is>
          <t>Token JWT hết hạn giữa request</t>
        </is>
      </c>
      <c r="J34" s="11" t="inlineStr">
        <is>
          <t>TBD — BRD chưa mô tả rõ hành vi API khi token hết hạn giữa chừng (tự động refresh, trả 401, hay coi như Guest). Yêu cầu tối thiểu: KHÔNG được trả lỗi 500 hoặc dữ liệu sai lệch của tài khoản khác; phải trả mã lỗi rõ ràng (401) để client xử lý đúng. Xem QnA-15.</t>
        </is>
      </c>
      <c r="K34" s="11" t="inlineStr">
        <is>
          <t>High</t>
        </is>
      </c>
      <c r="L34" s="10" t="n"/>
      <c r="M34" s="10" t="inlineStr">
        <is>
          <t>N/A</t>
        </is>
      </c>
      <c r="N34" s="10" t="n"/>
      <c r="O34" s="10" t="n"/>
      <c r="P34" s="11" t="inlineStr">
        <is>
          <t>QnA-15</t>
        </is>
      </c>
      <c r="Q34" s="11" t="n"/>
    </row>
    <row r="35">
      <c r="A35" s="9" t="inlineStr">
        <is>
          <t>INT-11-SC2-TC1</t>
        </is>
      </c>
      <c r="B35" s="9" t="inlineStr">
        <is>
          <t>INT-11-SC2</t>
        </is>
      </c>
      <c r="C35" s="9" t="inlineStr">
        <is>
          <t>Auth &amp; Session — Guest vs Member</t>
        </is>
      </c>
      <c r="D35" s="9" t="inlineStr">
        <is>
          <t>Liên quan FR-PS-03, FR-PS-01</t>
        </is>
      </c>
      <c r="E35" s="9" t="inlineStr">
        <is>
          <t>Functional</t>
        </is>
      </c>
      <c r="F35" s="9" t="inlineStr">
        <is>
          <t>Chuyển từ Guest sang Member cập nhật đúng khối cá nhân hoá không cần reload thủ công</t>
        </is>
      </c>
      <c r="G35" s="9" t="inlineStr">
        <is>
          <t>Khách đang ở chế độ Guest, sau đó đăng nhập thành công.</t>
        </is>
      </c>
      <c r="H35" s="9" t="inlineStr">
        <is>
          <t>1. Mở app ở chế độ Guest, vào Pre-search Screen, quan sát khối "Thường mua".
2. Đăng nhập vào 1 tài khoản có lịch sử mua hàng.
3. Quay lại Pre-search Screen (không force-reload app), quan sát khối "Thường mua".</t>
        </is>
      </c>
      <c r="I35" s="9" t="inlineStr">
        <is>
          <t>Tài khoản có lịch sử mua hàng</t>
        </is>
      </c>
      <c r="J35" s="9" t="inlineStr">
        <is>
          <t>Sau khi đăng nhập, khối "Thường mua" tự động cập nhật đúng dữ liệu cá nhân hoá của tài khoản, không còn ở trạng thái Guest cũ, không cần khách phải đóng/mở lại app.</t>
        </is>
      </c>
      <c r="K35" s="9" t="inlineStr">
        <is>
          <t>Medium</t>
        </is>
      </c>
      <c r="L35" s="10" t="n"/>
      <c r="M35" s="10" t="inlineStr">
        <is>
          <t>Not Run</t>
        </is>
      </c>
      <c r="N35" s="10" t="n"/>
      <c r="O35" s="10" t="n"/>
      <c r="P35" s="9" t="n"/>
      <c r="Q35" s="9" t="n"/>
    </row>
    <row r="36">
      <c r="A36" s="9" t="inlineStr">
        <is>
          <t>INT-12-SC1-TC1</t>
        </is>
      </c>
      <c r="B36" s="9" t="inlineStr">
        <is>
          <t>INT-12-SC1</t>
        </is>
      </c>
      <c r="C36" s="9" t="inlineStr">
        <is>
          <t>Analytics &amp; Event Logging</t>
        </is>
      </c>
      <c r="D36" s="9" t="inlineStr">
        <is>
          <t>Liên quan FR-PS-02 (Trending), NFR tracking</t>
        </is>
      </c>
      <c r="E36" s="9" t="inlineStr">
        <is>
          <t>Integration</t>
        </is>
      </c>
      <c r="F36" s="9" t="inlineStr">
        <is>
          <t>Sự kiện tìm kiếm được ghi log đầy đủ và chính xác</t>
        </is>
      </c>
      <c r="G36" s="9" t="inlineStr">
        <is>
          <t>Analytics pipeline hoạt động bình thường.</t>
        </is>
      </c>
      <c r="H36" s="9" t="inlineStr">
        <is>
          <t>1. Thực hiện 1 lượt tìm kiếm "sữa" (có kết quả &gt;0).
2. Kiểm tra event log trong Analytics pipeline.
3. Đối chiếu các trường: query text, timestamp, user segment, số kết quả.</t>
        </is>
      </c>
      <c r="I36" s="9" t="inlineStr">
        <is>
          <t>query="sữa"</t>
        </is>
      </c>
      <c r="J36" s="9" t="inlineStr">
        <is>
          <t>Event log ghi đúng và đầy đủ: query="sữa", timestamp chính xác (±1s so với thời điểm thực tế), user segment đúng, số kết quả trả về khớp với response API.</t>
        </is>
      </c>
      <c r="K36" s="9" t="inlineStr">
        <is>
          <t>Medium</t>
        </is>
      </c>
      <c r="L36" s="10" t="n"/>
      <c r="M36" s="10" t="inlineStr">
        <is>
          <t>Not Run</t>
        </is>
      </c>
      <c r="N36" s="10" t="n"/>
      <c r="O36" s="10" t="n"/>
      <c r="P36" s="9" t="n"/>
      <c r="Q36" s="9" t="inlineStr">
        <is>
          <t>| QnA-52 (BA 27/08/2026): mọi truy vấn thật (Enter / nút Search / tap chọn gợi ý Autocomplete) đều tính 1 lượt vào Trending Volume. TD cần xác nhận event tracking phân biệt được 3 nguồn.</t>
        </is>
      </c>
    </row>
    <row r="37">
      <c r="A37" s="9" t="inlineStr">
        <is>
          <t>INT-12-SC1-TC2</t>
        </is>
      </c>
      <c r="B37" s="9" t="inlineStr">
        <is>
          <t>INT-12-SC1</t>
        </is>
      </c>
      <c r="C37" s="9" t="inlineStr">
        <is>
          <t>Analytics &amp; Event Logging</t>
        </is>
      </c>
      <c r="D37" s="9" t="inlineStr">
        <is>
          <t>Liên quan FR-PS-02 (Trending), NFR tracking</t>
        </is>
      </c>
      <c r="E37" s="9" t="inlineStr">
        <is>
          <t>Negative</t>
        </is>
      </c>
      <c r="F37" s="9" t="inlineStr">
        <is>
          <t>Truy vấn 0-kết-quả KHÔNG được tính vào Trending Score</t>
        </is>
      </c>
      <c r="G37" s="9" t="inlineStr">
        <is>
          <t>Analytics pipeline hoạt động bình thường.</t>
        </is>
      </c>
      <c r="H37" s="9" t="inlineStr">
        <is>
          <t>1. Thực hiện 1 lượt tìm kiếm với từ khoá chắc chắn 0 kết quả.
2. Kiểm tra event log và thuật toán tính Trending Score có tính từ khoá này không.</t>
        </is>
      </c>
      <c r="I37" s="9" t="inlineStr">
        <is>
          <t>Từ khoá 0-kết-quả</t>
        </is>
      </c>
      <c r="J37" s="9" t="inlineStr">
        <is>
          <t>Từ khoá 0-kết-quả không được đưa vào tập tính Trending Score, đúng logic FR-PS-02 ("chỉ hiển thị/tính từ khoá có kết quả &gt; 0").</t>
        </is>
      </c>
      <c r="K37" s="9" t="inlineStr">
        <is>
          <t>Medium</t>
        </is>
      </c>
      <c r="L37" s="10" t="n"/>
      <c r="M37" s="10" t="inlineStr">
        <is>
          <t>Not Run</t>
        </is>
      </c>
      <c r="N37" s="10" t="n"/>
      <c r="O37" s="10" t="n"/>
      <c r="P37" s="9" t="n"/>
      <c r="Q37" s="9" t="n"/>
    </row>
    <row r="38">
      <c r="A38" s="9" t="inlineStr">
        <is>
          <t>INT-13-SC1-TC1</t>
        </is>
      </c>
      <c r="B38" s="9" t="inlineStr">
        <is>
          <t>INT-13-SC1</t>
        </is>
      </c>
      <c r="C38" s="9" t="inlineStr">
        <is>
          <t>Hiệu năng &amp; Khả năng chịu tải (Performance/NFR)</t>
        </is>
      </c>
      <c r="D38" s="9" t="inlineStr">
        <is>
          <t>NFR-001 đến NFR-005 (Search/Autocomplete/Image response time)</t>
        </is>
      </c>
      <c r="E38" s="9" t="inlineStr">
        <is>
          <t>Performance</t>
        </is>
      </c>
      <c r="F38" s="9" t="inlineStr">
        <is>
          <t>P95 thời gian phản hồi tìm kiếm ở tải đỉnh (peak load) vẫn trong SLA</t>
        </is>
      </c>
      <c r="G38" s="9" t="inlineStr">
        <is>
          <t>Môi trường load-test đã cấu hình mô phỏng traffic thực tế.</t>
        </is>
      </c>
      <c r="H38" s="9" t="inlineStr">
        <is>
          <t>1. Chạy load test mô phỏng tải gấp 5 lần tải trung bình hằng ngày trong 15 phút.
2. Đo P95 thời gian phản hồi API tìm kiếm trong suốt thời gian test.
3. Đo tỷ lệ lỗi (error rate) trong cùng khoảng thời gian.</t>
        </is>
      </c>
      <c r="I38" s="9" t="inlineStr">
        <is>
          <t>Tải = 5x trung bình, 15 phút</t>
        </is>
      </c>
      <c r="J38" s="9" t="inlineStr">
        <is>
          <t>P95 thời gian phản hồi ≤1.000ms (ngưỡng ngày cao điểm); error rate không vượt quá ngưỡng SLA đã thống nhất với team hạ tầng (thường ≤0.1-1%).</t>
        </is>
      </c>
      <c r="K38" s="9" t="inlineStr">
        <is>
          <t>High</t>
        </is>
      </c>
      <c r="L38" s="10" t="n"/>
      <c r="M38" s="10" t="inlineStr">
        <is>
          <t>Not Run</t>
        </is>
      </c>
      <c r="N38" s="10" t="n"/>
      <c r="O38" s="10" t="n"/>
      <c r="P38" s="9" t="n"/>
      <c r="Q38" s="9" t="n"/>
    </row>
    <row r="39">
      <c r="A39" s="9" t="inlineStr">
        <is>
          <t>INT-13-SC2-TC1</t>
        </is>
      </c>
      <c r="B39" s="9" t="inlineStr">
        <is>
          <t>INT-13-SC2</t>
        </is>
      </c>
      <c r="C39" s="9" t="inlineStr">
        <is>
          <t>Hiệu năng &amp; Khả năng chịu tải (Performance/NFR)</t>
        </is>
      </c>
      <c r="D39" s="9" t="inlineStr">
        <is>
          <t>FR-GD-03, NFR-009</t>
        </is>
      </c>
      <c r="E39" s="9" t="inlineStr">
        <is>
          <t>Behavior</t>
        </is>
      </c>
      <c r="F39" s="9" t="inlineStr">
        <is>
          <t>AI Search sập/timeout → tự động fallback Keyword search, không hiện lỗi kỹ thuật</t>
        </is>
      </c>
      <c r="G39" s="9" t="inlineStr">
        <is>
          <t>Môi trường test có thể giả lập AI Search Service trả lỗi/timeout (VD tắt service qua feature flag hoặc chặn network tới AI endpoint).</t>
        </is>
      </c>
      <c r="H39" s="9" t="inlineStr">
        <is>
          <t>1. Giả lập AI Search Service timeout/down.
2. Thực hiện tìm kiếm văn bản bình thường (VD "sữa tươi").
3. Quan sát UI: có hiển thị kết quả nào không, có popup/text lỗi kỹ thuật nào xuất hiện không.
4. Kiểm tra kết quả trả về có phải từ thuật toán Keyword cơ bản (so sánh với kết quả AI Search bình thường trước đó — VD mất khả năng hiểu đồng nghĩa/ngữ nghĩa, chỉ khớp từ khoá thô).
5. Khôi phục AI Search Service, lặp lại tìm kiếm, xác nhận hệ thống tự chuyển lại dùng AI Search.</t>
        </is>
      </c>
      <c r="I39" s="9" t="inlineStr">
        <is>
          <t>"sữa tươi", giả lập AI Search down rồi khôi phục</t>
        </is>
      </c>
      <c r="J39" s="9" t="inlineStr">
        <is>
          <t>Bước 3: khách hàng vẫn nhận được trang kết quả có sản phẩm (không trắng, không lỗi hiển thị); tuyệt đối không có popup/toast/text kỹ thuật nào (VD "AI service unavailable", mã lỗi 5xx, stack trace). Bước 4: kết quả phản ánh đúng đặc điểm tìm kiếm Keyword cơ bản (có thể kém chính xác hơn AI nhưng vẫn hợp lý, không rỗng). Bước 5: sau khi AI Search phục hồi, hệ thống tự động dùng lại AI Search mà không cần deploy lại hay thao tác thủ công nào từ vận hành.</t>
        </is>
      </c>
      <c r="K39" s="9" t="inlineStr">
        <is>
          <t>High</t>
        </is>
      </c>
      <c r="L39" s="10" t="n"/>
      <c r="M39" s="10" t="inlineStr">
        <is>
          <t>Not Run</t>
        </is>
      </c>
      <c r="N39" s="10" t="n"/>
      <c r="O39" s="10" t="n"/>
      <c r="P39" s="9" t="n"/>
      <c r="Q39" s="9" t="n"/>
    </row>
    <row r="40">
      <c r="A40" s="18" t="inlineStr">
        <is>
          <t>INT-13-SC2-TC2</t>
        </is>
      </c>
      <c r="B40" s="18" t="inlineStr">
        <is>
          <t>INT-13-SC2</t>
        </is>
      </c>
      <c r="C40" s="18" t="inlineStr">
        <is>
          <t>Hiệu năng &amp; Khả năng chịu tải (Performance/NFR)</t>
        </is>
      </c>
      <c r="D40" s="18" t="inlineStr">
        <is>
          <t>FR-GD-03, NFR-009</t>
        </is>
      </c>
      <c r="E40" s="18" t="inlineStr">
        <is>
          <t>Performance</t>
        </is>
      </c>
      <c r="F40" s="18" t="inlineStr">
        <is>
          <t>Thời gian phản hồi trong chế độ fallback Keyword search — TBD có cùng ngưỡng SLA 300ms không</t>
        </is>
      </c>
      <c r="G40" s="18" t="inlineStr">
        <is>
          <t>AI Search Service đang down/timeout (fallback mode active).</t>
        </is>
      </c>
      <c r="H40" s="18" t="inlineStr">
        <is>
          <t>1. Trong lúc fallback đang active, thực hiện tìm kiếm và đo thời gian phản hồi (nhiều lượt để tính P95).
2. So sánh với ngưỡng 300ms P95 (NFR-001/FR-GD-01) áp dụng cho chế độ AI Search bình thường.</t>
        </is>
      </c>
      <c r="I40" s="18" t="inlineStr">
        <is>
          <t>Đo P95 thời gian phản hồi trong chế độ fallback</t>
        </is>
      </c>
      <c r="J40" s="18" t="inlineStr">
        <is>
          <t>TBD — BRD không nói rõ ngưỡng hiệu năng có được nới lỏng trong chế độ fallback (thuật toán Keyword đơn giản hơn AI, có thể nhanh hơn hoặc chậm hơn tuỳ hạ tầng) hay vẫn giữ đúng SLA 300ms P95 như chế độ bình thường. Không chấm Pass/Fail định lượng cho tới khi BA/TD xác nhận ngưỡng SLA áp dụng trong chế độ fallback. Xem QnA-38.</t>
        </is>
      </c>
      <c r="K40" s="18" t="inlineStr">
        <is>
          <t>Medium</t>
        </is>
      </c>
      <c r="L40" s="10" t="n"/>
      <c r="M40" s="10" t="inlineStr">
        <is>
          <t>N/A</t>
        </is>
      </c>
      <c r="N40" s="10" t="n"/>
      <c r="O40" s="10" t="n"/>
      <c r="P40" s="18" t="inlineStr">
        <is>
          <t>QnA-38</t>
        </is>
      </c>
      <c r="Q40" s="18" t="inlineStr">
        <is>
          <t>OPEN — QnA-38: xem chi tiết trong file QnA log. | QnA-38: BA đẩy sang TD đề xuất ngưỡng; BA chỉ expect đạt mức người dùng chấp nhận được ('vài giây đổ lại'). VẪN OPEN - chờ TD chốt ngưỡng SLA cho chế độ fallback.</t>
        </is>
      </c>
    </row>
    <row r="41">
      <c r="A41" s="9" t="inlineStr">
        <is>
          <t>INT-13-SC3-TC1</t>
        </is>
      </c>
      <c r="B41" s="9" t="inlineStr">
        <is>
          <t>INT-13-SC3</t>
        </is>
      </c>
      <c r="C41" s="9" t="inlineStr">
        <is>
          <t>Hiệu năng &amp; Khả năng chịu tải (Performance/NFR)</t>
        </is>
      </c>
      <c r="D41" s="9" t="inlineStr">
        <is>
          <t>FR-GD-01, NFR-001</t>
        </is>
      </c>
      <c r="E41" s="9" t="inlineStr">
        <is>
          <t>Performance</t>
        </is>
      </c>
      <c r="F41" s="9" t="inlineStr">
        <is>
          <t>P95 thời gian phản hồi tìm kiếm văn bản ở tải trung bình đúng SLA 300ms (FR-GD-01/NFR-001)</t>
        </is>
      </c>
      <c r="G41" s="9" t="inlineStr">
        <is>
          <t>Môi trường test mô phỏng tải trung bình hằng ngày (baseline traffic, không phải 5x như INT-13-SC1).</t>
        </is>
      </c>
      <c r="H41" s="9" t="inlineStr">
        <is>
          <t>1. Chạy load test ở mức tải trung bình (baseline, 1x) trong 15 phút.
2. Đo P95 thời gian phản hồi API tìm kiếm văn bản trong suốt thời gian test.
3. So sánh với ngưỡng 300ms theo NFR-001/FR-GD-01.</t>
        </is>
      </c>
      <c r="I41" s="9" t="inlineStr">
        <is>
          <t>Tải = 1x trung bình (baseline), 15 phút</t>
        </is>
      </c>
      <c r="J41" s="9" t="inlineStr">
        <is>
          <t>P95 thời gian phản hồi ≤300ms — đây là phép đo riêng biệt và NGHIÊM NGẶT HƠN so với ngưỡng ≤1.000ms đã test cho tải đỉnh (5x) ở INT-13-SC1-TC1; 2 test case bổ trợ nhau để phủ đủ cả điều kiện tải bình thường lẫn tải đỉnh theo đúng 2 ngưỡng khác nhau trong BRD (300ms P95 chuẩn theo NFR-001 vs ≤1.000ms ngày cao điểm theo ghi chú KPI-01).</t>
        </is>
      </c>
      <c r="K41" s="9" t="inlineStr">
        <is>
          <t>High</t>
        </is>
      </c>
      <c r="L41" s="10" t="n"/>
      <c r="M41" s="10" t="inlineStr">
        <is>
          <t>Not Run</t>
        </is>
      </c>
      <c r="N41" s="10" t="n"/>
      <c r="O41" s="10" t="n"/>
      <c r="P41" s="9" t="n"/>
      <c r="Q41" s="9" t="n"/>
    </row>
    <row r="42">
      <c r="A42" s="9" t="inlineStr">
        <is>
          <t>INT-14-SC1-TC1</t>
        </is>
      </c>
      <c r="B42" s="9" t="inlineStr">
        <is>
          <t>INT-14-SC1</t>
        </is>
      </c>
      <c r="C42" s="9" t="inlineStr">
        <is>
          <t>Bảo mật &amp; Quyền riêng tư dữ liệu (Security/PDPL)</t>
        </is>
      </c>
      <c r="D42" s="9" t="inlineStr">
        <is>
          <t>RSK-05, DEP-08 (PDPL dependency)</t>
        </is>
      </c>
      <c r="E42" s="9" t="inlineStr">
        <is>
          <t>Security</t>
        </is>
      </c>
      <c r="F42" s="9" t="inlineStr">
        <is>
          <t>Không rò rỉ dữ liệu cá nhân hoá chéo giữa các tài khoản (data isolation)</t>
        </is>
      </c>
      <c r="G42" s="9" t="inlineStr">
        <is>
          <t>2 tài khoản test khác nhau, mỗi tài khoản có lịch sử mua hàng riêng biệt.</t>
        </is>
      </c>
      <c r="H42" s="9" t="inlineStr">
        <is>
          <t>1. Đăng nhập tài khoản A, gọi API "Thường mua", ghi lại danh sách SKU trả về.
2. Đăng nhập tài khoản B (khác hẳn lịch sử mua), gọi API "Thường mua", ghi lại danh sách SKU trả về.
3. Gửi đồng thời 2 request (A và B) và kiểm tra mỗi response có đúng khớp với tài khoản tương ứng không.</t>
        </is>
      </c>
      <c r="I42" s="9" t="inlineStr">
        <is>
          <t>Tài khoản A và B, lịch sử mua khác nhau hoàn toàn</t>
        </is>
      </c>
      <c r="J42" s="9" t="inlineStr">
        <is>
          <t>Response của tài khoản A chỉ chứa dữ liệu của A, response của B chỉ chứa dữ liệu của B — không có bất kỳ sự trộn lẫn/rò rỉ chéo nào, kể cả khi gọi đồng thời.</t>
        </is>
      </c>
      <c r="K42" s="9" t="inlineStr">
        <is>
          <t>High</t>
        </is>
      </c>
      <c r="L42" s="10" t="n"/>
      <c r="M42" s="10" t="inlineStr">
        <is>
          <t>Not Run</t>
        </is>
      </c>
      <c r="N42" s="10" t="n"/>
      <c r="O42" s="10" t="n"/>
      <c r="P42" s="9" t="n"/>
      <c r="Q42" s="9" t="n"/>
    </row>
    <row r="43">
      <c r="A43" s="9" t="inlineStr">
        <is>
          <t>INT-14-SC1-TC2</t>
        </is>
      </c>
      <c r="B43" s="9" t="inlineStr">
        <is>
          <t>INT-14-SC1</t>
        </is>
      </c>
      <c r="C43" s="9" t="inlineStr">
        <is>
          <t>Bảo mật &amp; Quyền riêng tư dữ liệu (Security/PDPL)</t>
        </is>
      </c>
      <c r="D43" s="9" t="inlineStr">
        <is>
          <t>RSK-05, DEP-08 (PDPL dependency)</t>
        </is>
      </c>
      <c r="E43" s="9" t="inlineStr">
        <is>
          <t>Security</t>
        </is>
      </c>
      <c r="F43" s="9" t="inlineStr">
        <is>
          <t>Phụ thuộc pháp lý PDPL (RSK-05/DEP-08) chặn go-live tính năng cá nhân hoá — chưa được giải quyết</t>
        </is>
      </c>
      <c r="G43" s="9" t="inlineStr">
        <is>
          <t>2 tài khoản test khác nhau, mỗi tài khoản có lịch sử mua hàng riêng biệt.</t>
        </is>
      </c>
      <c r="H43" s="9" t="inlineStr">
        <is>
          <t>1. Kiểm tra tài liệu pháp lý/compliance hiện tại về việc sử dụng Order History cho mục đích cá nhân hoá kết quả tìm kiếm.
2. Xác nhận đã có sự đồng ý (consent) hợp lệ từ khách hàng cho mục đích này chưa.</t>
        </is>
      </c>
      <c r="I43" s="9" t="inlineStr">
        <is>
          <t>N/A</t>
        </is>
      </c>
      <c r="J43" s="9" t="inlineStr">
        <is>
          <t>TBD — theo BRD, đây là RSK-05/DEP-08: phụ thuộc pháp lý PDPL (Personal Data Protection Law) CHƯA được giải quyết, có khả năng chặn go-live của toàn bộ tính năng cá nhân hoá ("Thường mua", ranking cá nhân hoá). Không chấm Pass/Fail cho tới khi Compliance/Legal xác nhận. Đây là rủi ro cấp cao nhất trong toàn bộ phạm vi test này.</t>
        </is>
      </c>
      <c r="K43" s="9" t="inlineStr">
        <is>
          <t>High</t>
        </is>
      </c>
      <c r="L43" s="10" t="n"/>
      <c r="M43" s="10" t="inlineStr">
        <is>
          <t>Not Run</t>
        </is>
      </c>
      <c r="N43" s="10" t="n"/>
      <c r="O43" s="10" t="n"/>
      <c r="P43" s="9" t="n"/>
      <c r="Q43" s="9" t="inlineStr">
        <is>
          <t>Rủi ro pháp lý đã được BA ghi nhận trong BRD (RSK-05/DEP-08) — không phải QC tự phát hiện, nhưng cần nhắc lại ở đây vì ảnh hưởng trực tiếp tới nhiều module tích hợp (INT-04, INT-11).</t>
        </is>
      </c>
    </row>
    <row r="44">
      <c r="A44" s="9" t="inlineStr">
        <is>
          <t>INT-15-SC1-TC1</t>
        </is>
      </c>
      <c r="B44" s="9" t="inlineStr">
        <is>
          <t>INT-15-SC1</t>
        </is>
      </c>
      <c r="C44" s="9" t="inlineStr">
        <is>
          <t>Phạm vi Serving Store — Search / Trending</t>
        </is>
      </c>
      <c r="D44" s="9" t="inlineStr">
        <is>
          <t>SRS Simplify User Flow Slide 5-6 (AC-03 Serving Store)</t>
        </is>
      </c>
      <c r="E44" s="9" t="inlineStr">
        <is>
          <t>Integration</t>
        </is>
      </c>
      <c r="F44" s="9" t="inlineStr">
        <is>
          <t>API tìm kiếm chỉ trả SKU thuộc catalogue của storeId trong request</t>
        </is>
      </c>
      <c r="G44" s="9" t="inlineStr">
        <is>
          <t>Có SKU chỉ bán ở Store A và SKU chỉ bán ở Store B, cùng khớp 1 từ khoá.</t>
        </is>
      </c>
      <c r="H44" s="9" t="inlineStr">
        <is>
          <t>1. Gọi API tìm kiếm với từ khoá K, storeId = A.
2. Gọi lại với storeId = B.
3. Đối chiếu SKU, giá, tồn kho trả về với catalogue từng store.</t>
        </is>
      </c>
      <c r="I44" s="9" t="inlineStr">
        <is>
          <t>Từ khoá K khớp SKU-A1 (chỉ ở A) và SKU-B1 (chỉ ở B).</t>
        </is>
      </c>
      <c r="J44" s="9" t="inlineStr">
        <is>
          <t>storeId=A: có SKU-A1, không có SKU-B1; storeId=B: ngược lại. Giá/tồn kho trả về đúng của store trong request. Không có SKU nào ngoài catalogue của storeId.</t>
        </is>
      </c>
      <c r="K44" s="9" t="inlineStr">
        <is>
          <t>High</t>
        </is>
      </c>
      <c r="L44" s="10" t="n"/>
      <c r="M44" s="10" t="inlineStr">
        <is>
          <t>Not Run</t>
        </is>
      </c>
      <c r="N44" s="10" t="n"/>
      <c r="O44" s="10" t="n"/>
      <c r="P44" s="9" t="inlineStr">
        <is>
          <t>QnA-64</t>
        </is>
      </c>
      <c r="Q44" s="9" t="inlineStr">
        <is>
          <t>Thêm mới 28/09/2026 theo QnA-64 ý (1). TC kiểm hành vi, không phụ thuộc TD chọn thiết kế index nào.</t>
        </is>
      </c>
    </row>
    <row r="45">
      <c r="A45" s="9" t="inlineStr">
        <is>
          <t>INT-15-SC1-TC2</t>
        </is>
      </c>
      <c r="B45" s="9" t="inlineStr">
        <is>
          <t>INT-15-SC1</t>
        </is>
      </c>
      <c r="C45" s="9" t="inlineStr">
        <is>
          <t>Phạm vi Serving Store — Search / Trending</t>
        </is>
      </c>
      <c r="D45" s="9" t="inlineStr">
        <is>
          <t>FR-PS-02; SRS Simplify User Flow Slide 5-6 (AC-03 Serving Store)</t>
        </is>
      </c>
      <c r="E45" s="9" t="inlineStr">
        <is>
          <t>Integration</t>
        </is>
      </c>
      <c r="F45" s="9" t="inlineStr">
        <is>
          <t>API Trending/Autocomplete tính Volume/Velocity theo từng storeId</t>
        </is>
      </c>
      <c r="G45" s="9" t="inlineStr">
        <is>
          <t>Analytics có sự kiện tìm kiếm tách theo store; 2 store đủ lưu lượng (không cold-start).</t>
        </is>
      </c>
      <c r="H45" s="9" t="inlineStr">
        <is>
          <t>1. Seed sự kiện tìm kiếm: từ khoá K nhiều ở Store B, gần như 0 ở Store A.
2. Gọi API Trending với storeId = A và storeId = B.
3. Gọi Autocomplete tiền tố của K với từng storeId.</t>
        </is>
      </c>
      <c r="I45" s="9" t="inlineStr">
        <is>
          <t>Từ khoá K hot riêng ở Store B.</t>
        </is>
      </c>
      <c r="J45" s="9" t="inlineStr">
        <is>
          <t>storeId=A: K không nằm trong Trending; storeId=B: K có trong Trending đúng thứ hạng. Gợi ý Autocomplete ở Store A không đẩy K lên theo độ hot của Store B.</t>
        </is>
      </c>
      <c r="K45" s="9" t="inlineStr">
        <is>
          <t>Medium</t>
        </is>
      </c>
      <c r="L45" s="10" t="n"/>
      <c r="M45" s="10" t="inlineStr">
        <is>
          <t>Not Run</t>
        </is>
      </c>
      <c r="N45" s="10" t="n"/>
      <c r="O45" s="10" t="n"/>
      <c r="P45" s="9" t="inlineStr">
        <is>
          <t>QnA-64</t>
        </is>
      </c>
      <c r="Q45" s="9" t="inlineStr">
        <is>
          <t>Thêm mới 28/09/2026 theo QnA-64 ý (2). Ca cold-start xem SS-SCR-001-SC3-TC6 (chưa có ngưỡng).</t>
        </is>
      </c>
    </row>
  </sheetData>
  <mergeCells count="1">
    <mergeCell ref="A1:Q1"/>
  </mergeCells>
  <dataValidations count="1">
    <dataValidation sqref="M3:M45" showDropDown="0" showInputMessage="0" showErrorMessage="0" allowBlank="1" type="list">
      <formula1>"Pass,Fail,Blocked,N/A,Not Run"</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82"/>
  <sheetViews>
    <sheetView showGridLines="0" zoomScaleNormal="100" workbookViewId="0">
      <selection activeCell="A1" sqref="A1"/>
    </sheetView>
  </sheetViews>
  <sheetFormatPr baseColWidth="8" defaultColWidth="8.7109375" defaultRowHeight="15"/>
  <cols>
    <col width="34" customWidth="1" min="1" max="1"/>
    <col width="16" customWidth="1" min="2" max="2"/>
    <col width="4" customWidth="1" min="3" max="3"/>
    <col width="34" customWidth="1" min="4" max="4"/>
    <col width="16" customWidth="1" min="5" max="5"/>
  </cols>
  <sheetData>
    <row r="1" ht="21.75" customHeight="1">
      <c r="A1" s="3" t="inlineStr">
        <is>
          <t>Aggregate Summary — Combined Test Suite (Functional + Integration)</t>
        </is>
      </c>
    </row>
    <row r="2"/>
    <row r="3">
      <c r="A3" s="6" t="inlineStr">
        <is>
          <t>Overall Totals</t>
        </is>
      </c>
    </row>
    <row r="4">
      <c r="A4" s="6" t="inlineStr">
        <is>
          <t>Total Scenarios (Functional + Integration)</t>
        </is>
      </c>
      <c r="B4" s="13">
        <f>COUNTA('Functional Test Scenarios'!$B$3:$B$86)+COUNTA('Integration Test Scenarios'!$B$3:$B$25)</f>
        <v/>
      </c>
    </row>
    <row r="5">
      <c r="A5" s="6" t="inlineStr">
        <is>
          <t>Total Test Cases (Functional + Integration)</t>
        </is>
      </c>
      <c r="B5" s="13">
        <f>COUNTA('Functional Test Cases'!$A$3:$A$187)+COUNTA('Integration Test Cases'!$A$3:$A$45)</f>
        <v/>
      </c>
    </row>
    <row r="6"/>
    <row r="7">
      <c r="A7" s="6" t="inlineStr">
        <is>
          <t>Functional Test Cases — By Test Result</t>
        </is>
      </c>
      <c r="D7" s="6" t="inlineStr">
        <is>
          <t>Integration Test Cases — By Test Result</t>
        </is>
      </c>
    </row>
    <row r="8">
      <c r="A8" s="13" t="inlineStr">
        <is>
          <t>Pass</t>
        </is>
      </c>
      <c r="B8" s="13">
        <f>COUNTIF('Functional Test Cases'!$M$3:$M$187,"Pass")</f>
        <v/>
      </c>
      <c r="D8" s="13" t="inlineStr">
        <is>
          <t>Pass</t>
        </is>
      </c>
      <c r="E8" s="13">
        <f>COUNTIF('Integration Test Cases'!$M$3:$M$45,"Pass")</f>
        <v/>
      </c>
    </row>
    <row r="9">
      <c r="A9" s="13" t="inlineStr">
        <is>
          <t>Fail</t>
        </is>
      </c>
      <c r="B9" s="13">
        <f>COUNTIF('Functional Test Cases'!$M$3:$M$187,"Fail")</f>
        <v/>
      </c>
      <c r="D9" s="13" t="inlineStr">
        <is>
          <t>Fail</t>
        </is>
      </c>
      <c r="E9" s="13">
        <f>COUNTIF('Integration Test Cases'!$M$3:$M$45,"Fail")</f>
        <v/>
      </c>
    </row>
    <row r="10">
      <c r="A10" s="13" t="inlineStr">
        <is>
          <t>Blocked</t>
        </is>
      </c>
      <c r="B10" s="13">
        <f>COUNTIF('Functional Test Cases'!$M$3:$M$187,"Blocked")</f>
        <v/>
      </c>
      <c r="D10" s="13" t="inlineStr">
        <is>
          <t>Blocked</t>
        </is>
      </c>
      <c r="E10" s="13">
        <f>COUNTIF('Integration Test Cases'!$M$3:$M$45,"Blocked")</f>
        <v/>
      </c>
    </row>
    <row r="11">
      <c r="A11" s="13" t="inlineStr">
        <is>
          <t>N/A</t>
        </is>
      </c>
      <c r="B11" s="13">
        <f>COUNTIF('Functional Test Cases'!$M$3:$M$187,"N/A")</f>
        <v/>
      </c>
      <c r="D11" s="13" t="inlineStr">
        <is>
          <t>N/A</t>
        </is>
      </c>
      <c r="E11" s="13">
        <f>COUNTIF('Integration Test Cases'!$M$3:$M$45,"N/A")</f>
        <v/>
      </c>
    </row>
    <row r="12">
      <c r="A12" s="13" t="inlineStr">
        <is>
          <t>Not Run</t>
        </is>
      </c>
      <c r="B12" s="13">
        <f>COUNTIF('Functional Test Cases'!$M$3:$M$187,"Not Run")</f>
        <v/>
      </c>
      <c r="D12" s="13" t="inlineStr">
        <is>
          <t>Not Run</t>
        </is>
      </c>
      <c r="E12" s="13">
        <f>COUNTIF('Integration Test Cases'!$M$3:$M$45,"Not Run")</f>
        <v/>
      </c>
    </row>
    <row r="13">
      <c r="A13" s="6" t="inlineStr">
        <is>
          <t>Total</t>
        </is>
      </c>
      <c r="B13" s="6">
        <f>SUM(B8:B12)</f>
        <v/>
      </c>
      <c r="D13" s="6" t="inlineStr">
        <is>
          <t>Total</t>
        </is>
      </c>
      <c r="E13" s="6">
        <f>SUM(E8:E12)</f>
        <v/>
      </c>
    </row>
    <row r="14">
      <c r="A14" s="6" t="inlineStr">
        <is>
          <t>Total Scenarios</t>
        </is>
      </c>
      <c r="B14" s="13">
        <f>COUNTA('Functional Test Scenarios'!$B$3:$B$86)</f>
        <v/>
      </c>
      <c r="D14" s="6" t="inlineStr">
        <is>
          <t>Total Scenarios</t>
        </is>
      </c>
      <c r="E14" s="13">
        <f>COUNTA('Integration Test Scenarios'!$B$3:$B$25)</f>
        <v/>
      </c>
    </row>
    <row r="15">
      <c r="A15" s="6" t="inlineStr">
        <is>
          <t>Total Test Cases</t>
        </is>
      </c>
      <c r="B15" s="13">
        <f>COUNTA('Functional Test Cases'!$A$3:$A$187)</f>
        <v/>
      </c>
      <c r="D15" s="6" t="inlineStr">
        <is>
          <t>Total Test Cases</t>
        </is>
      </c>
      <c r="E15" s="13">
        <f>COUNTA('Integration Test Cases'!$A$3:$A$45)</f>
        <v/>
      </c>
    </row>
    <row r="16">
      <c r="A16" s="6" t="inlineStr">
        <is>
          <t>Linked to an Open QnA item</t>
        </is>
      </c>
      <c r="B16" s="13">
        <f>COUNTIF('Functional Test Cases'!$P$3:$P$187,"QnA*")</f>
        <v/>
      </c>
      <c r="D16" s="6" t="inlineStr">
        <is>
          <t>Linked to an Open QnA item</t>
        </is>
      </c>
      <c r="E16" s="13">
        <f>COUNTIF('Integration Test Cases'!$P$3:$P$45,"QnA*")</f>
        <v/>
      </c>
    </row>
    <row r="17"/>
    <row r="18">
      <c r="A18" s="6" t="inlineStr">
        <is>
          <t>Functional — By Capability Area</t>
        </is>
      </c>
    </row>
    <row r="19">
      <c r="A19" s="13" t="inlineStr">
        <is>
          <t>A. Search Bar &amp; Pre-search</t>
        </is>
      </c>
      <c r="B19" s="13">
        <f>COUNTIF('Functional Test Scenarios'!$D$3:$D$86,"A. Search Bar &amp; Pre-search")</f>
        <v/>
      </c>
    </row>
    <row r="20">
      <c r="A20" s="13" t="inlineStr">
        <is>
          <t>B. Autocomplete</t>
        </is>
      </c>
      <c r="B20" s="13">
        <f>COUNTIF('Functional Test Scenarios'!$D$3:$D$86,"B. Autocomplete")</f>
        <v/>
      </c>
    </row>
    <row r="21">
      <c r="A21" s="13" t="inlineStr">
        <is>
          <t>C. Auto-Correct Banner</t>
        </is>
      </c>
      <c r="B21" s="13">
        <f>COUNTIF('Functional Test Scenarios'!$D$3:$D$86,"C. Auto-Correct Banner")</f>
        <v/>
      </c>
    </row>
    <row r="22">
      <c r="A22" s="13" t="inlineStr">
        <is>
          <t>D. Search Processing / Loading</t>
        </is>
      </c>
      <c r="B22" s="13">
        <f>COUNTIF('Functional Test Scenarios'!$D$3:$D$86,"D. Search Processing / Loading")</f>
        <v/>
      </c>
    </row>
    <row r="23">
      <c r="A23" s="13" t="inlineStr">
        <is>
          <t>E. Search Results — Grid</t>
        </is>
      </c>
      <c r="B23" s="13">
        <f>COUNTIF('Functional Test Scenarios'!$D$3:$D$86,"E. Search Results — Grid")</f>
        <v/>
      </c>
    </row>
    <row r="24">
      <c r="A24" s="13" t="inlineStr">
        <is>
          <t>F. Search Results — List</t>
        </is>
      </c>
      <c r="B24" s="13">
        <f>COUNTIF('Functional Test Scenarios'!$D$3:$D$86,"F. Search Results — List")</f>
        <v/>
      </c>
    </row>
    <row r="25">
      <c r="A25" s="13" t="inlineStr">
        <is>
          <t>G. Sort</t>
        </is>
      </c>
      <c r="B25" s="13">
        <f>COUNTIF('Functional Test Scenarios'!$D$3:$D$86,"G. Sort")</f>
        <v/>
      </c>
    </row>
    <row r="26">
      <c r="A26" s="13" t="inlineStr">
        <is>
          <t>H. Smart Filter / Detailed Filter</t>
        </is>
      </c>
      <c r="B26" s="13">
        <f>COUNTIF('Functional Test Scenarios'!$D$3:$D$86,"H. Smart Filter / Detailed Filter")</f>
        <v/>
      </c>
    </row>
    <row r="27">
      <c r="A27" s="13" t="inlineStr">
        <is>
          <t>I. Filter Applied State</t>
        </is>
      </c>
      <c r="B27" s="13">
        <f>COUNTIF('Functional Test Scenarios'!$D$3:$D$86,"I. Filter Applied State")</f>
        <v/>
      </c>
    </row>
    <row r="28">
      <c r="A28" s="13" t="inlineStr">
        <is>
          <t>J. Add to Cart</t>
        </is>
      </c>
      <c r="B28" s="13">
        <f>COUNTIF('Functional Test Scenarios'!$D$3:$D$86,"J. Add to Cart")</f>
        <v/>
      </c>
    </row>
    <row r="29">
      <c r="A29" s="13" t="inlineStr">
        <is>
          <t>K. Zero-Result Recovery</t>
        </is>
      </c>
      <c r="B29" s="13">
        <f>COUNTIF('Functional Test Scenarios'!$D$3:$D$86,"K. Zero-Result Recovery")</f>
        <v/>
      </c>
    </row>
    <row r="30">
      <c r="A30" s="13" t="inlineStr">
        <is>
          <t>L. Image Search — Camera</t>
        </is>
      </c>
      <c r="B30" s="13">
        <f>COUNTIF('Functional Test Scenarios'!$D$3:$D$86,"L. Image Search — Camera")</f>
        <v/>
      </c>
    </row>
    <row r="31">
      <c r="A31" s="13" t="inlineStr">
        <is>
          <t>M. Image Search — Gallery</t>
        </is>
      </c>
      <c r="B31" s="13">
        <f>COUNTIF('Functional Test Scenarios'!$D$3:$D$86,"M. Image Search — Gallery")</f>
        <v/>
      </c>
    </row>
    <row r="32">
      <c r="A32" s="13" t="inlineStr">
        <is>
          <t>N. Image Search — Recognition Result</t>
        </is>
      </c>
      <c r="B32" s="13">
        <f>COUNTIF('Functional Test Scenarios'!$D$3:$D$86,"N. Image Search — Recognition Result")</f>
        <v/>
      </c>
    </row>
    <row r="33">
      <c r="A33" s="13" t="inlineStr">
        <is>
          <t>O. Image Search — Fail</t>
        </is>
      </c>
      <c r="B33" s="13">
        <f>COUNTIF('Functional Test Scenarios'!$D$3:$D$86,"O. Image Search — Fail")</f>
        <v/>
      </c>
    </row>
    <row r="34">
      <c r="A34" s="13" t="inlineStr">
        <is>
          <t>P. Voice Search — Listening</t>
        </is>
      </c>
      <c r="B34" s="13">
        <f>COUNTIF('Functional Test Scenarios'!$D$3:$D$86,"P. Voice Search — Listening")</f>
        <v/>
      </c>
    </row>
    <row r="35">
      <c r="A35" s="13" t="inlineStr">
        <is>
          <t>Q. Voice Search — Result</t>
        </is>
      </c>
      <c r="B35" s="13">
        <f>COUNTIF('Functional Test Scenarios'!$D$3:$D$86,"Q. Voice Search — Result")</f>
        <v/>
      </c>
    </row>
    <row r="36">
      <c r="A36" s="13" t="inlineStr">
        <is>
          <t>R. Voice Search — Fail</t>
        </is>
      </c>
      <c r="B36" s="13">
        <f>COUNTIF('Functional Test Scenarios'!$D$3:$D$86,"R. Voice Search — Fail")</f>
        <v/>
      </c>
    </row>
    <row r="37">
      <c r="A37" s="6" t="inlineStr">
        <is>
          <t>Total</t>
        </is>
      </c>
      <c r="B37" s="6">
        <f>SUM(B19:B36)</f>
        <v/>
      </c>
    </row>
    <row r="38"/>
    <row r="39">
      <c r="A39" s="6" t="inlineStr">
        <is>
          <t>Integration — By Module</t>
        </is>
      </c>
    </row>
    <row r="40">
      <c r="A40" s="13" t="inlineStr">
        <is>
          <t>INT-01 — Công cụ xếp hạng tìm kiếm (Search Ranking Engine)</t>
        </is>
      </c>
      <c r="B40" s="13">
        <f>COUNTIF('Integration Test Scenarios'!$C$3:$C$25,"Công cụ xếp hạng tìm kiếm (Search Ranking Engine)")</f>
        <v/>
      </c>
    </row>
    <row r="41">
      <c r="A41" s="13" t="inlineStr">
        <is>
          <t>INT-02 — Hiểu truy vấn — Đồng nghĩa &amp; Đa ngôn ngữ (Query Understanding)</t>
        </is>
      </c>
      <c r="B41" s="13">
        <f>COUNTIF('Integration Test Scenarios'!$C$3:$C$25,"Hiểu truy vấn — Đồng nghĩa &amp; Đa ngôn ngữ (Query Understanding)")</f>
        <v/>
      </c>
    </row>
    <row r="42">
      <c r="A42" s="13" t="inlineStr">
        <is>
          <t>INT-03 — Autocomplete &amp; Sửa lỗi chính tả — Backend</t>
        </is>
      </c>
      <c r="B42" s="13">
        <f>COUNTIF('Integration Test Scenarios'!$C$3:$C$25,"Autocomplete &amp; Sửa lỗi chính tả — Backend")</f>
        <v/>
      </c>
    </row>
    <row r="43">
      <c r="A43" s="13" t="inlineStr">
        <is>
          <t>INT-04 — Cá nhân hoá — Tích hợp OMS (Order History)</t>
        </is>
      </c>
      <c r="B43" s="13">
        <f>COUNTIF('Integration Test Scenarios'!$C$3:$C$25,"Cá nhân hoá — Tích hợp OMS (Order History)")</f>
        <v/>
      </c>
    </row>
    <row r="44">
      <c r="A44" s="13" t="inlineStr">
        <is>
          <t>INT-05 — Sponsored Ads — Tích hợp Retail Media</t>
        </is>
      </c>
      <c r="B44" s="13">
        <f>COUNTIF('Integration Test Scenarios'!$C$3:$C$25,"Sponsored Ads — Tích hợp Retail Media")</f>
        <v/>
      </c>
    </row>
    <row r="45">
      <c r="A45" s="13" t="inlineStr">
        <is>
          <t>INT-06 — Tìm bằng ảnh — Tích hợp Computer Vision Service</t>
        </is>
      </c>
      <c r="B45" s="13">
        <f>COUNTIF('Integration Test Scenarios'!$C$3:$C$25,"Tìm bằng ảnh — Tích hợp Computer Vision Service")</f>
        <v/>
      </c>
    </row>
    <row r="46">
      <c r="A46" s="13" t="inlineStr">
        <is>
          <t>INT-07 — Tìm bằng giọng nói — Tích hợp Speech-to-Text Service</t>
        </is>
      </c>
      <c r="B46" s="13">
        <f>COUNTIF('Integration Test Scenarios'!$C$3:$C$25,"Tìm bằng giọng nói — Tích hợp Speech-to-Text Service")</f>
        <v/>
      </c>
    </row>
    <row r="47">
      <c r="A47" s="13" t="inlineStr">
        <is>
          <t>INT-08 — Thêm giỏ hàng — Tích hợp Cart/OMS Transactional</t>
        </is>
      </c>
      <c r="B47" s="13">
        <f>COUNTIF('Integration Test Scenarios'!$C$3:$C$25,"Thêm giỏ hàng — Tích hợp Cart/OMS Transactional")</f>
        <v/>
      </c>
    </row>
    <row r="48">
      <c r="A48" s="13" t="inlineStr">
        <is>
          <t>INT-09 — Catalog &amp; Inventory — Đồng bộ tồn kho thời gian thực</t>
        </is>
      </c>
      <c r="B48" s="13">
        <f>COUNTIF('Integration Test Scenarios'!$C$3:$C$25,"Catalog &amp; Inventory — Đồng bộ tồn kho thời gian thực")</f>
        <v/>
      </c>
    </row>
    <row r="49">
      <c r="A49" s="13" t="inlineStr">
        <is>
          <t>INT-10 — Zero-Result Fallback Engine — Thuật toán gợi ý thay thế</t>
        </is>
      </c>
      <c r="B49" s="13">
        <f>COUNTIF('Integration Test Scenarios'!$C$3:$C$25,"Zero-Result Fallback Engine — Thuật toán gợi ý thay thế")</f>
        <v/>
      </c>
    </row>
    <row r="50">
      <c r="A50" s="13" t="inlineStr">
        <is>
          <t>INT-11 — Auth &amp; Session — Guest vs Member</t>
        </is>
      </c>
      <c r="B50" s="13">
        <f>COUNTIF('Integration Test Scenarios'!$C$3:$C$25,"Auth &amp; Session — Guest vs Member")</f>
        <v/>
      </c>
    </row>
    <row r="51">
      <c r="A51" s="13" t="inlineStr">
        <is>
          <t>INT-12 — Analytics &amp; Event Logging</t>
        </is>
      </c>
      <c r="B51" s="13">
        <f>COUNTIF('Integration Test Scenarios'!$C$3:$C$25,"Analytics &amp; Event Logging")</f>
        <v/>
      </c>
    </row>
    <row r="52">
      <c r="A52" s="13" t="inlineStr">
        <is>
          <t>INT-13 — Hiệu năng &amp; Khả năng chịu tải (Performance/NFR)</t>
        </is>
      </c>
      <c r="B52" s="13">
        <f>COUNTIF('Integration Test Scenarios'!$C$3:$C$25,"Hiệu năng &amp; Khả năng chịu tải (Performance/NFR)")</f>
        <v/>
      </c>
    </row>
    <row r="53">
      <c r="A53" s="13" t="inlineStr">
        <is>
          <t>INT-14 — Bảo mật &amp; Quyền riêng tư dữ liệu (Security/PDPL)</t>
        </is>
      </c>
      <c r="B53" s="13">
        <f>COUNTIF('Integration Test Scenarios'!$C$3:$C$25,"Bảo mật &amp; Quyền riêng tư dữ liệu (Security/PDPL)")</f>
        <v/>
      </c>
    </row>
    <row r="54">
      <c r="A54" s="6" t="inlineStr">
        <is>
          <t>Total</t>
        </is>
      </c>
      <c r="B54" s="6">
        <f>SUM(B40:B53)</f>
        <v/>
      </c>
    </row>
    <row r="55"/>
    <row r="56">
      <c r="A56" s="6" t="inlineStr">
        <is>
          <t>Functional — By Test Case Type</t>
        </is>
      </c>
    </row>
    <row r="57">
      <c r="A57" s="13" t="inlineStr">
        <is>
          <t>Normal</t>
        </is>
      </c>
      <c r="B57" s="13">
        <f>COUNTIF('Functional Test Cases'!$E$3:$E$187,"Normal")</f>
        <v/>
      </c>
    </row>
    <row r="58">
      <c r="A58" s="13" t="inlineStr">
        <is>
          <t>Functional</t>
        </is>
      </c>
      <c r="B58" s="13">
        <f>COUNTIF('Functional Test Cases'!$E$3:$E$187,"Functional")</f>
        <v/>
      </c>
    </row>
    <row r="59">
      <c r="A59" s="13" t="inlineStr">
        <is>
          <t>Validation</t>
        </is>
      </c>
      <c r="B59" s="13">
        <f>COUNTIF('Functional Test Cases'!$E$3:$E$187,"Validation")</f>
        <v/>
      </c>
    </row>
    <row r="60">
      <c r="A60" s="13" t="inlineStr">
        <is>
          <t>Negative</t>
        </is>
      </c>
      <c r="B60" s="13">
        <f>COUNTIF('Functional Test Cases'!$E$3:$E$187,"Negative")</f>
        <v/>
      </c>
    </row>
    <row r="61">
      <c r="A61" s="13" t="inlineStr">
        <is>
          <t>Boundary</t>
        </is>
      </c>
      <c r="B61" s="13">
        <f>COUNTIF('Functional Test Cases'!$E$3:$E$187,"Boundary")</f>
        <v/>
      </c>
    </row>
    <row r="62">
      <c r="A62" s="13" t="inlineStr">
        <is>
          <t>Edge</t>
        </is>
      </c>
      <c r="B62" s="13">
        <f>COUNTIF('Functional Test Cases'!$E$3:$E$187,"Edge")</f>
        <v/>
      </c>
    </row>
    <row r="63">
      <c r="A63" s="13" t="inlineStr">
        <is>
          <t>Exception</t>
        </is>
      </c>
      <c r="B63" s="13">
        <f>COUNTIF('Functional Test Cases'!$E$3:$E$187,"Exception")</f>
        <v/>
      </c>
    </row>
    <row r="64">
      <c r="A64" s="13" t="inlineStr">
        <is>
          <t>Integration</t>
        </is>
      </c>
      <c r="B64" s="13">
        <f>COUNTIF('Functional Test Cases'!$E$3:$E$187,"Integration")</f>
        <v/>
      </c>
    </row>
    <row r="65">
      <c r="A65" s="13" t="inlineStr">
        <is>
          <t>Performance</t>
        </is>
      </c>
      <c r="B65" s="13">
        <f>COUNTIF('Functional Test Cases'!$E$3:$E$187,"Performance")</f>
        <v/>
      </c>
    </row>
    <row r="66">
      <c r="A66" s="13" t="inlineStr">
        <is>
          <t>Sponsored</t>
        </is>
      </c>
      <c r="B66" s="13">
        <f>COUNTIF('Functional Test Cases'!$E$3:$E$187,"Sponsored")</f>
        <v/>
      </c>
    </row>
    <row r="67">
      <c r="A67" s="13" t="inlineStr">
        <is>
          <t>Ranking</t>
        </is>
      </c>
      <c r="B67" s="13">
        <f>COUNTIF('Functional Test Cases'!$E$3:$E$187,"Ranking")</f>
        <v/>
      </c>
    </row>
    <row r="68">
      <c r="A68" s="13" t="inlineStr">
        <is>
          <t>No-result</t>
        </is>
      </c>
      <c r="B68" s="13">
        <f>COUNTIF('Functional Test Cases'!$E$3:$E$187,"No-result")</f>
        <v/>
      </c>
    </row>
    <row r="69">
      <c r="A69" s="13" t="inlineStr">
        <is>
          <t>Typo</t>
        </is>
      </c>
      <c r="B69" s="13">
        <f>COUNTIF('Functional Test Cases'!$E$3:$E$187,"Typo")</f>
        <v/>
      </c>
    </row>
    <row r="70">
      <c r="A70" s="13" t="inlineStr">
        <is>
          <t>Sort</t>
        </is>
      </c>
      <c r="B70" s="13">
        <f>COUNTIF('Functional Test Cases'!$E$3:$E$187,"Sort")</f>
        <v/>
      </c>
    </row>
    <row r="71">
      <c r="A71" s="13" t="inlineStr">
        <is>
          <t>Filter</t>
        </is>
      </c>
      <c r="B71" s="13">
        <f>COUNTIF('Functional Test Cases'!$E$3:$E$187,"Filter")</f>
        <v/>
      </c>
    </row>
    <row r="72">
      <c r="A72" s="6" t="inlineStr">
        <is>
          <t>Total</t>
        </is>
      </c>
      <c r="B72" s="6">
        <f>SUM(B57:B71)</f>
        <v/>
      </c>
    </row>
    <row r="73"/>
    <row r="74">
      <c r="A74" s="6" t="inlineStr">
        <is>
          <t>Integration — By Test Case Type</t>
        </is>
      </c>
    </row>
    <row r="75">
      <c r="A75" s="13" t="inlineStr">
        <is>
          <t>Functional</t>
        </is>
      </c>
      <c r="B75" s="13">
        <f>COUNTIF('Integration Test Cases'!$E$3:$E$45,"Functional")</f>
        <v/>
      </c>
    </row>
    <row r="76">
      <c r="A76" s="13" t="inlineStr">
        <is>
          <t>Behavior</t>
        </is>
      </c>
      <c r="B76" s="13">
        <f>COUNTIF('Integration Test Cases'!$E$3:$E$45,"Behavior")</f>
        <v/>
      </c>
    </row>
    <row r="77">
      <c r="A77" s="13" t="inlineStr">
        <is>
          <t>Integration</t>
        </is>
      </c>
      <c r="B77" s="13">
        <f>COUNTIF('Integration Test Cases'!$E$3:$E$45,"Integration")</f>
        <v/>
      </c>
    </row>
    <row r="78">
      <c r="A78" s="13" t="inlineStr">
        <is>
          <t>Boundary</t>
        </is>
      </c>
      <c r="B78" s="13">
        <f>COUNTIF('Integration Test Cases'!$E$3:$E$45,"Boundary")</f>
        <v/>
      </c>
    </row>
    <row r="79">
      <c r="A79" s="13" t="inlineStr">
        <is>
          <t>Negative</t>
        </is>
      </c>
      <c r="B79" s="13">
        <f>COUNTIF('Integration Test Cases'!$E$3:$E$45,"Negative")</f>
        <v/>
      </c>
    </row>
    <row r="80">
      <c r="A80" s="13" t="inlineStr">
        <is>
          <t>Performance</t>
        </is>
      </c>
      <c r="B80" s="13">
        <f>COUNTIF('Integration Test Cases'!$E$3:$E$45,"Performance")</f>
        <v/>
      </c>
    </row>
    <row r="81">
      <c r="A81" s="13" t="inlineStr">
        <is>
          <t>Security</t>
        </is>
      </c>
      <c r="B81" s="13">
        <f>COUNTIF('Integration Test Cases'!$E$3:$E$45,"Security")</f>
        <v/>
      </c>
    </row>
    <row r="82">
      <c r="A82" s="6" t="inlineStr">
        <is>
          <t>Total</t>
        </is>
      </c>
      <c r="B82" s="6">
        <f>SUM(B75:B81)</f>
        <v/>
      </c>
    </row>
  </sheetData>
  <mergeCells count="1">
    <mergeCell ref="A1:E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C12"/>
  <sheetViews>
    <sheetView showGridLines="0" zoomScaleNormal="100" workbookViewId="0">
      <selection activeCell="B27" sqref="B27"/>
    </sheetView>
  </sheetViews>
  <sheetFormatPr baseColWidth="8" defaultColWidth="8.7109375" defaultRowHeight="15"/>
  <cols>
    <col width="28" customWidth="1" min="1" max="1"/>
    <col width="60" customWidth="1" min="2" max="2"/>
    <col width="20" customWidth="1" min="3" max="3"/>
  </cols>
  <sheetData>
    <row r="1" ht="21.75" customHeight="1">
      <c r="A1" s="2" t="inlineStr">
        <is>
          <t>Integration Points Reference</t>
        </is>
      </c>
    </row>
    <row r="3">
      <c r="A3" s="12" t="inlineStr">
        <is>
          <t>System/Service</t>
        </is>
      </c>
      <c r="B3" s="12" t="inlineStr">
        <is>
          <t>Role in Smart Search</t>
        </is>
      </c>
      <c r="C3" s="12" t="inlineStr">
        <is>
          <t>Modules Using It</t>
        </is>
      </c>
    </row>
    <row r="4" ht="25.5" customHeight="1">
      <c r="A4" s="9" t="inlineStr">
        <is>
          <t>Search Service (core)</t>
        </is>
      </c>
      <c r="B4" s="9" t="inlineStr">
        <is>
          <t>Nhận truy vấn, chạy Query Understanding, gọi Ranking Engine, tổng hợp response cuối cùng.</t>
        </is>
      </c>
      <c r="C4" s="9" t="inlineStr">
        <is>
          <t>INT-01, INT-02, INT-03</t>
        </is>
      </c>
    </row>
    <row r="5" ht="25.5" customHeight="1">
      <c r="A5" s="9" t="inlineStr">
        <is>
          <t>OMS (Order Management System)</t>
        </is>
      </c>
      <c r="B5" s="9" t="inlineStr">
        <is>
          <t>Cung cấp Order History để tính "Thường mua" và trạng thái giỏ hàng.</t>
        </is>
      </c>
      <c r="C5" s="9" t="inlineStr">
        <is>
          <t>INT-04, INT-08</t>
        </is>
      </c>
    </row>
    <row r="6" ht="25.5" customHeight="1">
      <c r="A6" s="9" t="inlineStr">
        <is>
          <t>Retail Media Platform</t>
        </is>
      </c>
      <c r="B6" s="9" t="inlineStr">
        <is>
          <t>Cung cấp danh sách sản phẩm Sponsored theo chiến dịch quảng cáo đang chạy.</t>
        </is>
      </c>
      <c r="C6" s="9" t="inlineStr">
        <is>
          <t>INT-05</t>
        </is>
      </c>
    </row>
    <row r="7">
      <c r="A7" s="9" t="inlineStr">
        <is>
          <t>Computer Vision (CV) Service</t>
        </is>
      </c>
      <c r="B7" s="9" t="inlineStr">
        <is>
          <t>Nhận diện sản phẩm từ ảnh, trả về nhãn/embedding kèm độ tin cậy.</t>
        </is>
      </c>
      <c r="C7" s="9" t="inlineStr">
        <is>
          <t>INT-06</t>
        </is>
      </c>
    </row>
    <row r="8">
      <c r="A8" s="9" t="inlineStr">
        <is>
          <t>Speech-to-Text (STT) Service</t>
        </is>
      </c>
      <c r="B8" s="9" t="inlineStr">
        <is>
          <t>Chuyển giọng nói thành văn bản (transcript) kèm độ tin cậy.</t>
        </is>
      </c>
      <c r="C8" s="9" t="inlineStr">
        <is>
          <t>INT-07</t>
        </is>
      </c>
    </row>
    <row r="9">
      <c r="A9" s="9" t="inlineStr">
        <is>
          <t>Inventory Service</t>
        </is>
      </c>
      <c r="B9" s="9" t="inlineStr">
        <is>
          <t>Cung cấp trạng thái tồn kho thời gian thực cho Search Index.</t>
        </is>
      </c>
      <c r="C9" s="9" t="inlineStr">
        <is>
          <t>INT-09</t>
        </is>
      </c>
    </row>
    <row r="10" ht="25.5" customHeight="1">
      <c r="A10" s="9" t="inlineStr">
        <is>
          <t>Zero-Result Fallback Engine</t>
        </is>
      </c>
      <c r="B10" s="9" t="inlineStr">
        <is>
          <t>Tính Substitute (vector similarity) và Cross-sell (basket analysis) khi 0 kết quả.</t>
        </is>
      </c>
      <c r="C10" s="9" t="inlineStr">
        <is>
          <t>INT-10</t>
        </is>
      </c>
    </row>
    <row r="11">
      <c r="A11" s="9" t="inlineStr">
        <is>
          <t>Auth/Membership Service</t>
        </is>
      </c>
      <c r="B11" s="9" t="inlineStr">
        <is>
          <t>Xác thực Token, phân biệt Guest/Member.</t>
        </is>
      </c>
      <c r="C11" s="9" t="inlineStr">
        <is>
          <t>INT-11</t>
        </is>
      </c>
    </row>
    <row r="12">
      <c r="A12" s="9" t="inlineStr">
        <is>
          <t>Analytics Pipeline</t>
        </is>
      </c>
      <c r="B12" s="9" t="inlineStr">
        <is>
          <t>Ghi nhận sự kiện tìm kiếm để tính Trending Score và báo cáo.</t>
        </is>
      </c>
      <c r="C12" s="9" t="inlineStr">
        <is>
          <t>INT-12</t>
        </is>
      </c>
    </row>
  </sheetData>
  <mergeCells count="1">
    <mergeCell ref="A1:C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2026-08-18T03:03:26Z</dcterms:created>
  <dcterms:modified xmlns:dcterms="http://purl.org/dc/terms/" xmlns:xsi="http://www.w3.org/2001/XMLSchema-instance" xsi:type="dcterms:W3CDTF">2026-09-28T08:04:24Z</dcterms:modified>
  <cp:lastModifiedBy>License Lotte</cp:lastModifiedBy>
  <cp:revision>0</cp:revision>
</cp:coreProperties>
</file>