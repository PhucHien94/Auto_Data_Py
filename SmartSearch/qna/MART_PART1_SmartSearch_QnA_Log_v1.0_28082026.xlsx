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0" documentId="8_{376D514A-0238-4FAC-BC39-13C5B3CB3D54}" xr6:coauthVersionLast="47" xr6:coauthVersionMax="47" xr10:uidLastSave="{00000000-0000-0000-0000-000000000000}"/>
  <bookViews>
    <workbookView xWindow="-120" yWindow="-120" windowWidth="29040" windowHeight="15720" tabRatio="500" xr2:uid="{00000000-000D-0000-FFFF-FFFF00000000}"/>
  </bookViews>
  <sheets>
    <sheet name="QnA Log"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6" i="1" l="1"/>
  <c r="B75" i="1"/>
  <c r="B77" i="1"/>
</calcChain>
</file>

<file path=xl/sharedStrings.xml><?xml version="1.0" encoding="utf-8"?>
<sst xmlns="http://schemas.openxmlformats.org/spreadsheetml/2006/main" count="817" uniqueCount="553">
  <si>
    <t>MART Smart Search — QnA Log (Requirement / Design Clarification)</t>
  </si>
  <si>
    <t>Phát sinh trong quá trình QC đối chiếu BRD_AI_Search_VI_v0_0_3_20260812.docx với MART-DE03-Smart_Search_Storyboard-Mobile_App-v0_1-20260816.pptx và ảnh Figma đính kèm — 17/08/2026. Dùng mã QnA-xx này trong cột 'QnA Ref' / 'Comments' của file test case tương ứng.</t>
  </si>
  <si>
    <t>QnA ID</t>
  </si>
  <si>
    <t>Khu vực / Area</t>
  </si>
  <si>
    <t>Câu hỏi / Vấn đề cần làm rõ</t>
  </si>
  <si>
    <t>Nguồn tham chiếu (Screen/REQ)</t>
  </si>
  <si>
    <t>Người nêu</t>
  </si>
  <si>
    <t>Chủ sở hữu cần trả lời (Owner)</t>
  </si>
  <si>
    <t>Trạng thái</t>
  </si>
  <si>
    <t>Ảnh hưởng nếu chưa trả lời</t>
  </si>
  <si>
    <t>Test Case liên quan</t>
  </si>
  <si>
    <t>Ngày nêu</t>
  </si>
  <si>
    <r>
      <rPr>
        <b/>
        <sz val="10"/>
        <color rgb="FFFFFFFF"/>
        <rFont val="Arial"/>
      </rPr>
      <t xml:space="preserve">Câu trả lời / Quyết định (BA điền)
</t>
    </r>
    <r>
      <rPr>
        <b/>
        <u/>
        <sz val="10"/>
        <color rgb="FFFFFFFF"/>
        <rFont val="Arial"/>
      </rPr>
      <t>Ngày BA nhận sheet này</t>
    </r>
    <r>
      <rPr>
        <b/>
        <sz val="10"/>
        <color rgb="FFFFFFFF"/>
        <rFont val="Arial"/>
      </rPr>
      <t>:</t>
    </r>
    <r>
      <rPr>
        <b/>
        <i/>
        <sz val="10"/>
        <color rgb="FFFFFFFF"/>
        <rFont val="Arial"/>
      </rPr>
      <t xml:space="preserve"> 21/08/2026</t>
    </r>
  </si>
  <si>
    <t>Ngày trả lời</t>
  </si>
  <si>
    <t>Note</t>
  </si>
  <si>
    <t>QnA-01</t>
  </si>
  <si>
    <t>Pre-search — Thường mua</t>
  </si>
  <si>
    <t>Khối "Thường mua" (Frequently Purchased) cho Khách vãng lai / chưa đăng nhập: ẨN hoàn toàn khối hay THAY bằng "Bán chạy tại LOTTE Mart"?</t>
  </si>
  <si>
    <t>SS-SCR-001 (Storyboard, Mục cần chốt #2)</t>
  </si>
  <si>
    <t>QC (dựa trên Storyboard 'Mục cần chốt' #2)</t>
  </si>
  <si>
    <t>BA / UX</t>
  </si>
  <si>
    <t>Open</t>
  </si>
  <si>
    <t>Chặn thực thi Pass/Fail cho test case SS-SCR-001-SC4-TC2.</t>
  </si>
  <si>
    <t>SS-SCR-001-SC4-TC2</t>
  </si>
  <si>
    <t>17/08/2026</t>
  </si>
  <si>
    <t>2 khối đó không dependent lẫn nhau.
Process trước khối "Thường mua". Khối "Bán chạy tại LOTTE Mart" chạy sau (chờ bên Mart confirm).</t>
  </si>
  <si>
    <t>24/08/2026</t>
  </si>
  <si>
    <t>QnA-02</t>
  </si>
  <si>
    <t>Zero Result — Khối gợi ý phụ</t>
  </si>
  <si>
    <t>Hai khối "Từ khoá tương tự" và "Bạn có thể cần?" trên Zero Result Page đã thiết kế nhưng đang TẮT — bật ở v1 hay để phase sau?</t>
  </si>
  <si>
    <t>SS-SCR-012 (Storyboard, Mục cần chốt #4)</t>
  </si>
  <si>
    <t>QC (dựa trên Storyboard 'Mục cần chốt' #4)</t>
  </si>
  <si>
    <t>BA / PO</t>
  </si>
  <si>
    <t>Chặn thực thi Pass/Fail cho test case SS-SCR-012-SC1-TC3.</t>
  </si>
  <si>
    <t>SS-SCR-012-SC1-TC3</t>
  </si>
  <si>
    <t>Theo Wireframe hiện tại, chỉ có 1 khối "Có thể bạn sẽ thích" trên trang Zero</t>
  </si>
  <si>
    <t>QnA-03</t>
  </si>
  <si>
    <t>Ngưỡng kỹ thuật (Debounce / Fuzzy-match / Confidence)</t>
  </si>
  <si>
    <t>Các ngưỡng kỹ thuật chưa chốt số cụ thể: debounce autocomplete (đề xuất 300ms — đã khớp BRD NFR-002 nhưng cần TD xác nhận triển khai thực tế), ngưỡng fuzzy-match sửa chính tả (Levenshtein / phonetic tiếng Việt không dấu), ngưỡng confidence nhận diện ảnh.</t>
  </si>
  <si>
    <t>SS-SCR-002 / SS-SCR-003 / SS-SCR-015 (Storyboard, Mục cần chốt #5)</t>
  </si>
  <si>
    <t>QC (dựa trên Storyboard 'Mục cần chốt' #5)</t>
  </si>
  <si>
    <t>TD</t>
  </si>
  <si>
    <t>Chặn thực thi Pass/Fail định lượng cho test case SS-SCR-015-SC1-TC3.</t>
  </si>
  <si>
    <t>SS-SCR-015-SC1-TC3</t>
  </si>
  <si>
    <t>QnA-04</t>
  </si>
  <si>
    <t>Vị trí sản phẩm Sponsored</t>
  </si>
  <si>
    <t>Vị trí chèn sản phẩm Sponsored trong lưới kết quả: SLOT CỐ ĐỊNH hay theo ĐẤU GIÁ Retail Media?</t>
  </si>
  <si>
    <t>SS-SCR-005 (Storyboard, Mục cần chốt #7)</t>
  </si>
  <si>
    <t>QC (dựa trên Storyboard 'Mục cần chốt' #7)</t>
  </si>
  <si>
    <t>PO / Retail Media</t>
  </si>
  <si>
    <t>Chặn xác định vị trí kỳ vọng cụ thể trong test case SS-SCR-005-SC2-TC2 (chỉ kiểm tra được quy tắc out-of-stock, chưa kiểm tra được vị trí chèn chính xác).</t>
  </si>
  <si>
    <t>SS-SCR-005-SC2-TC1, SS-SCR-005-SC2-TC2</t>
  </si>
  <si>
    <t>Hiện tại chưa chốt bên Mart về việc có hay không config sản phẩm sponsored =&gt; tạm thời skip</t>
  </si>
  <si>
    <t>QnA-05</t>
  </si>
  <si>
    <t>Toast Thêm giỏ — CTA</t>
  </si>
  <si>
    <t>Nút trên Toast "Đã thêm vào giỏ hàng": giữ nhãn "Đóng" hay đổi thành "Xem giỏ" để rút ngắn đường tới checkout?</t>
  </si>
  <si>
    <t>SS-SCR-011 (Storyboard, Mục cần chốt #8)</t>
  </si>
  <si>
    <t>QC (dựa trên Storyboard 'Mục cần chốt' #8)</t>
  </si>
  <si>
    <t>UX</t>
  </si>
  <si>
    <t>Không ảnh hưởng test case hiện tại (nội dung toast đã test theo bản wireframe); cần bổ sung TC mới nếu đổi nhãn nút.</t>
  </si>
  <si>
    <t>QnA-06</t>
  </si>
  <si>
    <t>Đối chiếu mã REQ ID (Storyboard vs BRD v0.0.3)</t>
  </si>
  <si>
    <t>Nhiều mã REQ ID trong Storyboard (FR-SP-03, FR-PR-03, FR-SF-02/03, FR-AC-01, FR-IS-01..04, FR-VS-01..03) do chính tác giả storyboard TỰ GÁN vì BRD bản trước (v0.0.2) chưa có mã cho các màn hình này. BRD v0.0.3 (bản hiện tại) đã công bố bộ mã FR-AC/FR-IS/FR-VS riêng nhưng phạm vi có thể khác. Cần rà soát lại toàn bộ ánh xạ Screen ID ↔ FR ID trước khi dùng làm khoá truy vết chính thức.</t>
  </si>
  <si>
    <t>Storyboard slide 26 (Mục cần chốt #1) + toàn bộ 19 slide màn hình</t>
  </si>
  <si>
    <t>QC (đối chiếu BRD v0.0.3 với Storyboard v0.1)</t>
  </si>
  <si>
    <t>BA</t>
  </si>
  <si>
    <t>Ảnh hưởng độ tin cậy của cột REQ ID trên toàn bộ sheet Test Scenarios/Test Cases của bộ test case này — đã dùng mã theo storyboard hiện tại, cần cập nhật lại sau khi BA rà soát.</t>
  </si>
  <si>
    <t>Toàn bộ (all rows)</t>
  </si>
  <si>
    <t>Done</t>
  </si>
  <si>
    <t>26/08/2026</t>
  </si>
  <si>
    <t>QnA-07</t>
  </si>
  <si>
    <t>Add to Cart — Thiếu FR ID chính thức</t>
  </si>
  <si>
    <t>SS-SCR-011 (Thêm vào giỏ hàng) được storyboard gắn REQ ID "FR-AC-01", nhưng FR-AC-01 trong BRD v0.0.3 là banner tự sửa chính tả — không liên quan đến add-to-cart. BRD hiện không có FR ID riêng cho hành vi thêm giỏ tại trang kết quả. Đề nghị BA cấp mã FR ID chính thức.</t>
  </si>
  <si>
    <t>SS-SCR-011 header vs BRD §5.2 FR-AC-01</t>
  </si>
  <si>
    <t>QC (đối chiếu BRD v0.0.3)</t>
  </si>
  <si>
    <t>Cột REQ ID của toàn bộ scenario/TC thuộc màn SS-SCR-011 tạm để trống/ghi chú, chờ mã chính thức.</t>
  </si>
  <si>
    <t>SS-SCR-011-SC1-TC1..TC3</t>
  </si>
  <si>
    <t>Thêm vào giỏ hàng không nằm trong scope Smart Search</t>
  </si>
  <si>
    <t>QnA-08</t>
  </si>
  <si>
    <t>Loading Screen — NFR ID không tồn tại trong BRD</t>
  </si>
  <si>
    <t>SS-SCR-004 (Loading) được storyboard gắn REQ ID "NFR-SS-01" — mã này KHÔNG có trong danh sách NFR-001..014 của BRD v0.0.3. NFR nào thực sự áp dụng cho ngưỡng hiển thị Loading (&gt;300ms) và fallback lỗi mạng (&gt;5s)?</t>
  </si>
  <si>
    <t>SS-SCR-004 header vs BRD §7 Yêu cầu Phi chức năng</t>
  </si>
  <si>
    <t>QC (đối chiếu BRD v0.0.3 §7)</t>
  </si>
  <si>
    <t>BA / TD</t>
  </si>
  <si>
    <t>Cột REQ ID của test case SS-SCR-004-SC1-TC1 tạm ghi chú chờ xác nhận.</t>
  </si>
  <si>
    <t>SS-SCR-004-SC1-TC1</t>
  </si>
  <si>
    <t>QnA-09</t>
  </si>
  <si>
    <t>Camera Capture — Khung hướng dẫn canh giữa</t>
  </si>
  <si>
    <t>Camera Screen hiện chưa có khung/overlay hướng dẫn khách canh sản phẩm vào giữa khung hình để tăng tỉ lệ nhận diện — có bổ sung ở v1 không?</t>
  </si>
  <si>
    <t>SS-SCR-013 (Ghi chú/Vấn đề mở)</t>
  </si>
  <si>
    <t>QC (dựa trên ghi chú SS-SCR-013)</t>
  </si>
  <si>
    <t>Test case SS-SCR-013-SC1-TC3 không chấm Fail cho thiếu sót này ở bản v0.1, chờ quyết định scope.</t>
  </si>
  <si>
    <t>SS-SCR-013-SC1-TC3</t>
  </si>
  <si>
    <t>QnA-10</t>
  </si>
  <si>
    <t>Sai lệch Screen ID — Toast Add-to-Cart</t>
  </si>
  <si>
    <t>Slide mô tả SS-SCR-001 (mục 7), SS-SCR-005 (mục 6) và SS-SCR-006 (mục 5) đều trích dẫn Toast thêm giỏ là "(SS-SCR-010)", nhưng SS-SCR-010 thực chất là màn "Sau khi áp dụng Bộ lọc". Toast thêm giỏ thực sự thuộc SS-SCR-011. Đề nghị BA/UX sửa lại tham chiếu trong storyboard trước khi bàn giao dev.</t>
  </si>
  <si>
    <t>SS-SCR-001/005/006 vs SS-SCR-010/011</t>
  </si>
  <si>
    <t>QC (phát hiện khi đối chiếu nội bộ storyboard)</t>
  </si>
  <si>
    <t>Không chặn thực thi test case (đã tự suy luận đúng SS-SCR-011 khi biên soạn); chỉ cần cập nhật tài liệu storyboard gốc.</t>
  </si>
  <si>
    <t>SS-SCR-011-SC1-TC1</t>
  </si>
  <si>
    <t>QnA-11</t>
  </si>
  <si>
    <t>SS-SCR-007 không tồn tại trong bản export v0.1</t>
  </si>
  <si>
    <t>SS-SCR-005 (mục 2) và SS-SCR-015 (mục 3) đều điều hướng tới "SS-SCR-007", nhưng bản storyboard v0.1 không có slide/mockup nào cho SS-SCR-007 (bộ slide nhảy thẳng từ SS-SCR-006 sang SS-SCR-008). Bị thiếu khi export hay đã gộp vào SS-SCR-008 (Sort sheet)?</t>
  </si>
  <si>
    <t>SS-SCR-005 mục 2, SS-SCR-015 mục 3</t>
  </si>
  <si>
    <t>QC (đối chiếu điều hướng giữa các slide)</t>
  </si>
  <si>
    <t>Test case SS-SCR-005-SC1-TC1 tạm coi SS-SCR-007 = tương đương SS-SCR-008 (Sort sheet) để có thể thực thi; cần BA/UX xác nhận lại.</t>
  </si>
  <si>
    <t>SS-SCR-005-SC1-TC1</t>
  </si>
  <si>
    <t>QnA-12</t>
  </si>
  <si>
    <t>Danh sách 8 tuỳ chọn Sắp xếp — khác biệt BRD vs Storyboard</t>
  </si>
  <si>
    <t>BRD FR-PR-06 liệt kê "Liên quan nhất" + 7 tuỳ chọn cũ (Bán chạy nhất, Giảm giá nhiều nhất, Đánh giá cao nhất, Giá thấp→cao, Giá cao→thấp, Tên A-Z — chỉ 6 mục, không đủ 7 như BRD nêu "8 tuỳ chọn"); trong khi SS-SCR-008 liệt kê đủ 8 mục nhưng có thêm "Xem nhiều nhất" (Most-viewed) mà BRD không nhắc tới. Danh sách 8 mục chính thức là gì?</t>
  </si>
  <si>
    <t>BRD §5.2 FR-PR-06 vs SS-SCR-008</t>
  </si>
  <si>
    <t>QC (đối chiếu BRD §5.2 FR-PR-06 với SS-SCR-008)</t>
  </si>
  <si>
    <t>Test case SS-SCR-008-SC1-TC2 không thực thi Pass/Fail cho tới khi có danh sách chính thức.</t>
  </si>
  <si>
    <t>SS-SCR-008-SC1-TC2</t>
  </si>
  <si>
    <t>Follow theo SS-SCR-008, đã update BRD</t>
  </si>
  <si>
    <t>QnA-13</t>
  </si>
  <si>
    <t>File hình ảnh Text_Search.png xuất quá tối</t>
  </si>
  <si>
    <t>Text_Search.png xuất ra rất tối (~98% pixel gần đen trên khung 1568×672) khi xem trực tiếp — KHÔNG phải file hỏng: sau khi QC tăng sáng/auto-contrast, toàn bộ nội dung hiện rõ (Pre-search → Autocomplete → Sửa chính tả → Kết quả → Bộ lọc → Zero Result → Thêm giỏ) và đã dùng để đối chiếu lại bộ test case (phát hiện thêm một số vấn đề khác qua quá trình rà soát). Đề nghị BA export lại ở đúng mức phơi sáng (exposure) từ Figma để các công cụ xem ảnh thông thường (không tự tăng sáng) cũng đọc được.</t>
  </si>
  <si>
    <t>Text_Search.png (file đính kèm project) — đã xử lý bằng PIL autocontrast để đối chiếu</t>
  </si>
  <si>
    <t>QC (kiểm tra file đính kèm, đã tự khắc phục để đối chiếu)</t>
  </si>
  <si>
    <t>Không còn chặn việc đối chiếu (QC đã tự khắc phục cho lần review này), nhưng nên export lại file gốc cho đúng độ sáng để các bên liên quan khác (Dev, PM) xem trực tiếp được mà không cần xử lý ảnh.</t>
  </si>
  <si>
    <t>N/A</t>
  </si>
  <si>
    <t>Xem figma</t>
  </si>
  <si>
    <t>QnA-14</t>
  </si>
  <si>
    <t>Chuyển đổi phương thức tìm kiếm giữa chừng</t>
  </si>
  <si>
    <t>Khi khách đang xem kết quả Text Search (có filter/sort đang áp dụng) rồi chuyển sang Image hoặc Voice Search, filter/sort cũ có được giữ lại cho kết quả mới hay tự động reset? BRD/Storyboard chưa mô tả trường hợp CHUYỂN PHƯƠNG THỨC (khác với trường hợp đổi từ khoá CÙNG phương thức, đã xác nhận là tự động xoá bộ lọc).</t>
  </si>
  <si>
    <t>SS-SCR-005 (suy luận liên màn hình)</t>
  </si>
  <si>
    <t>QC (rà soát bổ sung theo yêu cầu review lần 2)</t>
  </si>
  <si>
    <t>Test case SS-SCR-005-SC5-TC1 không chấm Pass/Fail cho tới khi xác nhận.</t>
  </si>
  <si>
    <t>SS-SCR-005-SC5-TC1</t>
  </si>
  <si>
    <t>Tương tự như trường hợp cùng phương thức</t>
  </si>
  <si>
    <t>QnA-15</t>
  </si>
  <si>
    <t>Phiên đăng nhập hết hạn giữa lúc tìm kiếm</t>
  </si>
  <si>
    <t>Nếu phiên đăng nhập của Thành viên hết hạn ngay trong lúc đang thao tác (VD: đang xem kết quả cá nhân hoá, hoặc đang thêm giỏ hàng), UI xử lý ra sao (bắt đăng nhập lại ngay, hay tiếp tục ở chế độ Khách vãng lai)? Chưa có tài liệu quy định.</t>
  </si>
  <si>
    <t>Không có trong BRD/Storyboard — QC tự phát hiện khi rà soát độ đầy đủ</t>
  </si>
  <si>
    <t>QC (rà soát bổ sung)</t>
  </si>
  <si>
    <t>Chưa có test case cụ thể trong bộ này vì thiếu đặc tả để viết bước kiểm thử chi tiết; ghi nhận làm input cho lần cập nhật kế tiếp.</t>
  </si>
  <si>
    <t>N/A — cần bổ sung TC sau khi có đặc tả</t>
  </si>
  <si>
    <t>Chưa rõ ngữ cảnh. Lý do vì sao phiên đăng nhập hết hạn ngay lúc thao tác?</t>
  </si>
  <si>
    <t>QnA-16</t>
  </si>
  <si>
    <t>Toast Add-to-cart khi thao tác dồn dập</t>
  </si>
  <si>
    <t>Khi khách bấm (+) liên tục trên cùng 1 sản phẩm hoặc nhiều sản phẩm khác nhau trong thời gian ngắn, Toast xác nhận có xếp hàng (queue) hiển thị lần lượt, hay chỉ có 1 Toast được cập nhật/thay thế liên tục? Chưa được mô tả trong Storyboard.</t>
  </si>
  <si>
    <t>SS-SCR-011 (suy luận từ UX pattern thông thường, không có trong tài liệu)</t>
  </si>
  <si>
    <t>Test case SS-SCR-011-SC2-TC1 (spam nút +) và SS-SCR-011-SC3-TC1 (2 SKU liên tiếp) không chấm Pass/Fail theo hành vi Toast cụ thể cho tới khi xác nhận.</t>
  </si>
  <si>
    <t>SS-SCR-011-SC2-TC1, SS-SCR-011-SC3-TC1</t>
  </si>
  <si>
    <t>QnA-17</t>
  </si>
  <si>
    <t>Voice Search — xử lý số đếm &amp; đơn vị</t>
  </si>
  <si>
    <t>Cách xử lý số đếm và đơn vị trong câu nói (VD: "hai lít", "500 gram") trước khi đưa vào truy vấn tìm kiếm — storyboard tự ghi nhận đây là điểm "cần chốt" nhưng chưa có quyết định.</t>
  </si>
  <si>
    <t>SS-SCR-017 (Ghi chú/Vấn đề mở, PPTX storyboard)</t>
  </si>
  <si>
    <t>QC (trích từ ghi chú gốc của Storyboard SS-SCR-017)</t>
  </si>
  <si>
    <t>TD / BA</t>
  </si>
  <si>
    <t>Test case SS-SCR-017-SC2-TC1 không chấm Pass/Fail theo cách xử lý cụ thể cho tới khi có quyết định.</t>
  </si>
  <si>
    <t>SS-SCR-017-SC2-TC1</t>
  </si>
  <si>
    <t>Đã bỏ</t>
  </si>
  <si>
    <t>QnA-18</t>
  </si>
  <si>
    <t>Điều hướng khi tap sản phẩm gợi ý trên Zero Result Page</t>
  </si>
  <si>
    <t>Khi khách tap vào 1 sản phẩm Substitute/Cross-sell trên Zero Result Page, hệ thống mở thẳng trang PDP của sản phẩm đó, hay chạy một truy vấn tìm kiếm mới theo tên sản phẩm? Storyboard không mô tả rõ hành vi điều hướng này.</t>
  </si>
  <si>
    <t>SS-SCR-012 (suy luận, không có mô tả điều hướng cụ thể trong storyboard)</t>
  </si>
  <si>
    <t>Test case SS-SCR-012-SC3-TC1 không chấm Pass/Fail theo đích điều hướng cụ thể cho tới khi xác nhận.</t>
  </si>
  <si>
    <t>SS-SCR-012-SC3-TC1</t>
  </si>
  <si>
    <t>Bản chất đó là Product Card -&gt; hành vi như nhau ở mọi trang</t>
  </si>
  <si>
    <t>QnA-19</t>
  </si>
  <si>
    <t>Thu hồi quyền Camera giữa phiên</t>
  </si>
  <si>
    <t>Khi quyền Camera bị thu hồi ở Cài đặt hệ thống TRONG LÚC app đang chạy (khác với từ chối ở lần xin quyền đầu tiên đã có test case), UI của Camera Screen xử lý ra sao khi quay lại foreground?</t>
  </si>
  <si>
    <t>SS-SCR-013 (suy luận, ngoài phạm vi mô tả gốc của storyboard)</t>
  </si>
  <si>
    <t>TD / UX</t>
  </si>
  <si>
    <t>Test case SS-SCR-013-SC3-TC1 không chấm Pass/Fail cho tới khi xác nhận.</t>
  </si>
  <si>
    <t>SS-SCR-013-SC3-TC1</t>
  </si>
  <si>
    <t>QnA-20</t>
  </si>
  <si>
    <t>Định dạng badge Giỏ hàng khi vượt 2 chữ số</t>
  </si>
  <si>
    <t>Khi số lượng sản phẩm trong giỏ vượt 99, badge trên icon Giỏ hàng hiển thị dạng rút gọn ("99+") hay số đầy đủ? Chưa có quy định trong BRD/Storyboard.</t>
  </si>
  <si>
    <t>Global Header (BRD §6.1) — không có quy định định dạng số lớn</t>
  </si>
  <si>
    <t>Test case SS-SCR-001-SC1-TC2 không chấm Pass/Fail theo định dạng cụ thể cho tới khi xác nhận.</t>
  </si>
  <si>
    <t>SS-SCR-001-SC1-TC2</t>
  </si>
  <si>
    <t>QnA-21</t>
  </si>
  <si>
    <t>Lỗi mạng khi tải Pre-search (trước khi có tìm kiếm)</t>
  </si>
  <si>
    <t>Khi mất kết nối mạng ngay lúc mở Pre-search Screen (trước khi khách thực hiện bất kỳ tìm kiếm nào), UI xử lý các khối Trending/Thường mua ra sao (skeleton loading, thông báo lỗi cục bộ theo khối, hay ẩn khối)? Khác với lỗi mạng lúc xử lý tìm kiếm đã có đặc tả rõ ở SS-SCR-004 (&gt;5s → lỗi mạng + Thử lại).</t>
  </si>
  <si>
    <t>SS-SCR-001 (suy luận, ngoài phạm vi mô tả gốc)</t>
  </si>
  <si>
    <t>UX / TD</t>
  </si>
  <si>
    <t>Test case SS-SCR-001-SC5-TC1 không chấm Pass/Fail cho tới khi xác nhận.</t>
  </si>
  <si>
    <t>SS-SCR-001-SC5-TC1</t>
  </si>
  <si>
    <t>QnA-22</t>
  </si>
  <si>
    <t>Pre-search — Tìm kiếm gần đây (đồng bộ đa thiết bị)</t>
  </si>
  <si>
    <t>Khi một Thành viên đăng nhập cùng 1 tài khoản trên 2+ thiết bị, và chỉ chạm "Xoá tất cả" trên Tìm kiếm gần đây ở Thiết bị A, thì cache Tìm kiếm gần đây riêng của Thiết bị B có bị xoá theo (đồng bộ server-side) hay vẫn giữ nguyên lịch sử riêng của nó cho tới khi khách tìm kiếm lại trên Thiết bị B? BRD/Storyboard chưa quy định Tìm kiếm gần đây là lưu cục bộ thuần tuý hay đồng bộ server-side theo tài khoản.</t>
  </si>
  <si>
    <t>SS-SCR-001 (suy luận, hành vi đa thiết bị chưa được storyboard mô tả)</t>
  </si>
  <si>
    <t>QC (additional review)</t>
  </si>
  <si>
    <t>Test case SS-SCR-001-SC2-TC3 chưa chốt Pass/Fail theo kỳ vọng đồng bộ đa thiết bị cụ thể cho tới khi xác nhận.</t>
  </si>
  <si>
    <t>SS-SCR-001-SC2-TC3</t>
  </si>
  <si>
    <t>18/08/2026</t>
  </si>
  <si>
    <t>Tìm kiếm gần đây là lưu cục bộ thuần túy theo thiết bị, KHÔNG đồng bộ server-side. Khi khách "Xoá tất cả" trên Thiết bị A, Thiết bị B giữ nguyên lịch sử riêng của nó cho tới khi tự phát sinh thay đổi trên chính B.</t>
  </si>
  <si>
    <t>QnA-23</t>
  </si>
  <si>
    <t>Pre-search — Thường mua (Thành viên chưa có đơn hàng)</t>
  </si>
  <si>
    <t>Với 1 Thành viên đã đăng nhập nhưng CHƯA từng có đơn hàng COMPLETED (Order History rỗng — khác với Khách vãng lai, đã có QnA-01 riêng), khối "Thường mua" sẽ ẩn hoàn toàn, thay bằng "Bán chạy tại LOTTE Mart" (giống đề xuất cho Khách vãng lai), hay xử lý khác? BRD/Storyboard chưa quy định trường hợp cụ thể này.</t>
  </si>
  <si>
    <t>SS-SCR-001 (suy luận, chưa được storyboard mô tả — khác với trường hợp Khách vãng lai)</t>
  </si>
  <si>
    <t>Test case SS-SCR-001-SC4-TC4 chưa chốt Pass/Fail cho tới khi xác nhận.</t>
  </si>
  <si>
    <t>SS-SCR-001-SC4-TC4</t>
  </si>
  <si>
    <t>Ẩn khối "Thường mua"</t>
  </si>
  <si>
    <t>QnA-24</t>
  </si>
  <si>
    <t>Thường mua — cửa sổ thời gian lấy lịch sử đơn hàng (2 nguồn mâu thuẫn nhau)</t>
  </si>
  <si>
    <t>Storyboard quy định cửa sổ cố định T=90 ngày để tính đơn hàng COMPLETED vào "Thường mua". Trong khi đó BRD lại mô tả một cơ chế thích ứng: đơn hàng giao thành công của khách hàng trong khoảng 3-6 tháng gần nhất — khởi đầu là 3 tháng, sau đó tăng dần thêm +1 tháng nếu như 3 tháng và các tháng sau đó không có đơn hàng lịch sử, tối đa 6 tháng gần nhất. Đây là 2 cơ chế khác nhau (ngưỡng cố định 90 ngày vs. cửa sổ thích ứng mở rộng dần 3-6 tháng), không chỉ đơn thuần là quy đổi đơn vị ngày/tháng. Nguồn nào là chính thức? Ngoài ra, phát hiện thêm khi rà soát INT-04-SC1-TC1 (Integration Test Case, tích hợp OMS): test case này cũng hardcode '90 ngày' làm điều kiện cố định, không test hành vi MỞ RỘNG thích ứng (3→4→5→6 tháng) mà BRD mô tả — cùng 1 gap tồn tại ở cả tầng UI (SS-SCR-001-SC4) lẫn tầng Integration (INT-04-SC1). Câu hỏi bổ sung: phạm vi tính lịch sử đơn hàng này có giới hạn theo 1 Serving Store cụ thể (đơn hàng khách đặt tại đúng store đang chọn) hay gộp TOÀN BỘ đơn hàng của khách trên mọi store (kể cả store khác)? Chưa có tài liệu nào (BRD hay Storyboard) đề cập khía cạnh này.</t>
  </si>
  <si>
    <t>SS-SCR-001-SC4 (Storyboard, "COMPLETED orders in the last 90 days") vs BRD (cửa sổ thích ứng 3-6 tháng)</t>
  </si>
  <si>
    <t>QC (đối chiếu Preconditions của Storyboard với mô tả trong BRD)</t>
  </si>
  <si>
    <t>Chặn việc chốt Pass/Fail cụ thể cho các test case về độ mới đơn hàng trong SS-SCR-001-SC4 (SC4-TC1, SC4-TC3) cho tới khi xác nhận cơ chế cửa sổ thời gian chính thức.</t>
  </si>
  <si>
    <t>SS-SCR-001-SC4-TC1, SS-SCR-001-SC4-TC3, INT-04-SC1-TC1</t>
  </si>
  <si>
    <t>Tách làm 2 lớp riêng biệt, không trộn chung 1 điều kiện lọc:
+ Lớp tính lịch sử mua (đếm tần suất Order Count để xếp hạng SKU): tính gộp trên toàn bộ đơn hàng của khách ở MỌI store, không giới hạn theo Serving Store hiện tại. Lý do: "khách này thường mua gì" là thuộc tính của con người, không phải thuộc tính của cửa hàng — nếu giới hạn theo store hiện tại, khách vừa đổi store (đi công tác, chuyển nhà, đổi store gần nhất) sẽ mất trắng toàn bộ lịch sử mua thực tế của họ, khối "Thường mua" trống oan trong khi dữ liệu vẫn tồn tại.
+ Lớp lọc khả dụng (hiển thị được gì ngay bây giờ): sau khi đã có danh sách SKU xếp hạng theo tần suất (lớp 1), lọc lại theo đúng Serving Store đang chọn — chỉ giữ SKU có trong catalogue của store hiện tại VÀ còn hàng (stock &gt; 0, đúng như storyboard đã mô tả) — rồi mới lấy các sản phẩm Top đầu để hiển thị.</t>
  </si>
  <si>
    <t>QnA-25</t>
  </si>
  <si>
    <t>Loading Screen — Ngưỡng hiệu năng đa kênh (Text/Image/Voice)</t>
  </si>
  <si>
    <t>SS-SCR-004 (Loading) hiện chỉ mô tả ngưỡng chung '&gt;300ms mới hiện Loading' và '&gt;5s → lỗi mạng', khớp với NFR-001 (Text, 300ms P95). NFR-004 (Tìm kiếm hình ảnh, 3.000ms P95) và NFR-005 (Tìm kiếm giọng nói, 4.000ms P95 — lưu ý: mâu thuẫn với FR-VS-08 ghi nhận 6 giây P95, xem thêm) có áp dụng cho component Loading dùng chung này khi tìm bằng ảnh/giọng nói không? Nếu ngưỡng lỗi mạng cố định &gt;5s dùng chung cho cả 3 kênh, một truy vấn Voice hoàn toàn bình thường (P95 hợp lệ theo NFR-005/FR-VS-08 là 4-6 giây) có nguy cơ bị hiển thị nhầm thành 'lỗi mạng' hay không?</t>
  </si>
  <si>
    <t>SS-SCR-004 (Storyboard) vs BRD §7 NFR-001/NFR-004/NFR-005 và §5.4 FR-VS-08</t>
  </si>
  <si>
    <t>QC (đối chiếu ngưỡng Loading UI với BRD §7 NFR đa kênh)</t>
  </si>
  <si>
    <t>Chưa chốt Pass/Fail cho SS-SCR-004-SC1-TC1/TC2 khi thực thi qua kênh Image/Voice (TC hiện tại mới có dữ liệu mẫu cho kênh Text); liên quan QnA-08.</t>
  </si>
  <si>
    <t>SS-SCR-004-SC1-TC1, SS-SCR-004-SC1-TC2</t>
  </si>
  <si>
    <t>19/08/2026</t>
  </si>
  <si>
    <t>Phần này TD trả lời giúp em</t>
  </si>
  <si>
    <t>27/08/2026</t>
  </si>
  <si>
    <t>QnA-26</t>
  </si>
  <si>
    <t>Sponsored — Nguồn dữ liệu / tiêu chí gắn nhãn tài trợ</t>
  </si>
  <si>
    <t>BRD chỉ mô tả FR-PR-05 gộp chung trong dải 'FR-PR-01 → FR-PR-05' (mục Ranking &amp; Sorting) với ghi chú duy nhất 'Sponsored: hàng tài trợ ghim vị trí cố định, bắt buộc gắn nhãn Được tài trợ'. Không có mô tả riêng cho FR-PR-05 về NGUỒN xác định 1 SKU là Sponsored: đến từ nền tảng đấu giá Retail Media nào, luồng nào đánh dấu SKU tài trợ, tiêu chí đủ điều kiện tham gia. Đề nghị BA cung cấp mô tả FR-PR-05 riêng biệt hoặc trỏ tới tài liệu tích hợp Retail Media liên quan.</t>
  </si>
  <si>
    <t>BRD §5.2 (dải FR-PR-01→FR-PR-05) — liên quan SS-SCR-005-SC2, SC5</t>
  </si>
  <si>
    <t>QC (rà soát nguồn gốc yêu cầu FR-PR-05)</t>
  </si>
  <si>
    <t>BA / Retail Media</t>
  </si>
  <si>
    <t>Không ảnh hưởng test case vị trí/nhãn hiển thị hiện có (đã test theo hành vi UI quan sát được), nhưng chặn việc viết test case tích hợp xác thực logic 'SKU nào được chọn làm Sponsored' ở tầng backend.</t>
  </si>
  <si>
    <t>SS-SCR-005-SC2-TC1, SS-SCR-005-SC2-TC2, SS-SCR-005-SC5-TC1</t>
  </si>
  <si>
    <t>28/08/2026</t>
  </si>
  <si>
    <t>QnA-27</t>
  </si>
  <si>
    <t>Loading/Fallback — FR-GD-01 và FR-GD-03 bị gộp chung</t>
  </si>
  <si>
    <t>BRD gộp chung FR-GD-01 và FR-GD-03 trong cùng 1 mục 'Performance &amp; Fallback' với 2 nội dung khác nhau: (1) SLA hiệu năng tìm kiếm chung &lt;300ms P95, và (2) cơ chế Graceful Degradation — tự động hạ cấp về keyword search cơ bản khi AI Search lỗi/timeout, tuyệt đối không hiển thị lỗi kỹ thuật. Không rõ mã nào ứng với nội dung nào. Đề nghị BA tách thành 2 mục riêng biệt để trace chính xác. Ghi chú thêm: bộ test case SS-SCR-004 hiện tại mới kiểm tra ngưỡng hiển thị UI Loading (theo storyboard), CHƯA có test case nào kiểm tra hành vi Graceful Degradation thực tế khi AI Search sập — cần bổ sung sau khi REQ được tách rõ.</t>
  </si>
  <si>
    <t>BRD §5.2 (dòng 'FR-GD-01, FR-GD-03') — toàn bộ SS-SCR-004</t>
  </si>
  <si>
    <t>QC (đối chiếu REQ ID gộp trong BRD)</t>
  </si>
  <si>
    <t>Cột REQ ID của toàn bộ test case SS-SCR-004 hiện dùng chung 1 chuỗi 'FR-GD-01, FR-GD-03' không tách bạch; thiếu hẳn 1 nhóm test case cho hành vi Graceful Degradation (chưa có TC nào trong bản này).</t>
  </si>
  <si>
    <t>SS-SCR-004-SC1-TC1, SC1-TC2, SC2-TC1, SC3-TC1</t>
  </si>
  <si>
    <t>QnA-28</t>
  </si>
  <si>
    <t>Search Results — Trạng thái nền sau khi xoá từ khoá bằng (✕)</t>
  </si>
  <si>
    <t>SS-SCR-005-SC3-TC2 quy định: tap (✕) trên Search Bar → ô nhập xoá trắng, chuyển sang Autocomplete Screen. Nhưng chưa quy định trạng thái của trang kết quả PHÍA SAU lớp Autocomplete lúc đó: filter chip đang áp dụng (VD 'Không đường') và danh sách sản phẩm đang hiển thị trước đó có được GIỮ NGUYÊN (ẩn phía sau, sẵn sàng khôi phục nếu khách đóng Autocomplete mà không tìm từ mới) hay bị XOÁ/RESET ngay khi tap (✕)?</t>
  </si>
  <si>
    <t>SS-SCR-005-SC3 (Storyboard không mô tả trạng thái nền)</t>
  </si>
  <si>
    <t>QC (rà soát bổ sung theo yêu cầu review)</t>
  </si>
  <si>
    <t>Test case mới SS-SCR-005-SC3-TC3 không chấm Pass/Fail cụ thể cho tới khi xác nhận.</t>
  </si>
  <si>
    <t>SS-SCR-005-SC3-TC3</t>
  </si>
  <si>
    <t>Giữ nguyên (ẩn phía sau, khôi phục nếu đóng Autocomplete mà không tìm mới) — nhất quán với pattern "giữ nguyên Pre-search bên dưới" đã áp dụng ở SS-SCR-002.</t>
  </si>
  <si>
    <t>QnA-29</t>
  </si>
  <si>
    <t>Chế độ xem (Grid/List) lưu Local Storage — đổi thiết bị / đổi tài khoản</t>
  </si>
  <si>
    <t>FR-PR-07 quy định chế độ xem lưu tại Local Storage CỦA THIẾT BỊ, không phải theo tài khoản server-side. Hai trường hợp chưa được quy định: (1) Thành viên đăng nhập lần đầu trên thiết bị B (đã từng chọn List trên thiết bị A) — thiết bị B có đồng bộ chế độ List từ tài khoản hay luôn mặc định Grid theo state riêng của thiết bị? (2) Hai tài khoản khác nhau đăng nhập lần lượt trên CÙNG 1 thiết bị (Account 1 chọn List rồi logout, Account 2 login) — Account 2 có kế thừa List (vì lưu theo thiết bị) hay có cơ chế lưu riêng theo user?</t>
  </si>
  <si>
    <t>SS-SCR-005-SC1 / SS-SCR-006-SC1 vs BRD FR-PR-07 (chỉ nói 'lưu trạng thái tại Local Storage', không nói phạm vi theo thiết bị hay theo tài khoản)</t>
  </si>
  <si>
    <t>Test case mới SS-SCR-005-SC1-TC3/TC4 và SS-SCR-006-SC1-TC3/TC4 không chấm Pass/Fail cho tới khi xác nhận.</t>
  </si>
  <si>
    <t>SS-SCR-005-SC1-TC3, SS-SCR-005-SC1-TC4, SS-SCR-006-SC1-TC3, SS-SCR-006-SC1-TC4</t>
  </si>
  <si>
    <t>(1) Thiết bị B đăng nhập lần đầu — không kế thừa lựa chọn List từ tài khoản (vì không lưu theo tài khoản), mặc định Grid như thiết bị mới. (2) Hai tài khoản khác nhau đăng nhập lần lượt trên cùng 1 thiết bị — Account 2 kế thừa trạng thái List (vì Local Storage gắn với thiết bị, không phân biệt user đang đăng nhập).</t>
  </si>
  <si>
    <t>QnA-30</t>
  </si>
  <si>
    <t>Rating hiển thị cho sản phẩm chưa có đánh giá (0 review)</t>
  </si>
  <si>
    <t>BRD không quy định cách hiển thị rating khi SKU chưa có review nào — ẩn hẳn phần sao, hay hiện text 'Chưa có đánh giá'? Yêu cầu tối thiểu đã thống nhất khi biên soạn test case: KHÔNG hiển thị '0.0 ★ (0)' hay giá trị NaN/rỗng gây phản cảm, nhưng cách hiển thị thay thế cụ thể chưa được chốt.</t>
  </si>
  <si>
    <t>SS-SCR-006-SC3 (trước đây gắn nhầm tham chiếu QnA-03 — nội dung QnA-03 thực chất nói về ngưỡng debounce/fuzzy-match/confidence, không liên quan tới hiển thị rating; đã tách thành mục riêng này để tra cứu chính xác, xem thêm ghi chú tại QnA-03)</t>
  </si>
  <si>
    <t>QC (phát hiện khi rà soát chéo QnA Ref không khớp giữa QnA-03 và SS-SCR-006-SC3-TC1)</t>
  </si>
  <si>
    <t>Test case SS-SCR-006-SC3-TC1 không chấm Pass/Fail theo cách hiển thị cụ thể cho tới khi xác nhận.</t>
  </si>
  <si>
    <t>SS-SCR-006-SC3-TC1</t>
  </si>
  <si>
    <t>Hiển thị rating riêng cho từng SKU đang phụ thuộc vào Product Card (đã được mention trong tài liệu là xem rule này ở tài liệu khác) =&gt; OUT OF SCOPE</t>
  </si>
  <si>
    <t>QnA-31</t>
  </si>
  <si>
    <t>Auto-Correct Banner — Gợi ý song ngữ (ngôn ngữ đang nhập + ngôn ngữ hệ thống)</t>
  </si>
  <si>
    <t>FR-AC-01 chỉ mô tả 1 banner gợi ý duy nhất dạng 'Bạn muốn tìm [Từ đúng]?', không mô tả hành vi hiển thị ĐỒNG THỜI 2 gợi ý khi khách gõ từ khoá bằng ngôn ngữ khác với ngôn ngữ hệ thống (VD: UI=VI, khách gõ tiếng Anh/Nga) — cụ thể là: gợi ý theo đúng ngôn ngữ đang nhập (ưu tiên hiển thị trước) VÀ thêm 1 gợi ý tương đương bằng tiếng Việt (ngôn ngữ hệ thống đang hiển thị). Cơ chế song ngữ này cũng chưa được FR-SM-02 (đa ngôn ngữ) hay FR-SM-04 (đồng nghĩa) nhắc tới. Đề nghị BA xác nhận đây có phải hành vi mong muốn của v1 không, và nếu có, quy định rõ định dạng hiển thị 2 gợi ý cùng lúc.</t>
  </si>
  <si>
    <t>SS-SCR-003-SC4 vs BRD FR-AC-01, FR-SM-02, FR-SM-04 (không đề cập gợi ý song ngữ đồng thời)</t>
  </si>
  <si>
    <t>QC (yêu cầu bổ sung testcase từ review lần 3)</t>
  </si>
  <si>
    <t>Test case mới SS-SCR-003-SC4-TC2/TC3 không chấm Pass/Fail theo hành vi song ngữ cụ thể cho tới khi xác nhận.</t>
  </si>
  <si>
    <t>SS-SCR-003-SC4-TC2, SS-SCR-003-SC4-TC3</t>
  </si>
  <si>
    <t>KHÔNG đưa vào v1 — không tăng độ phức tạp UI đáng kể so với lợi ích, nên dời sang phase sau hoặc khi khách yêu cầu =&gt; Vẫn ưu tiên hiển thị theo đúng ngôn ngữ đang nhập.</t>
  </si>
  <si>
    <t>QnA-32</t>
  </si>
  <si>
    <t>Sort — Định nghĩa &amp; quy tắc tie-break của từng tuỳ chọn ('logic hệ thống cũ' QC không có visibility)</t>
  </si>
  <si>
    <t>BRD FR-PR-06 chỉ ghi '7 tuỳ chọn còn lại... giữ nguyên logic sorting như hệ thống cũ' mà không mô tả cụ thể logic đó. Ảnh Figma thực tế (Text Search.png) có phụ đề ngắn cho từng tuỳ chọn ('Lượt mua cao nhất', 'Được quan tâm nhiều', '% khuyến mãi cao nhất', 'Sao trung bình cao nhất', 'Rẻ nhất lên trên', 'Đắt nhất lên trên', 'Theo thứ tự bảng chữ cái') nhưng không đủ chi tiết kỹ thuật để QC tự viết test case định lượng chính xác. Cụ thể cần BA/TD xác nhận: (1) 'Lượt mua' tính theo Order Count hay Item Quantity (và khung thời gian)? (2) 'Được quan tâm' tính theo PDP view hay impression trong kết quả tìm kiếm, khung thời gian nào? (3) 'Sao trung bình' là trung bình thô hay có làm mượt theo số lượng review (Bayesian/weighted) để tránh 1 SKU-1-review-5-sao áp đảo SKU nhiều review hơn? (4) Quy tắc tie-break khi nhiều SKU trùng giá ở Sort theo Giá là gì?</t>
  </si>
  <si>
    <t>SS-SCR-008-SC1 vs BRD FR-PR-06 ('giữ nguyên logic hệ thống cũ' — không có chi tiết) và ảnh Figma Text Search.png (chỉ có phụ đề ngắn, không đủ chi tiết kỹ thuật)</t>
  </si>
  <si>
    <t>QC (rà soát bổ sung, không thể verify logic hệ thống cũ nếu không có tài liệu)</t>
  </si>
  <si>
    <t>Các test case mới SS-SCR-008-SC1-TC3 đến TC9 (theo từng tuỳ chọn Sort) không chấm Pass/Fail định lượng chi tiết cho tới khi có định nghĩa chính thức.</t>
  </si>
  <si>
    <t>SS-SCR-008-SC1-TC3, TC4, TC5, TC6, TC7, TC8</t>
  </si>
  <si>
    <t>TD confirm giúp em rule logic hiện tại của các sort cũ.</t>
  </si>
  <si>
    <t>QnA-33</t>
  </si>
  <si>
    <t>Smart Filter — Công thức sinh Tag (Information Gain) &amp; thứ tự hiển thị (FR-SF-03)</t>
  </si>
  <si>
    <t>FR-SF-03 (trong dải gộp FR-SF-01→FR-SF-03) chỉ mô tả 'AI bốc ra tối đa 10 Tag lọc thông minh có Information Gain cao nhất... cấu trúc phẳng, không gom nhóm'. Không có mô tả: công thức tính Information Gain, ngưỡng tối thiểu để 1 tag đủ điều kiện hiển thị, và thứ tự hiển thị các chip (theo Information Gain giảm dần? theo nhóm thuộc tính?). Áp dụng cho cả khối Smart Filter Chips trên trang kết quả (SS-SCR-005-SC9) và tab Nhãn trong Bộ lọc chi tiết (SS-SCR-009, vì theo FR-SF-04 tab Nhãn 'Dựa vào danh sách smart filter' — cùng 1 nguồn dữ liệu).</t>
  </si>
  <si>
    <t>SS-SCR-005-SC9 / SS-SCR-009-SC3 vs BRD FR-SF-01→03</t>
  </si>
  <si>
    <t>Test case mới SS-SCR-009-SC3-TC2 không chấm Pass/Fail chi tiết cho tới khi có công thức chính thức.</t>
  </si>
  <si>
    <t>SS-SCR-009-SC3-TC2</t>
  </si>
  <si>
    <t>Thuần về thuật toán / công thức tính toán =&gt; Nhờ bên TD giải đáp giúp em</t>
  </si>
  <si>
    <t>QnA-34</t>
  </si>
  <si>
    <t>Bộ lọc — Badge số lượng: theo từng tab (Figma có) vs badge tổng trên nút Bộ lọc (Figma không có)</t>
  </si>
  <si>
    <t>Đối chiếu lại ảnh Figma thực tế (Text Search.png, đã tăng sáng — xem QnA-13) phát hiện: (1) BÊN TRONG sheet Bộ lọc, mỗi tab (Danh mục/Nhãn/Giao hàng/Đánh giá/Giá) CÓ badge số riêng đúng bằng số điều kiện đang chọn trong tab đó (VD tab Nhãn chọn 3 chip → badge='3') — chi tiết này không được PPTX storyboard hay BRD nhắc tới. (2) Nút 'Áp dụng' ở đáy sheet KHÔNG có số '(n)' kèm theo như mô tả trong Storyboard ('Chạm Áp dụng (n)'). (3) Quan trọng nhất: nút 'Bộ lọc' trên trang kết quả (SS-SCR-005, bên ngoài sheet) KHÔNG hiển thị badge số nào ngay cả khi đã áp dụng 3 điều kiện lọc — mâu thuẫn trực tiếp với giả định 'badge nút Bộ lọc = tổng số điều kiện đang áp dụng' hiện đang dùng trong test case SS-SCR-009-SC1-TC1 và toàn bộ scenario SS-SCR-010 (Filter Applied State). Đề nghị BA/UX xác nhận: ảnh Figma này có phải bản mới nhất không, và badge tổng trên nút Bộ lọc thực sự có tồn tại hay không — nếu không, cả bộ SS-SCR-010 cần được viết lại theo cơ chế hiển thị khác (VD danh sách chip filter hiển thị trực tiếp thay vì badge số). [Cập nhật 19/08/2026: storyboard bản mới nhất (v0.1-20260819) VẪN giữ nguyên chữ 'Áp dụng (n)' có số đếm trong mô tả màn hình SS-SCR-009 — xác nhận mâu thuẫn với ảnh Figma (không có số) vẫn còn tồn tại ở phiên bản tài liệu mới nhất, chưa được đồng bộ.]</t>
  </si>
  <si>
    <t>Text Search.png (Figma thực tế) vs Storyboard PPTX + BRD — phát hiện thêm chi tiết mới so với lần rà soát ảnh Figma trước đó (cùng nguồn ảnh).</t>
  </si>
  <si>
    <t>QC (đối chiếu badge trong ảnh Figma thực tế với giả định đang dùng trong bộ test case)</t>
  </si>
  <si>
    <t>Ảnh hưởng lớn: có thể làm sai toàn bộ giả định "badge tổng" đang dùng ở SS-SCR-009-SC1-TC1 và SS-SCR-010-SC1-TC1/SC2-TC1/SC3-TC1 (các test case này KHÔNG được sửa trong lần cập nhật này, chỉ ghi nhận rủi ro tại đây — cần rà soát lại một khi có xác nhận chính thức). Test case mới SS-SCR-009-SC6-TC3 không chấm Pass/Fail cho tới khi xác nhận.</t>
  </si>
  <si>
    <t>SS-SCR-009-SC6-TC3 (mới); cảnh báo rủi ro cho SS-SCR-009-SC1-TC1, SS-SCR-010-SC1-TC1, SS-SCR-010-SC2-TC1, SS-SCR-010-SC3-TC1 (chưa sửa)</t>
  </si>
  <si>
    <t>Về UI hoặc wireframe =&gt; Ưu tiên coi trên Figma hơn</t>
  </si>
  <si>
    <t>QnA-35</t>
  </si>
  <si>
    <t>Data-prep — Bộ test chuẩn Smart Search (golden set)</t>
  </si>
  <si>
    <t>"Từ liên quan" (dimension "related" trong ma trận biến thể từ khoá) chưa có định nghĩa kỹ thuật thống nhất. 3 cách hiểu cho ra kỳ vọng khác nhau: (1) Co-purchase — sản phẩm hay được mua kèm cùng đơn hàng; (2) Category-sibling — cùng ngành hàng/category con; (3) Complementary — bổ trợ công năng (VD: "sữa tươi" -&gt; "ngũ cốc", "mật ong"). Cần BA chọn 1 cơ chế (hoặc kết hợp có trọng số) trước khi curate data/glossary/related_terms.csv và sinh test case cho dimension này.</t>
  </si>
  <si>
    <t>Test Strategy Artifact - Phần 1.2, 1.6 (data/glossary/related_terms.csv)</t>
  </si>
  <si>
    <t>QC (Claude, theo yêu cầu đánh giá pipeline test Smart Search, 19/08/2026)</t>
  </si>
  <si>
    <t>Chặn việc curate data/glossary/related_terms.csv (hiện chỉ có 1 dòng ví dụ placeholder chưa dùng được) và chặn việc sinh test case thật cho dimension "related" trong bộ golden test set.</t>
  </si>
  <si>
    <t>Trong tài liệu em có đề cập đến "Sử dụng thuật toán AI Xếp hạng (Scorecard Ranking) mới" nếu đang chọn option "Liên quan nhất"</t>
  </si>
  <si>
    <t>QnA-36</t>
  </si>
  <si>
    <t>Danh mục — Quy tắc hiển thị 'Tất cả trong [Tên danh mục]' &amp; hành vi breadcrumb 'Tất cả danh mục'</t>
  </si>
  <si>
    <t>Ảnh Figma thực tế (Text Search.png) xác nhận: khi khách drill-down vào 1 danh mục cha có danh mục con (VD 'Thực phẩm &amp; Đồ uống › Sữa &amp; Trứng'), hệ thống hiển thị 1 lựa chọn radio 'Tất cả trong "Sữa &amp; Trứng"' (được chọn sẵn/mặc định) phía trên danh sách danh mục con — chọn lựa chọn này áp dụng lọc theo TOÀN BỘ nhánh 'Sữa &amp; Trứng' (không thu hẹp về 1 danh mục con cụ thể nào). Điều này xác nhận đúng theo mô tả QC nêu ra. Tuy nhiên hành vi của link breadcrumb '‹ Tất cả danh mục' ở đầu (khác với các mục breadcrumb trung gian như 'Thực phẩm &amp; Đồ uống') chưa được thể hiện rõ qua ảnh tĩnh: tap vào đây có (a) quay thẳng về danh sách danh mục cấp cao nhất (root) VÀ đồng thời bỏ chọn hoàn toàn điều kiện Danh mục đang có (badge tab Danh mục về 0), hay (b) chỉ đơn thuần điều hướng UI về root mà KHÔNG bỏ chọn lựa chọn Danh mục đã xác nhận trước đó (giữ nguyên badge=1, khách phải tự chọn lại/tap Áp dụng để đổi)? Đề nghị BA/UX xác nhận.</t>
  </si>
  <si>
    <t>SS-SCR-009-SC4 vs ảnh Figma thực tế (Text Search.png) — breadcrumb 'Tất cả danh mục' không được demo tương tác trong ảnh tĩnh</t>
  </si>
  <si>
    <t>QC (đối chiếu ảnh Figma thực tế theo yêu cầu review)</t>
  </si>
  <si>
    <t>Test case mới SS-SCR-009-SC4-TC3 không chấm Pass/Fail cho tới khi xác nhận; SC4-TC2 ('Tất cả trong X') có thể chấm Pass/Fail vì đã có bằng chứng ảnh Figma xác nhận cơ chế hiển thị.</t>
  </si>
  <si>
    <t>SS-SCR-009-SC4-TC2, SS-SCR-009-SC4-TC3</t>
  </si>
  <si>
    <t>Quay về root VÀ bỏ chọn điều kiện Danh mục đang có (badge về 0) — theo đúng mental model chuẩn của breadcrumb (nút cấp cao nhất = reset về trạng thái gốc).</t>
  </si>
  <si>
    <t>QnA-37</t>
  </si>
  <si>
    <t>Bộ lọc Giá — percentile tính trên giá gốc (list price) hay giá sau khuyến mãi (giá bán thực tế)?</t>
  </si>
  <si>
    <t>BRD chỉ mô tả '3 option range giá gợi ý tự động... chia theo percentile của tập kết quả' mà không nói rõ percentile tính trên GIÁ GỐC (list price, trước giảm giá) hay GIÁ SAU KHUYẾN MÃI (giá khách thực trả). Đây là khác biệt quan trọng: nhiều SKU trong tập kết quả có badge giảm giá (VD -13%, -11% theo ảnh Figma); nếu percentile tính theo giá gốc, 1 SKU cao cấp đang giảm giá sâu có thể bị xếp nhầm vào nhóm 'giá cao' dù giá khách thực trả lại thuộc nhóm 'giá thấp', gây trải nghiệm lọc sai lệch với kỳ vọng của khách hàng (khách lọc theo giá đang trả, không phải giá niêm yết).</t>
  </si>
  <si>
    <t>SS-SCR-009-SC2 vs BRD FR-SF-04 (mục Giá — không nêu rõ cơ sở tính giá)</t>
  </si>
  <si>
    <t>BA / Merchandising</t>
  </si>
  <si>
    <t>Test case mới SS-SCR-009-SC2-TC2 không chấm Pass/Fail định lượng chính xác cho tới khi xác nhận cơ sở tính giá.</t>
  </si>
  <si>
    <t>SS-SCR-009-SC2-TC2</t>
  </si>
  <si>
    <t>dùng giá sau khuyến mãi (giá khách thực trả)</t>
  </si>
  <si>
    <t>QnA-38</t>
  </si>
  <si>
    <t>Graceful Degradation — ngưỡng SLA có được nới lỏng trong chế độ fallback Keyword search không?</t>
  </si>
  <si>
    <t>FR-GD-01/NFR-001 quy định SLA 300ms P95 cho chế độ tìm kiếm AI bình thường; FR-GD-03/NFR-009 quy định khi AI Search sập thì hệ thống tự động hạ cấp (Graceful Degradation) sang thuật toán Keyword cơ bản, không hiển thị lỗi cho khách. Tuy nhiên BRD không nói rõ: trong lúc đang chạy ở CHẾ ĐỘ FALLBACK (Keyword cơ bản), ngưỡng hiệu năng 300ms P95 có tiếp tục áp dụng nguyên vẹn hay được nới lỏng/thắt chặt khác đi (do thuật toán keyword đơn giản hơn AI, có thể nhanh hơn hẳn, nhưng cũng có thể chậm hơn nếu hạ tầng keyword search cũ chưa được tối ưu cho tải hiện tại)?</t>
  </si>
  <si>
    <t>INT-13-SC2 (Graceful Degradation) vs BRD §7 NFR-001/NFR-009 (không nói rõ ngưỡng SLA áp dụng trong chế độ fallback)</t>
  </si>
  <si>
    <t>QC (rà soát bổ sung khi viết test case Graceful Degradation)</t>
  </si>
  <si>
    <t>Test case mới INT-13-SC2-TC2 không chấm Pass/Fail định lượng cho tới khi xác nhận ngưỡng SLA áp dụng trong chế độ fallback.</t>
  </si>
  <si>
    <t>INT-13-SC2-TC2</t>
  </si>
  <si>
    <t>Về hiệu suất thì tùy thuộc vào thuật toán "cơ bản" mà bên TD đang áp dụng sao cho performance tốt nhất. Nên là để biết chính xác được cơ sở ngưỡng hiệu năng như thế nào thì nhờ bên TD đưa đề xuất giúp em. BA chỉ expect có thể đạt được ngưỡng hiệu năng tối ưu nhất ở mức người dùng chấp nhận được (đâu đó khoảng vài giây đổ lại thôi).</t>
  </si>
  <si>
    <t>QnA-39</t>
  </si>
  <si>
    <t>Zero Result vs Out-of-stock — ranh giới kích hoạt khi TẤT CẢ SKU khớp chính xác đều hết hàng</t>
  </si>
  <si>
    <t>FR-PR-01→05 quy định quy tắc ghi đè (Override) cho Out-of-stock: 'Bị ép xuống đáy danh sách (bỏ qua điểm)' — tức SKU hết hàng VẪN hiển thị trên trang kết quả (SS-SCR-005), chỉ bị đẩy xuống cuối, KHÔNG bị loại khỏi kết quả. Điều này ngụ ý: nếu khách tìm đúng 1 từ khoá khớp chính xác 1 SKU đang hết hàng nhưng còn nhiều SKU khác (cùng khớp từ khoá) đang còn hàng, hệ thống vẫn ở lại SS-SCR-005 bình thường (SKU hết hàng chỉ nằm cuối danh sách) — Zero Result Page (SS-SCR-012) sẽ KHÔNG được kích hoạt, đồng nghĩa khối 'Có thể bạn sẽ thích' của SS-SCR-012 cũng không xuất hiện cho trường hợp này. Tuy nhiên, chưa có tài liệu nào nói rõ TRƯỜNG HỢP BIÊN: nếu TẤT CẢ SKU khớp trực tiếp với từ khoá đều đang hết hàng (không còn SKU nào khớp trực tiếp còn hàng) — hệ thống có (a) vẫn hiển thị SS-SCR-005 với (các) SKU hết hàng đó (dù không mua được ngay), hay (b) coi như tương đương '0 kết quả có thể mua' và chuyển hướng sang luồng Zero Result Page (SS-SCR-012, kích hoạt khối gợi ý Substitute/Cross-sell/Best-seller)?</t>
  </si>
  <si>
    <t>SS-SCR-012 vs BRD FR-PR-01→05 (Out-of-stock override chỉ mô tả cho trường hợp có SKU khác còn hàng trong cùng tập kết quả, không nói rõ trường hợp toàn bộ đều hết hàng)</t>
  </si>
  <si>
    <t>QC (rà soát ranh giới kích hoạt Zero Result theo yêu cầu review)</t>
  </si>
  <si>
    <t>Test case mới SS-SCR-012-SC4-TC2 không chấm Pass/Fail cho tới khi xác nhận; SC4-TC1 (còn SKU khác còn hàng) có thể chấm Pass/Fail vì đã có quy tắc Out-of-stock override rõ ràng trong BRD.</t>
  </si>
  <si>
    <t>SS-SCR-012-SC4-TC1, SS-SCR-012-SC4-TC2</t>
  </si>
  <si>
    <t>QnA-40</t>
  </si>
  <si>
    <t>Cross-sell (Basket Analysis) — công thức/thuật toán xác định sản phẩm gợi ý bán kèm</t>
  </si>
  <si>
    <t>BRD chỉ mô tả 'Cross-sell (Basket Analysis): Khai thác lịch sử đơn hàng để tìm ra hàng mua kèm (Bia Corona có trong lịch sử đơn hàng → Gợi ý Mồi nhậu/Đậu phộng)' — không có công thức cụ thể. Cần BA/TD xác nhận: (1) thuật toán nền tảng là gì (association rule mining/market basket analysis kiểu Apriori, hay đơn giản là đếm đồng xuất hiện — co-occurrence count)? (2) có ngưỡng tối thiểu (minimum support/confidence) để 1 cặp sản phẩm đủ điều kiện gợi ý không? (3) dữ liệu tính trên TOÀN HỆ THỐNG (aggregate toàn bộ khách hàng) hay cá nhân hoá riêng theo lịch sử mua của từng khách? (4) khung thời gian dữ liệu đơn hàng dùng để tính (all-time hay rolling window, giống cơ chế 3-6 tháng của 'Thường mua' FR-PS-03 không)?</t>
  </si>
  <si>
    <t>SS-SCR-012-SC1 vs BRD FR-ZR-02 (Cross-sell — chỉ có ví dụ minh hoạ, không có công thức)</t>
  </si>
  <si>
    <t>BA / TD / Data</t>
  </si>
  <si>
    <t>Test case mới SS-SCR-012-SC1-TC4 chỉ verify được hành vi bề mặt (gợi ý có liên quan hợp lý, không ngẫu nhiên), không thể verify chính xác thuật toán cho tới khi có công thức chính thức.</t>
  </si>
  <si>
    <t>SS-SCR-012-SC1-TC4</t>
  </si>
  <si>
    <t>QnA-41</t>
  </si>
  <si>
    <t>Zero Result — 'Có thể bạn sẽ thích' mặc định 10 sản phẩm, số lượng tối đa là bao nhiêu?</t>
  </si>
  <si>
    <t>BRD chỉ ghi 'Áp dụng Lazy Loading, mặc định hiển thị 10 sản phẩm' cho khối 'Có thể bạn sẽ thích' — không nói rõ giới hạn tối đa khi khách tiếp tục cuộn (tải thêm vô hạn theo lazy load, hay dừng lại ở 1 ngưỡng cụ thể, VD 30/50 sản phẩm)? Đặc biệt quan trọng với tầng fallback sâu nhất (Best-seller toàn hệ thống) vì về lý thuyết danh sách bán chạy có thể rất dài.</t>
  </si>
  <si>
    <t>SS-SCR-012-SC1 vs BRD FR-ZR-02 (chỉ nêu mặc định 10, không nêu giới hạn tối đa)</t>
  </si>
  <si>
    <t>Test case mới SS-SCR-012-SC1-TC5 không chấm Pass/Fail định lượng (số lượng tối đa cụ thể) cho tới khi xác nhận.</t>
  </si>
  <si>
    <t>SS-SCR-012-SC1-TC5</t>
  </si>
  <si>
    <t>Trong tài liệu có nhắc đến cơ chế lazy loading. Không nên giới hạn tối đa =&gt; Người dùng luôn muốn khám phá, không nên cản hoặc giới hạn việc khám phá của họ</t>
  </si>
  <si>
    <t>QnA-42</t>
  </si>
  <si>
    <t>Cấu hình Từ điển Cấm (Profanity Filter) &amp; Xu hướng tìm kiếm — có cho phép config thủ công qua CMS không?</t>
  </si>
  <si>
    <t>Storyboard bản cập nhật v0.1-20260819 (Slide 26, Mục cần chốt #3) nêu 2 vấn đề mới cần làm rõ: (1) Từ điển cấm (Profanity Filter) dùng để lọc từ khoá xu hướng (FR-PS-02) có cho phép Vận hành viên (OP) cấu hình thủ công qua CMS không, hay hoàn toàn tự động theo danh sách cố định? (2) Xu hướng tìm kiếm (Trending Search) có cho phép config tay (VD ghim/ẩn 1 từ khoá cụ thể) không, hay hoàn toàn tính tự động theo thuật toán Trending Score?</t>
  </si>
  <si>
    <t>SS-SCR-001 (Storyboard v0.1-20260819, Slide 26 'Mục cần chốt' #3)</t>
  </si>
  <si>
    <t>QC (rà soát bổ sung sau khi storyboard cập nhật ngày 19/08/2026)</t>
  </si>
  <si>
    <t>BA / Mart</t>
  </si>
  <si>
    <t>Chưa có test case nào kiểm tra khả năng cấu hình thủ công của 2 khối này (Từ điển cấm, Xu hướng tìm kiếm) — cần bổ sung TC sau khi có quyết định (nếu CMS tồn tại, cần test riêng cho luồng Admin/CMS, ngoài phạm vi UI khách hàng hiện tại).</t>
  </si>
  <si>
    <t>Xu hướng tìm kiếm hiện tại đang auto.
Từ điển cấm có thể nhờ AI tạo sẵn 1 bộ các từ khóa cấm tại Việt Nam.
=&gt; Làm trước 2 hướng trên trong khi chờ bên Mart confirm vụ config manual.</t>
  </si>
  <si>
    <t>QnA-43</t>
  </si>
  <si>
    <t>Bộ lọc Danh mục — giữ nguyên 5 cấp phân cấp hay chỉ cho chọn ở cấp lá (leaf node)?</t>
  </si>
  <si>
    <t>Storyboard bản cập nhật v0.1-20260819 (Slide 26, Mục cần chốt #4) đặt câu hỏi mới: 'Cây danh mục trong bộ lọc có giữ nguyên việc hiển thị đầy đủ 5 cấp phân cấp như hiện tại không, hay chỉ hiển thị/cho phép thao tác chọn ở cấp độ nhỏ nhất (leaf node)?' Câu hỏi này ẢNH HƯỞNG TRỰC TIẾP tới bộ test case SS-SCR-009-SC4 (đã viết dựa trên bằng chứng ảnh Figma cho thấy có lựa chọn 'Tất cả trong [Tên danh mục]' ở CẤP TRUNG GIAN, không chỉ ở cấp lá) và QnA-36 (hành vi breadcrumb 'Tất cả danh mục'). Nếu quyết định cuối cùng là 'chỉ cho chọn ở cấp lá', lựa chọn 'Tất cả trong X' ở cấp trung gian có thể sẽ bị loại bỏ khỏi thiết kế — cần BA/UX xác nhận trước khi coi bộ test case SC4 hiện tại là đúng thiết kế cuối cùng.</t>
  </si>
  <si>
    <t>SS-SCR-009 (Storyboard v0.1-20260819, Slide 26 'Mục cần chốt' #4) — liên quan QnA-36, SS-SCR-009-SC4-TC1/TC2/TC3</t>
  </si>
  <si>
    <t>Có nguy cơ làm sai lệch toàn bộ giả định của SS-SCR-009-SC4-TC1 (xác nhận có lựa chọn 'Tất cả trong X' ở cấp trung gian dựa trên ảnh Figma) nếu quyết định cuối cùng là chỉ cho chọn cấp lá — cần rà soát lại SC4-TC1 một khi có xác nhận chính thức.</t>
  </si>
  <si>
    <t>SS-SCR-009-SC4-TC1, SS-SCR-009-SC4-TC2, SS-SCR-009-SC4-TC3</t>
  </si>
  <si>
    <t>Hiện tại trước mắt hệ thống cứ làm đủ 5 cấp. Việc Mart giới hạn còn 1 cấp (leaf node) hay bao nhiêu cấp thì hệ thống chỉ cần ràng rule lại thôi =&gt; Thà làm đủ để sau đó giới hạn lại, còn hơn là làm thiếu và không thể / rất khó để scalable nếu Mart đòi hỏi thêm sau này. Tương lai không ai biết trước được điều gì :&gt;</t>
  </si>
  <si>
    <t>QnA-44</t>
  </si>
  <si>
    <t>Gallery — Nhãn phân loại trên ảnh trong khay 'Ảnh gần đây': rule sinh nhãn là gì? Và có thực sự là ảnh từ thư viện thiết bị không?</t>
  </si>
  <si>
    <t>Ảnh Figma thực tế (Image Search.png, slide 19/SS-SCR-014) cho thấy lưới 'Ảnh gần đây' hiển thị 12 ô, MỖI Ô CÓ NHÃN PHÂN LOẠI dạng banner ở đáy (VD: 'Sữa', 'Rau cải', 'Trứng', 'Thịt', 'Táo', 'Cá', 'Pho mai', 'Sữa chua', 'Bông cải', 'Mật ong', 'Nước', 'Dâu tây') — chi tiết này KHÔNG được mô tả trong bảng thành phần của storyboard (chỉ có 5 dòng, không nhắc tới nhãn). Cần BA/UX xác nhận: (1) Nhãn phân loại này được sinh ra như thế nào — AI tự nhận diện nội dung ảnh và gắn nhãn, hay đây là metadata/tên file có sẵn từ thư viện? (2) QUAN TRỌNG HƠN: các ô trong ảnh mockup trông giống ICON MINH HOẠ CHUNG (illustration) theo từng danh mục sản phẩm, KHÔNG giống ảnh chụp thực tế từ thư viện cá nhân của người dùng — điều này MÂU THUẪN với mô tả storyboard 'Ảnh gần đây — chỉ lấy ảnh mới nhất trong thư viện, sắp xếp giảm dần theo thời gian' (ngụ ý đây phải là ảnh thật của khách, không phải icon minh hoạ chung). Cần xác nhận đây có phải chỉ là placeholder minh hoạ cho mockup (không phản ánh thiết kế thật), hay đúng là thiết kế cuối cùng sẽ hiển thị nhãn phân loại AI trên ảnh thật của khách.</t>
  </si>
  <si>
    <t>SS-SCR-014 (Storyboard, Slide 19, thành phần #5 'Lưới ảnh') vs ảnh Figma thực tế (Image Search.png) — không khớp với mô tả text</t>
  </si>
  <si>
    <t>QC (đối chiếu ảnh Figma thực tế Image Search.png với bảng mô tả storyboard)</t>
  </si>
  <si>
    <t>Chưa có test case nào verify nhãn phân loại trên ảnh (vì chưa rõ đây là placeholder hay thiết kế thật); nếu là thiết kế thật, cần bổ sung TC riêng kiểm tra độ chính xác gắn nhãn AI sau khi có quyết định.</t>
  </si>
  <si>
    <t>N/A — cần bổ sung TC sau khi xác nhận</t>
  </si>
  <si>
    <t>Bỏ nhãn, không làm trong giai đoạn này.</t>
  </si>
  <si>
    <t>QnA-45</t>
  </si>
  <si>
    <t>Màn hình lỗi nhận diện ảnh/giọng nói — nút 'Back' trên header dẫn tới đâu, có trùng với CTA 'Thử lại' không?</t>
  </si>
  <si>
    <t>SS-SCR-016 (Không nhận diện được ảnh) và SS-SCR-019 (Không nhận diện được giọng nói) đều có nút 'Back' ở header ('Tiêu đề ... + nút Back — khách luôn biết mình đang ở luồng nào') NGOÀI 2 CTA chính đã có: 'Thử lại' (quay lại Camera/Listening Screen, giữ chế độ trước đó) và 'Tìm bằng từ khoá' (chuyển sang Pre-search). Storyboard không nói rõ nút Back dẫn tới đâu: (a) trùng hành vi với 'Thử lại' (quay lại Camera/Listening Screen) — khiến 2 nút làm cùng 1 việc, hay (b) thoát hẳn khỏi luồng tìm bằng ảnh/giọng nói, quay thẳng về màn hình đã mở luồng này (thường là Pre-search hoặc trang kết quả trước đó) — khác với cả 2 CTA chính?</t>
  </si>
  <si>
    <t>SS-SCR-016, SS-SCR-019 (Storyboard) — nút Back chỉ được nhắc tên, không mô tả đích đến</t>
  </si>
  <si>
    <t>Test case mới SS-SCR-016-SC1-TC3 không chấm Pass/Fail cho tới khi xác nhận đích đến của nút Back.</t>
  </si>
  <si>
    <t>SS-SCR-016-SC1-TC3</t>
  </si>
  <si>
    <t>Cứ đúng quy tắc mà mọi hệ thống đang vận hành: nhấn back là quay lại màn hình ngay trước đó trong stack điều hướng (skip error screen, loading screen, unknown screen) =&gt; Có thể trùng hành vi với thử lại =&gt; Việc trùng hành vi ở màn hình này không ảnh hưởng gì nhiều đến trải nghiệm người dùng nên là cứ triển khai như vậy.</t>
  </si>
  <si>
    <t>QnA-46</t>
  </si>
  <si>
    <t>Voice Search — Banner gợi ý khi confidence nhận diện trung bình-thấp (SS-SCR-018-SC1-TC3): tính năng này có thực sự nằm trong scope v1 không?</t>
  </si>
  <si>
    <t>Storyboard (SS-SCR-018, thành phần #7 'Nhận diện sai một phần') mô tả: 'Nếu độ tin cậy trung bình thấp, hiển thị banner 'Bạn có muốn tìm …?' tương tự SS-SCR-003 thay vì trả kết quả sai.' Tuy nhiên: (1) BRD (FR-VS-04/FR-VS-05) hoàn toàn KHÔNG nhắc tới cơ chế banner độ tin cậy này — chỉ mô tả luồng điều hướng thẳng + cho sửa tay bằng bàn phím, không có bước xác minh trung gian nào (kể cả banner). (2) Chưa có ngưỡng confidence cụ thể được chốt (đã ghi nhận ở QnA-03). Cần BA/TD xác nhận: tính năng banner gợi ý cho voice search có thực sự nằm trong scope v1 hay chỉ là ý tưởng ghi chú thêm của storyboard chưa được BRD phê duyệt chính thức?</t>
  </si>
  <si>
    <t>SS-SCR-018 (Storyboard, thành phần #7) vs BRD FR-VS-04/FR-VS-05 (không nhắc tới cơ chế này)</t>
  </si>
  <si>
    <t>QC (đối chiếu storyboard với BRD, phát hiện khi rà soát SS-SCR-018-SC1-TC3)</t>
  </si>
  <si>
    <t>Test case SS-SCR-018-SC1-TC3 không chấm Pass/Fail cho tới khi xác nhận tính năng này có thực sự trong scope v1 hay không.</t>
  </si>
  <si>
    <t>SS-SCR-018-SC1-TC3</t>
  </si>
  <si>
    <t>Hiện tại voice search đang áp dụng cơ chế là voice to text =&gt; sau đó chạy theo cơ chế text search như bình thường - em nhớ TD từng nói vậy.</t>
  </si>
  <si>
    <t>QnA-47</t>
  </si>
  <si>
    <t>Admin Ranking Scorecard — 0% test coverage, có test plan riêng không?</t>
  </si>
  <si>
    <t>BRD §3.1 liệt kê 'Bảng điểm Xếp hạng Quản trị' là hạng mục #10 trong phạm vi, và BO-05 mô tả rõ đội Merchandising cần chỉnh trọng số xếp hạng real-time không cần deploy code. Tuy nhiên Storyboard (slide 4, 'Ngoài phạm vi') tự loại 'backoffice cấu hình từ khoá và Retail Media' khỏi phạm vi 19 màn hình — nên toàn bộ Combined Test Suite (bám theo Storyboard) không hề đụng tới Admin/backoffice. Có test plan Admin/backoffice riêng đang được lên kế hoạch hay chuẩn bị bởi đội khác không, hay đây là gap thật chưa ai phụ trách?</t>
  </si>
  <si>
    <t>BRD §3.1 hạng mục #10, BO-05 vs Storyboard slide 4 'Ngoài phạm vi'</t>
  </si>
  <si>
    <t>QC (rà soát phạm vi tổng thể BRD vs Storyboard)</t>
  </si>
  <si>
    <t>PO / BA</t>
  </si>
  <si>
    <t>Không có test case nào trong bộ này (UI hay Integration) kiểm tra chức năng Admin Scorecard — nếu đây thực sự trong scope go-live, cần một test suite hoàn toàn riêng.</t>
  </si>
  <si>
    <t>N/A — không có TC nào trong bộ test này</t>
  </si>
  <si>
    <t>Vẫn có backoffice để cấu hình từ khóa search. Còn việc test thì phụ thuộc vào kết quả expect để điều chỉnh lại trọng số sao cho phù hợp (bên dev sẽ chỉnh trọng số), không test từng chỉ số trong backoffice.</t>
  </si>
  <si>
    <t>QnA-48</t>
  </si>
  <si>
    <t>FR-SP-02 và FR-ZR-01 — 2 mã REQ ID không tồn tại trong BRD nhưng đang dùng rộng rãi trong test suite</t>
  </si>
  <si>
    <t>Đối chiếu toàn văn BRD xác nhận: (1) FR-SP-02 KHÔNG xuất hiện ở bất kỳ đâu trong BRD (Storyboard tự gắn mã này cho SS-SCR-001, kéo theo toàn bộ ~17 test case của màn Pre-search dùng REQ ID không có định nghĩa); (2) FR-ZR-01 cũng KHÔNG tồn tại (BRD chỉ có FR-ZR-02, dùng cho toàn bộ SS-SCR-012). QnA-06 đã hỏi chung chung về việc rà soát REQ ID Storyboard vs BRD, nhưng chưa nêu đích danh 2 mã cụ thể này — đề nghị BA xác nhận: 2 mã này có mã chính thức tương ứng nào trong BRD, hay cần bổ sung định nghĩa mới cho chúng?</t>
  </si>
  <si>
    <t>Đối chiếu toàn văn BRD v0.0.3 — liên quan QnA-06</t>
  </si>
  <si>
    <t>QC (rà soát REQ ID cụ thể sau khi có kết quả review testcase)</t>
  </si>
  <si>
    <t>Toàn bộ TC thuộc SS-SCR-001 (SC1–SC9) dùng REQ ID 'FR-SP-02' và toàn bộ TC thuộc SS-SCR-012 (SC1–SC4) dùng REQ ID có 'FR-ZR-01' — độ tin cậy truy vết REQ ID bị ảnh hưởng cho tới khi xác nhận.</t>
  </si>
  <si>
    <t>Toàn bộ SS-SCR-001-SC1..SC9 (~17 TC), toàn bộ SS-SCR-012-SC1..SC4 (~11 TC)</t>
  </si>
  <si>
    <t>cả 2 mã đều không có trong BRD v0.0.3. Xem bảng đầy đủ ở QnA-06 — FR-SP-02 (gắn cho SS-SCR-001) nên tách thành FR-PS-01/02/03/04; FR-ZR-01 (gắn cho SS-SCR-012) nên đổi thành FR-SM-07.</t>
  </si>
  <si>
    <t>QnA-49</t>
  </si>
  <si>
    <t>KPI-04/06/07 — công thức đo lường cụ thể là gì?</t>
  </si>
  <si>
    <t>BRD chỉ nêu ngưỡng mục tiêu (KPI-04: Tỷ lệ Tìm kiếm sang Giỏ hàng &gt;10%; KPI-06: Tỷ lệ Chỉnh sửa Truy vấn &lt;15-20%; KPI-07: Tỷ lệ Thử lại Tìm kiếm &lt;10-15%), không định nghĩa công thức: 'Tìm kiếm sang Giỏ hàng' tính trên session hay trên từng query? 'Chỉnh sửa Truy vấn' (sửa từ khoá trong cùng phiên) khác 'Thử lại Tìm kiếm' (tìm lại từ đầu) ở event/hành vi cụ thể nào? Cần BA/Data Analytics định nghĩa rõ trước khi có thể đo lường sau go-live.</t>
  </si>
  <si>
    <t>BRD §2.2 Table KPI — chỉ có ngưỡng mục tiêu, không có công thức đo</t>
  </si>
  <si>
    <t>BA / Data Analytics</t>
  </si>
  <si>
    <t>Không ảnh hưởng trực tiếp tới Pass/Fail của TC nào trong bộ UI/Integration hiện tại (đây là chỉ số đo sau go-live, không phải hành vi UI có thể test trước khi ra mắt).</t>
  </si>
  <si>
    <t>N/A — thuộc phạm vi Analytics/Instrumentation</t>
  </si>
  <si>
    <t>Công thức KPI =&gt; Data Analytics định nghĩa</t>
  </si>
  <si>
    <t>QnA-50</t>
  </si>
  <si>
    <t>SS-SCR-005 — giới hạn tối đa số sản phẩm hiển thị trong 1 lần tìm kiếm là bao nhiêu?</t>
  </si>
  <si>
    <t>Không tìm thấy quy định nào trong BRD/Storyboard về trần tối đa cho lưới kết quả chính (khác với khối 'Có thể bạn sẽ thích' đã hỏi ở QnA-41, và khối 'Thường mua' hỏi ở QnA-53). Cuộn vô hạn có dừng ở một ngưỡng cụ thể (VD 500/1000 sản phẩm) hay tải tiếp tới hết toàn bộ catalogue khớp?</t>
  </si>
  <si>
    <t>SS-SCR-005 — không tìm thấy trong BRD/Storyboard</t>
  </si>
  <si>
    <t>Chưa có test case nào verify giới hạn tối đa — cần bổ sung TC sau khi có quyết định.</t>
  </si>
  <si>
    <t>SS-SCR-005-SC1-TC1, SC1-TC2 (chưa có TC riêng cho giới hạn tối đa)</t>
  </si>
  <si>
    <t>QnA-51</t>
  </si>
  <si>
    <t>Trending — từ khoá hot nhưng 0 kết quả catalogue có bị lọc khỏi khối Xu hướng không?</t>
  </si>
  <si>
    <t>⚠️ Phát hiện quan trọng: test case hiện tại SS-SCR-001-SC3-TC3 đang TỰ GIẢ ĐỊNH 'từ khoá 0-kết-quả hoặc vi phạm profanity filter không được hiển thị' — nhưng BRD (FR-PS-02) CHỈ mô tả việc lọc qua Từ điển Cấm (Profanity Filter), KHÔNG hề đề cập tới việc lọc từ khoá cho ra 0 kết quả catalogue. Đây là một giả định do QC tự thêm vào khi viết test case (hợp lý về mặt UX — tránh dẫn khách vào Zero Result ngay từ khối Trending — nhưng chưa được BA xác nhận bằng văn bản). Cần BA xác nhận: quy tắc lọc 0-kết-quả này có thật sự tồn tại, hay từ khoá trending có thể dẫn thẳng khách vào Zero Result Page?</t>
  </si>
  <si>
    <t>BRD FR-PS-02 không đề cập lọc 0-kết-quả — SS-SCR-001-SC3-TC3 đang giả định điều này</t>
  </si>
  <si>
    <t>QC (phát hiện khi rà soát test case đã viết chưa đối chiếu kỹ với BRD)</t>
  </si>
  <si>
    <t>Test case SS-SCR-001-SC3-TC3 hiện đang test theo giả định của QC, chưa có căn cứ BRD — cần xác nhận lại nội dung Expected Result của TC này (không phải chỉ 1 QnA mới, còn phải rà soát TC cũ).</t>
  </si>
  <si>
    <t>SS-SCR-001-SC3-TC3</t>
  </si>
  <si>
    <t>Áp dụng profanity filter và chỉ hiển thị từ khoá có kết quả &gt; 0 =&gt; Test case SS-SCR-001-SC3-TC3 đang test đúng, giữ nguyên không cần sửa.</t>
  </si>
  <si>
    <t>QnA-52</t>
  </si>
  <si>
    <t>Trending — một lượt tìm kiếm được tính đếm (count) vào Volume khi nào?</t>
  </si>
  <si>
    <t>Khi khách gõ từ khoá rồi nhấn Enter mới được tính 1 lượt tìm kiếm để cộng vào Volume/Velocity score, hay gõ xong bằng bất kỳ cách nào (nhấn Done trên bàn phím, nhấn nút Search, hoặc tap chọn 1 gợi ý Autocomplete) đều được tính? Ảnh hưởng trực tiếp tới độ chính xác của thuật toán chấm điểm Trending (FR-PS-02).</t>
  </si>
  <si>
    <t>BRD FR-PS-02 không định nghĩa event đếm lượt tìm kiếm</t>
  </si>
  <si>
    <t>BA / Data</t>
  </si>
  <si>
    <t>Không ảnh hưởng TC nào trong bộ UI hiện tại (đây là logic backend đếm lượt tìm kiếm, không quan sát được qua UI).</t>
  </si>
  <si>
    <t>N/A — thuộc phạm vi backend đếm lượt tìm kiếm</t>
  </si>
  <si>
    <t>1 truy vấn (Enter, nút Search, hoặc tap chọn gợi ý Autocomplete) đều tính 1 lượt — vì cả 3 đều thể hiện ý định tìm kiếm thật của khách. Cần TD xác nhận event tracking hiện có hỗ trợ phân biệt được 3 nguồn này không.</t>
  </si>
  <si>
    <t>QnA-53</t>
  </si>
  <si>
    <t>'Thường mua' (Frequently Purchased) — giới hạn tối đa bao nhiêu SKU khi cuộn tải thêm?</t>
  </si>
  <si>
    <t>FR-PS-03 chỉ mô tả cơ chế: lấy Top 10 SKU còn hàng trước, sau khi khách lướt hết thì tải tiếp lô 10 SKU kế tiếp, 'cứ tiếp tục như thế' — không nêu trần tối đa (tương tự pattern đã hỏi ở QnA-41 cho khối 'Có thể bạn sẽ thích' của Zero Result, và QnA-50 cho trang kết quả chính). Có dừng lại ở một số lượng cụ thể hay tải hết toàn bộ lịch sử mua hàng đủ điều kiện của khách?</t>
  </si>
  <si>
    <t>BRD FR-PS-03 — chỉ mô tả cơ chế lô 10, không nêu giới hạn tối đa</t>
  </si>
  <si>
    <t>Test case SS-SCR-001-SC8-TC1 hiện chỉ test việc tải lô kế tiếp, chưa verify giới hạn tối đa cụ thể — cần bổ sung sau khi xác nhận.</t>
  </si>
  <si>
    <t>SS-SCR-001-SC8-TC1</t>
  </si>
  <si>
    <t>Trong tài liệu có nhắc đến cơ chế lazy loading. Không nên giới hạn tối đa =&gt; Người dùng luôn muốn khám phá tiếp, không nên cản hoặc giới hạn việc khám phá của họ</t>
  </si>
  <si>
    <t>QnA-54</t>
  </si>
  <si>
    <t>Autocomplete — BRD và Storyboard mô tả 2 tiêu chí xếp hạng KHÁC NHAU cho cùng 1 danh sách gợi ý</t>
  </si>
  <si>
    <t>⚠️ Phát hiện quan trọng: BRD (FR-SP-01) mô tả gợi ý autocomplete xếp hạng theo 'keyword xuất hiện ở tên sản phẩm nào nhiều nhất' (tần suất khớp trong catalog), trong khi Storyboard (SS-SCR-002, thành phần #2) lại mô tả 'Sắp xếp theo search volume giảm dần' (độ phổ biến lịch sử tìm kiếm của khách hàng) — đây là 2 TÍN HIỆU HOÀN TOÀN KHÁC NHAU (catalog text-matching vs search-query popularity), không phải chỉ khác cách diễn đạt. Test case hiện tại (SS-SCR-002-SC1-TC3) đã VIẾT THEO HƯỚNG DIỄN GIẢI CỦA STORYBOARD ('từ khoá tìm kiếm phổ biến', không phải 'tên sản phẩm khớp chuỗi') mà chưa đối chiếu với BRD. Ngoài ra không nguồn nào nêu khung thời gian tính 'volume' (all-time hay rolling window, giống các block khác đã hỏi). Cần BA/TD xác nhận tiêu chí chính thức.</t>
  </si>
  <si>
    <t>BRD FR-SP-01 vs Storyboard slide 7 (SS-SCR-002) — 2 mô tả khác nhau cho cùng 1 hành vi</t>
  </si>
  <si>
    <t>QC (đối chiếu BRD với Storyboard khi rà soát test case đã viết)</t>
  </si>
  <si>
    <t>Test case SS-SCR-002-SC1-TC3 đang thực thi theo diễn giải của Storyboard, chưa được xác nhận là đúng nguồn chính thức — cần rà soát lại một khi có quyết định.</t>
  </si>
  <si>
    <t>SS-SCR-002-SC1-TC1, SS-SCR-002-SC1-TC3</t>
  </si>
  <si>
    <t>Hiện tại BA đã trao đổi với Dev và có update logic hệ thống cho FR-SP-01 =&gt; có khả thi thực hiện FR-SP-01 =&gt; Nhờ QC check lại rule (rule base trên BRD, không base trên storyboard)</t>
  </si>
  <si>
    <t xml:space="preserve"> meeting 2026-08-24 (rule ưu tiên bổ sung #5): tiêu chí xếp hạng chính thức là SỐ TỪ KHOÁ TỪ QUERY MATCH được với sản phẩm (matching từ nhiều nhất → hiển thị lên đầu) . Diễn giải này khớp với hướng của BRD FR-SP-01 (đếm số lần khớp trong tên sản phẩm), KHÔNG phải hướng "search volume" của Storyboard SS-SCR-002. Test case SS-SCR-002-SC1-TC3 (đang viết theo Storyboard) cần được rà soát lại. Xem test case mới SS-SCR-005-SC11-TC1 và INT-01-SC3-TC1.</t>
  </si>
  <si>
    <t>QnA-55</t>
  </si>
  <si>
    <t>Autocomplete — thứ tự ưu tiên hiển thị giữa khớp từ khoá / đồng nghĩa / đa ngôn ngữ / không dấu / sản phẩm tương tự?</t>
  </si>
  <si>
    <t>Khi khách gõ 1 chuỗi, có thể có nhiều LOẠI gợi ý cùng khớp (khớp trực tiếp catalog, từ đồng nghĩa theo FR-SM-04, kết quả đa ngôn ngữ theo FR-SM-02, biến thể không dấu/có dấu theo FR-SM-06, sản phẩm tương tự về ngữ nghĩa) — chưa có tài liệu nào quy định thứ tự ưu tiên hiển thị giữa các loại này trong CÙNG 1 danh sách 10 dòng gợi ý. Câu hỏi con cụ thể: gõ tiếng Việt không dấu, danh sách autocomplete hiển thị lại gợi ý CÓ dấu (chuẩn hoá) hay giữ nguyên không dấu như khách đã gõ? (suy luận hợp lý là có dấu, theo tinh thần FR-SM-06, nhưng chưa được xác nhận rõ cho riêng UI autocomplete).</t>
  </si>
  <si>
    <t>BRD FR-SP-01, FR-SM-02/04/06 — không có quy tắc ưu tiên hiển thị kết hợp</t>
  </si>
  <si>
    <t>Các test case autocomplete hiện tại (SS-SCR-002-SC1-TC1, TC3, TC4) chỉ test từng loại gợi ý riêng lẻ, chưa test trường hợp NHIỀU loại gợi ý cùng cạnh tranh vị trí hiển thị trong 1 danh sách.</t>
  </si>
  <si>
    <t>SS-SCR-002-SC1-TC1, SS-SCR-002-SC1-TC3, SS-SCR-002-SC1-TC4</t>
  </si>
  <si>
    <t>Gõ không dấu thì Autocomplete vẫn hiển thị gợi ý CÓ dấu (chuẩn hoá), không giữ nguyên dạng không dấu như khách gõ. Phần này đã có câu trả lời trong BRD rồi ạ.
Logic hệ thống cách xếp hạng cũng đã có đề cập trong BRD. Chi tiết thuật toán hay công thức cụ thể tính như nào để tối ưu performance hệ thống thì nhờ TD trả lời ạ.</t>
  </si>
  <si>
    <t>QnA-56</t>
  </si>
  <si>
    <t>FR-SM-04 Synonym Mapping — ai định nghĩa/duyệt chu kỳ chạy tự động của Data Pipeline?</t>
  </si>
  <si>
    <t>BRD nói: 'Quá trình này được Data Pipeline tự động thực hiện định kỳ. Vận hành viên (OP) không cần phải cấu hình thủ công.' — nhưng không nói rõ: ai quyết định tần suất chạy định kỳ (hàng ngày/hàng tuần?), ai kiểm tra chất lượng các cặp từ đồng nghĩa được tự sinh ra có chính xác không (rủi ro: pipeline tự động có thể tạo ra ánh xạ sai/gây nhiễu kết quả tìm kiếm mà không ai kiểm duyệt).</t>
  </si>
  <si>
    <t>BRD FR-SM-04</t>
  </si>
  <si>
    <t>BA / Data Engineering</t>
  </si>
  <si>
    <t>Không có test case UI nào kiểm tra được vấn đề vận hành/quản trị dữ liệu này (không quan sát được qua giao diện khách hàng).</t>
  </si>
  <si>
    <t>N/A — câu hỏi vận hành/quản trị dữ liệu</t>
  </si>
  <si>
    <t>Nhờ bên TD trả lời ạ.</t>
  </si>
  <si>
    <t>QnA-57</t>
  </si>
  <si>
    <t>FR-PR-01→05 — trọng số Scorecard (Relevance/Purchase Affinity/Margin/Promotion/Trending) được cấu hình/lưu trữ ở đâu?</t>
  </si>
  <si>
    <t>Liên quan trực tiếp QnA-47 (Admin Ranking Scorecard ngoài phạm vi Storyboard): nếu màn hình cấu hình trọng số (Admin UI) không nằm trong 19 màn hình của Storyboard, vậy trọng số 40%/20%/15%/15%/10% hiện đang hardcode trong code, hay có 1 kênh cấu hình nào khác (config file, feature flag, DB) chưa được thể hiện trong bộ tài liệu này?</t>
  </si>
  <si>
    <t>BRD §5.2 — liên quan QnA-47</t>
  </si>
  <si>
    <t>Không có test case nào kiểm tra được cơ chế cấu hình trọng số (ngoài phạm vi UI khách hàng).</t>
  </si>
  <si>
    <t>N/A — liên quan QnA-47</t>
  </si>
  <si>
    <t>trọng số ranking scorecard là do BA đề xuất lúc đầu, trong quá trình test và nghiệm thu thì sẽ thay đổi để làm sao ra được kết quả mà người dùng bình thường có thể chấp nhận được. Việc cấu hình được hay không thì nice to have, miễn là bên TD có thể làm nhanh nhất trong giai đoạn hiện tại.</t>
  </si>
  <si>
    <t>QnA-58</t>
  </si>
  <si>
    <t>Sponsored — sản phẩm tài trợ có bắt buộc vẫn liên quan tới từ khoá đang tìm không?</t>
  </si>
  <si>
    <t>QnA-04 đã hỏi về VỊ TRÍ chèn Sponsored (slot cố định hay đấu giá), nhưng chưa hỏi về ĐIỀU KIỆN ĐỦ ĐIỀU KIỆN: sản phẩm Sponsored có bắt buộc phải thuộc tập kết quả liên quan về ngữ nghĩa/catalog tới từ khoá đang tìm, hay nhà cung cấp có thể trả tiền để chèn sản phẩm HOÀN TOÀN KHÔNG LIÊN QUAN vào bất kỳ kết quả tìm kiếm nào?</t>
  </si>
  <si>
    <t>BRD FR-PR-01→05 — mở rộng từ QnA-04</t>
  </si>
  <si>
    <t>Test case SS-SCR-005-SC2-TC1/TC2 hiện chỉ test nhãn hiển thị và quy tắc out-of-stock cho Sponsored, chưa test điều kiện liên quan ngữ nghĩa.</t>
  </si>
  <si>
    <t>QnA-59</t>
  </si>
  <si>
    <t>FR-PR-01→05 — định nghĩa cụ thể của trọng số Margin/Promotion/Trending trong Scorecard là gì?</t>
  </si>
  <si>
    <t>BRD chỉ nêu tỷ trọng % (Margin 15%, Promotion 15%, Trending 10%) nhưng không định nghĩa rõ: Margin tính theo biên lợi nhuận gộp hay ròng, theo SKU hay theo danh mục? Promotion là tín hiệu nhị phân (đang giảm giá/không) hay theo % mức giảm? Trending trong ngữ cảnh Scorecard này có phải cùng thuật toán Trending Score của khối Xu hướng tìm kiếm (FR-PS-02) hay là một tín hiệu độc lập khác (VD lượt xem/mua gần đây của riêng SKU đó)?</t>
  </si>
  <si>
    <t>BRD §5.2 — chỉ có % trọng số, không có định nghĩa</t>
  </si>
  <si>
    <t>Test case SS-SCR-008-SC1-TC3 (sanity-check AI ranking) chỉ verify hành vi bề mặt (thứ tự khác sort đơn giản), không thể verify đúng-sai từng thành phần trọng số cho tới khi có định nghĩa.</t>
  </si>
  <si>
    <t>SS-SCR-008-SC1-TC3</t>
  </si>
  <si>
    <t>QnA-60</t>
  </si>
  <si>
    <t>AI Scorecard (FR-PR-01) chỉ áp dụng cho tuỳ chọn Sort 'Liên quan nhất', hay ảnh hưởng cả 7 tuỳ chọn Sort khác?</t>
  </si>
  <si>
    <t>FR-PR-01 mô tả thuật toán Scorecard chấm điểm sản phẩm nhưng không nói rõ PHẠM VI áp dụng. FR-PR-06 (Sorting Options) nói rõ 7 tuỳ chọn còn lại (Bán chạy nhất, Giá, Đánh giá, Tên...) 'giữ nguyên logic sorting như hệ thống cũ' — ngụ ý Scorecard CHỈ áp dụng cho 'Liên quan nhất', nhưng cần BA xác nhận minh bạch: liệu Out-of-stock override và Sponsored override (là 1 phần của Scorecard theo FR-PR-01→05) có áp dụng ĐỒNG THỜI cho cả 7 sort thủ công kia không (VD sản phẩm hết hàng có luôn bị đẩy xuống đáy dù đang sort theo Giá thấp-cao)?</t>
  </si>
  <si>
    <t>BRD FR-PR-01 vs FR-PR-06</t>
  </si>
  <si>
    <t>Các test case SS-SCR-008-SC1-TC3 đến TC10 (verify từng sort option) mới chỉ test đúng thứ tự CHÍNH của mỗi tiêu chí, chưa test rõ Out-of-stock/Sponsored override có áp dụng xuyên suốt cả 7 sort thủ công hay không.</t>
  </si>
  <si>
    <t>SS-SCR-008-SC1-TC3, TC4, TC5, TC6, TC7, TC8, TC9, TC10 — liên quan QnA-32</t>
  </si>
  <si>
    <t>Trong BRD có đề cập đến việc AI Scorecard áp dụng cho liên quan nhất, các option sorting còn lại giữ nguyên logic hệ thống như app/web lotte mart hiện tại. Các option sorting còn lại đó sẽ áp dụng logic hệ thống vào danh sách kết quả của option sort liên quan nhất - Theo hướng TD đề xuất hiện tại.
Có — cả 2 override (Out-of-stock đẩy đáy, Sponsored gắn nhãn bắt buộc) nên áp dụng xuyên suốt cả 7 tuỳ chọn sort thủ công, không chỉ riêng "Liên quan nhất".</t>
  </si>
  <si>
    <t>QnA-61</t>
  </si>
  <si>
    <t>REQ chi tiết của FR-SF-01, FR-SF-02, FR-SF-03 (Smart Filter) — đang bị gộp chung, cần tách rõ từng mã</t>
  </si>
  <si>
    <t>Giống pattern đã xử lý ở QnA-27 (FR-GD-01/03): BRD gộp FR-SF-01, FR-SF-02, FR-SF-03 vào chung 1 dòng mô tả duy nhất ('[Bộ lọc Thông minh] AI bốc ra tối đa 10 Tag lọc thông minh có Information Gain cao nhất... cấu trúc phẳng, không gom nhóm... Filter hiển thị bắt buộc phải trả về &gt;=1 sản phẩm.'), không tách bạch nội dung nào ứng với mã nào trong 3 mã. Đề nghị BA tách rõ để trace test case chính xác hơn — hiện toàn bộ TC liên quan Smart Filter đang dùng chung chuỗi 'FR-SF-01, FR-SF-04' không phân biệt được.</t>
  </si>
  <si>
    <t>BRD §5.2 'FR-SF-01 -&gt; FR-SF-03'</t>
  </si>
  <si>
    <t>Cột REQ ID của toàn bộ TC liên quan Smart Filter (SS-SCR-005-SC9, SS-SCR-009-SC1/SC3) không tách bạch được theo từng mã con.</t>
  </si>
  <si>
    <t>SS-SCR-009-SC1-TC1, SS-SCR-009-SC3-TC1, SS-SCR-009-SC3-TC2, SS-SCR-005-SC9-TC1, SS-SCR-005-SC9-TC2</t>
  </si>
  <si>
    <t>Giữ nguyên đoạn mã đó giúp em, vì một số ID em ref từ BRD bản đầu tiên để phục vụ cho trace requirement sau này.</t>
  </si>
  <si>
    <t>QnA-62</t>
  </si>
  <si>
    <t>⚠️ NFR-002 (150ms) mâu thuẫn với KPI-02 (&lt;300ms) cho cùng 1 chỉ số 'thời gian phản hồi autocomplete' — và test case hiện tại đang trích dẫn sai số</t>
  </si>
  <si>
    <t>BRD ghi 2 số khác nhau cho cùng 1 phép đo: NFR-002 = '95% autocomplete trả gợi ý trong vòng 150ms'; KPI-02 = 'Gợi ý Trong khi Nhập, Dưới 0,3 giây (không bao gồm khoảng thời gian debounce 0,3 giây)' = &lt;300ms. Cả 2 đều mô tả thời gian phản hồi SAU KHI debounce đã trôi qua — chênh lệch 2x, không phải làm tròn. NGHIÊM TRỌNG HƠN: test case hiện tại của bộ này (SS-SCR-002-SC1-TC1) đang trích dẫn '≤300ms... (P95, NFR-002)' — TỨC ĐANG GÁN SAI số 300ms cho NFR-002 (số đúng theo văn bản BRD là 150ms, số 300ms thực ra khớp với KPI-02). Cần BA chốt ngay số chính thức, sau đó QC sẽ rà soát lại TC hiện có cho khớp.</t>
  </si>
  <si>
    <t>BRD NFR-002 vs KPI-02 — ảnh hưởng SS-SCR-002-SC1-TC1 hiện có (đang trích dẫn sai REQ ID/số liệu)</t>
  </si>
  <si>
    <t>QC (đối chiếu số liệu khi rà soát testcase)</t>
  </si>
  <si>
    <t>Test case SS-SCR-002-SC1-TC1 đang test &amp; trích dẫn ngưỡng SAI theo văn bản BRD (300ms gán cho NFR-002 trong khi BRD ghi 150ms) — cần sửa lại TC này sau khi BA xác nhận số chính thức, dù hiện tại KHÔNG chặn Pass/Fail (300ms vẫn có căn cứ từ KPI-02, chỉ là gán nhầm REQ ID).</t>
  </si>
  <si>
    <t>SS-SCR-002-SC1-TC1</t>
  </si>
  <si>
    <t>Đã update NFR-002 là 300ms</t>
  </si>
  <si>
    <t>QnA-63</t>
  </si>
  <si>
    <t>Ranking Scorecard — “Relevance” 40% có tự bao gồm match từ khoá/ngữ nghĩa/đồng nghĩa/vùng miền/đa ngôn ngữ/không dấu, hay đây là 2 tầng xử lý tách biệt (Matching rồi mới Ranking)?</t>
  </si>
  <si>
    <t>BRD tách 2 lĩnh vực chức năng RIÊNG BIỆT trong Bảng 2 / §5.2: #3 'Kết quả Liên quan — Tìm kiếm Ngữ nghĩa &amp; Đa ngôn ngữ' (FR-SM-01→07: khớp từ khoá, ngữ nghĩa tự nhiên, đồng nghĩa, phương ngữ, đa ngôn ngữ/trộn ngôn ngữ, có dấu/không dấu) và #4 'Xếp hạng Hiển thị — Cá nhân hóa' (FR-PR-01→05: Scorecard Relevance 40% / Purchase Affinity 20% / Margin 15% / Promotion 15% / Trending 10%). BRD KHÔNG có câu nào nối trực tiếp công thức nội bộ của điểm Relevance với 6 cơ chế match ở FR-SM-*. Đối chiếu thêm 3 sơ đồ luồng (Section 4 — Text/Voice/Image Search, dạng ảnh SmartArt trong docx, không phải text) đều vẽ toàn bộ search là 1 bước duy nhất 'Hệ thống: Gọi API truy vấn kết quả' → 'Trạng thái Kết quả' — không có box nào tách Matching ra khỏi Ranking. Test Strategy Artifact (Phần 0.2) hiện đang trình bày giả định 2 tầng nối tiếp (Matching rồi tới Ranking) dựa trên thứ tự liệt kê tài liệu + quy ước kiến trúc search-engine tiêu chuẩn (retrieve-rồi-rank), KHÔNG phải từ câu chữ tường minh trong BRD. Cần BA/TD xác nhận: (1) điểm Relevance 40% trong Scorecard có thực sự lấy input từ 6 tín hiệu match ở FR-SM-* không, hay là 1 tín hiệu độc lập khác (VD chỉ đơn thuần điểm tương đồng vector)? (2) nếu có 2 tầng xử lý tách biệt thật, tầng Matching có luôn chạy xong hoàn toàn trước khi tầng Ranking bắt đầu không, hay 2 tầng chạy đan xen/song song?</t>
  </si>
  <si>
    <t>BRD §5.2 Bảng 2 (#3 FR-SM-01→07 vs #4 FR-PR-01→05) + Section 4 'Luồng Quy trình' (3 sơ đồ ảnh Text/Voice/Image Search) — liên quan QnA-57, QnA-59</t>
  </si>
  <si>
    <t>QC (Claude, đối chiếu bối cảnh nghiệp vụ Admin→User cho Test Strategy Artifact, 20/08/2026)</t>
  </si>
  <si>
    <t>Test Strategy Artifact (Phần 0.2, sơ đồ luồng OMS→Ranking Engine→User Page) hiện đang vẽ Matching và Ranking là 2 bước nối tiếp, đã tô đậm rõ đây là GIẢ ĐỊNH suy luận — nếu quan hệ thực tế khác (VD Relevance score tự thân đã tích hợp match signal, không tách tầng riêng), cần vẽ lại sơ đồ. Không chặn Pass/Fail của TC nào trong bộ UI hiện tại (đây là câu hỏi kiến trúc backend, không quan sát được qua giao diện khách hàng).</t>
  </si>
  <si>
    <t>N/A — liên quan QnA-57, QnA-59 (định nghĩa trọng số Scorecard)</t>
  </si>
  <si>
    <t>20/08/2026</t>
  </si>
  <si>
    <t>Về mặt Ý ĐỊNH nghiệp vụ thì CÓ — Relevance phải phản ánh toàn bộ 6 cơ chế match đã mô tả ở FR-SM-01→07 (nếu không thì các FR đó vô nghĩa). Cách triển khai (nối tiếp hay song song) là bên TD.</t>
  </si>
  <si>
    <t>QnA-64</t>
  </si>
  <si>
    <t>Phạm vi Store trong AI Search — search có bị giới hạn theo 1 Serving Store hay kết hợp nhiều store?</t>
  </si>
  <si>
    <t>BRD AI Search (BRD_AI_Search_VI_v0.0.3) không hề nhắc tới khái niệm 'store' hay 'Serving Store' ở bất kỳ đâu trong toàn bộ tài liệu — không có FR nào định nghĩa AI Search Index có bị giới hạn (scope) theo 1 cửa hàng cụ thể hay không. Trong khi đó, một tài liệu REQ khác của cùng dự án — MART-AN02-SRS-Simplify User Flow-v0.1-20260814.pptx (Slide 5-7, 10-11) — xác nhận rõ: 'Store selection is mandatory from Onboarding' (Slide 5), và AC-03 'LOTTE MART Store — Serving store. Determines product catalogue, price, stock, promotion, service radius and slot capacity' (Slide 6) — tức toàn bộ catalogue/giá/tồn kho khách nhìn thấy trên app đều gắn với ĐÚNG 1 Serving Store đã chọn ở Onboarding, và đây là 1 trong chỉ 2 điểm chặn bắt buộc toàn hành trình khách hàng (Slide 10, đúng như hệ thống cũ yêu cầu chọn store trước khi truy cập mà QC nêu). Việc chia dữ liệu sản phẩm nguồn thành 20 file NDJSON riêng biệt theo store (data/ProductInfo/mart_&lt;lang&gt;_&lt;store&gt;_product.ndjson) cũng gợi ý kiến trúc catalog vốn đã phân mảnh theo store ở tầng dữ liệu, nhưng đây là suy luận từ cấu trúc file, không phải xác nhận từ BRD. Câu hỏi cụ thể cần BA/TD xác nhận: (1) AI Search Index có được build/scope riêng theo từng Serving Store (20 index độc lập) hay là 1 index gộp toàn hệ thống rồi filter theo store tại thời điểm query? (2) Autocomplete/Trending Search (FR-PS-02) tính Volume/Velocity trong phạm vi 1 store hay gộp toàn bộ 20 store? (3) Tầng fallback sâu nhất của Zero Result — 'Best-seller' (FR-ZR-02) — là best-seller của riêng Serving Store đang chọn hay best-seller toàn hệ thống 20 store? (4) Cạnh biên B5 trong SRS ('Serving store changed while in the Cart' — chỉ liệt kê ảnh hưởng tới sản phẩm/dịch vụ/slot trong Cart) không nhắc tới trang Kết quả Tìm kiếm đang mở — nếu khách đổi Serving Store trong khi đang xem Search Results Page, kết quả hiện tại có cần refresh/invalidate ngay không, hay giữ nguyên tới khi search lại?</t>
  </si>
  <si>
    <t>BRD_AI_Search_VI_v0.0.3 (không đề cập 'store' ở bất kỳ đâu) vs MART-AN02-SRS-Simplify User Flow-v0.1-20260814.pptx Slide 5/6/7/10/11 (AC-03, B5) — 2 tài liệu REQ khác nhau của cùng dự án, chưa đối chiếu chéo</t>
  </si>
  <si>
    <t>QC (Claude, đối chiếu BRD AI Search với SRS Simplify User Flow theo yêu cầu review, 20/08/2026)</t>
  </si>
  <si>
    <t>Toàn bộ golden test set hiện tại (generate_master_testset.py, output/golden_testsets/) đã tự chọn kiến trúc '1 store = 1 bộ test riêng' làm giả định thiết kế (xem Test Strategy Artifact 1.1) — nếu thực tế search là 1 index gộp toàn hệ thống, cách tách bộ test theo store vẫn hợp lệ để test catalogue nhưng sẽ thiếu test case cho hành vi kết hợp/lẫn store (VD: query trả về SKU của store khác). Ranking Scorecard Sandbox (QnA-63) và toàn bộ test case Search Results hiện tại đều ngầm giả định search chỉ trong phạm vi 1 store, chưa có TC nào test rõ ràng ranh giới này.</t>
  </si>
  <si>
    <t>N/A — ảnh hưởng giả định nền của toàn bộ golden test set và Ranking Scorecard Sandbox, chưa có TC cụ thể nào test ranh giới store</t>
  </si>
  <si>
    <r>
      <rPr>
        <sz val="10"/>
        <color rgb="FF000000"/>
        <rFont val="Arial"/>
      </rPr>
      <t xml:space="preserve">(1) Index Search — 20 index riêng hay 1 index gộp + filter?
Khuyến nghị 1 index gộp toàn hệ thống, mỗi sản phẩm mang trường đa giá trị store_ids (hoặc availability[] theo store), filter bằng filter context (không phải must/scoring query) tại thời điểm search theo đúng store_id của Serving Store đang chọn. KHÔNG khuyến nghị 20 index vật lý riêng biệt. </t>
    </r>
    <r>
      <rPr>
        <b/>
        <sz val="10"/>
        <color rgb="FF000000"/>
        <rFont val="Arial"/>
      </rPr>
      <t xml:space="preserve">=&gt; Đây chỉ là đề xuất của BA về mặt scalable của system, vẫn cần bên TD confirm lần cuối về độ khả thi.
</t>
    </r>
    <r>
      <rPr>
        <sz val="10"/>
        <color rgb="FF000000"/>
        <rFont val="Arial"/>
      </rPr>
      <t>Lý do:
Với quy mô ~20 cửa hàng và schema sản phẩm giống hệt nhau giữa các store (chỉ khác giá/tồn kho/khuyến mãi), pattern "index-per-tenant" chỉ thực sự đáng dùng khi số tenant lớn (hàng trăm+) hoặc schema khác biệt hoàn toàn giữa các tenant — không phải trường hợp này.
(2) Trending/Autocomplete (FR-PS-02) — Volume/Velocity tính theo store hay gộp?
Tính theo từng Serving Store làm mặc định, có fallback sang trending khu vực/toàn hệ thống chỉ cho store có lưu lượng tìm kiếm quá thấp (cold-start) để tránh danh sách trending rỗng hoặc quá ít tín hiệu ở các store nhỏ.
Lý do: nếu tính gộp toàn hệ thống, Autocomplete/Trending Search có thể gợi ý 1 từ khóa đang hot ở store khác nhưng sản phẩm đó lại hết hàng/không bán tại store khách đang chọn — khách bấm vào gợi ý rồi rơi ngay vào Zero Result hoặc thấy sản phẩm hết hàng, mâu thuẫn trực tiếp với nguyên tắc "Serving Store quyết định catalogue" mà chính SRS kia đã chốt là 1 trong 2 điểm chặn bắt buộc toàn hành trình.
(3) Zero Result — tầng "Best-seller" (FR-ZR-02) theo store hay toàn hệ thống?
Bắt buộc theo Serving Store đang chọn, không phải toàn hệ thống. Đây gần như không phải trade-off — mà là yêu cầu đúng-sai: Fallback chain đã ghi trong BRD là Substitute -&gt; Basket Analysis -&gt; Best seller (FR-ZR-02, DEP-06). Mục đích của cơ chế này là "cứu vãn trải nghiệm khi Zero Result" — nếu tầng cứu vãn cuối cùng lại show sản phẩm best-seller của 1 store khác mà khách không mua được tại store đang chọn, thì tính năng chống-trang-trắng sẽ tạo ra trải nghiệm tệ hơn cả trang trắng (khách tưởng mua được, bấm vào mới biết không phải). Khuyến nghị gắn thêm điều kiện này thành 1 dòng bổ sung rõ ràng trong đặc tả FR-ZR-02, không để ngầm hiểu.
(4) Đổi Serving Store khi đang mở Search Results Page — refresh ngay hay giữ nguyên?
Đề xuất mô hình 2 lớp, tái sử dụng đúng tinh thần mà cạnh biên B5 đã áp dụng cho Cart (thông báo, không ép buộc):
+ Lớp hiển thị (soft-invalidate): KHÔNG tự động reload/xoá kết quả đang xem — giữ nguyên vị trí cuộn, hiển thị 1 popup "Đã đổi cửa hàng, bạn muốn làm mới kết quả tìm kiếm không?" để khách chủ động refresh khi muốn. Auto-reload ngay lập tức sẽ giật trải nghiệm, mất ngữ cảnh khách đang xem (giống lỗi UX phổ biến ở các app đổi giỏ hàng ngầm mà không hỏi).
+ Lớp hành động (hard-validate): Bất kể trang có refresh hay chưa, hành động Thêm vào giỏ hàng từ Search Results Page phải luôn re-validate sản phẩm theo Serving Store MỚI tại đúng thời điểm bấm — nếu sản phẩm không còn thuộc catalogue/hết hàng ở store mới, chặn hành động và báo lỗi thay vì âm thầm add sản phẩm sai store vào giỏ.</t>
    </r>
  </si>
  <si>
    <t>QnA-65</t>
  </si>
  <si>
    <t>Từ đồng nghĩa — BRD nói tự động, kiến trúc thật là thủ công: mâu thuẫn cần chốt lại văn bản REQ</t>
  </si>
  <si>
    <t>BRD FR-SM-04 (Synonym Mapping) ghi rõ: 'Quá trình này được Data Pipeline tự động thực hiện định kỳ. Vận hành viên (OP) không cần phải cấu hình thủ công (manual config).' Nhưng tài liệu kiến trúc mới dev nộp — output/REQ/OVERVIEW-FLOW-VI_Phase1.pdf (Phần 3 — Vòng đời một thay đổi từ đồng nghĩa) — mô tả một quy trình HOÀN TOÀN THỦ CÔNG: 'Admin thêm/sửa/xoá nhóm từ đồng nghĩa' → lưu CSDL (đánh dấu 'chờ áp dụng') → Admin phải bấm nút 'Áp dụng' → hệ thống kiểm tra hợp lệ (chặn nếu nhóm quá ít từ, trùng từ dừng, bắc cầu quá rộng, trùng lặp) → dựng index mới nhúng bộ từ mới → nạp lại sản phẩm (toàn bộ catalogue hoặc theo category) → đổi alias sang index mới. Đây là 2 mô tả HOÀN TOÀN TRÁI NGƯỢC nhau về cùng 1 tính năng: BRD nói 'tự động, không cấu hình tay', kiến trúc thật nói 'Admin thao tác thủ công qua UI, có bước Áp dụng tường minh'. Ngoài ra, tài liệu kiến trúc còn xác nhận thêm 2 chi tiết BRD không hề nhắc tới: (1) có 2 bộ từ đồng nghĩa RIÊNG BIỆT ở search-service và indexer-service (API + bảng dữ liệu khác nhau, sửa bên này không ảnh hưởng bên kia); (2) nhánh tìm bằng AI (khi độ chắc chắn &lt;50%) KHÔNG đi qua bảng đồng nghĩa — chỉ nhánh từ khoá được hưởng lợi từ đồng nghĩa. Cần BA/TD xác nhận: BRD FR-SM-04 sẽ được sửa lại theo đúng kiến trúc thật (thủ công + Áp dụng), hay kiến trúc thật sẽ đổi để khớp BRD (tự động hoá thật sự trong tương lai)? Và nếu có nhiều bộ đồng nghĩa (search-service vs indexer-service), QC nên test bộ nào là bộ khách hàng thực sự trải nghiệm khi tìm kiếm.</t>
  </si>
  <si>
    <t>BRD_AI_Search_VI_v0.0.3 FR-SM-04 vs output/REQ/OVERVIEW-FLOW-VI_Phase1.pdf Phần 3 (Vòng đời một thay đổi từ đồng nghĩa) — 2 tài liệu REQ mâu thuẫn trực tiếp</t>
  </si>
  <si>
    <t>QC (Claude, đối chiếu OVERVIEW-FLOW-VI_Phase1.pdf mới nộp với BRD theo yêu cầu review, 20/08/2026)</t>
  </si>
  <si>
    <t>Test Strategy Artifact Phần 0.2/0.3 đã cập nhật theo kiến trúc thật (thủ công + Áp dụng), không theo BRD FR-SM-04 nữa — nếu BA quyết định BRD mới là đúng (tự động hoá), cần rà soát lại toàn bộ Phần 0 một lần nữa. Ranking Scorecard Sandbox (QnA-57/59/60/63/64) không bị ảnh hưởng trực tiếp vì sandbox không mô phỏng quy trình Admin.</t>
  </si>
  <si>
    <t>N/A — ảnh hưởng giả định nền của Test Strategy Artifact Phần 0, chưa có TC cụ thể nào test quy trình Admin đồng nghĩa</t>
  </si>
  <si>
    <t>QnA-66</t>
  </si>
  <si>
    <t>INT-01-SC1 — Thứ tự ưu tiên xếp hạng (Out-of-stock → Personalization → Business rule → Relevance) chưa có căn cứ REQ</t>
  </si>
  <si>
    <t>Integration Test Scenario INT-01-SC1 khẳng định 1 thứ tự ưu tiên cụ thể gồm 4 tầng: Out-of-stock override → Personalization → Business rule (boost/bury) → Relevance thuần — và test case INT-01-SC1-TC2 test đúng theo giả định này (SKU được boost xếp trước SKU relevance cao hơn, kết luận 'Business rule &gt; Relevance thuần'). Tuy nhiên đối chiếu BRD FR-PR-01→05: Scorecard được mô tả là 1 công thức TRỌNG SỐ CỘNG GỘP duy nhất (Relevance 40% + Purchase Affinity 20% + Margin 15% + Promotion 15% + Trending 10%) — về bản chất là BLEND ra 1 điểm tổng hợp trong 1 lần tính, KHÔNG phải áp dụng tuần tự theo từng tầng ưu tiên riêng biệt. BRD chỉ liệt kê 3 quy tắc override RỜI RẠC (Out-of-stock đẩy đáy, Khách vãng lai Purchase Affinity=0, Sponsored ghim vị trí) — không có câu nào xác nhận 'Business rule luôn thắng Relevance thuần' hay xác nhận Personalization đứng trước/sau Business rule trong 1 chuỗi tầng. Cần BA/TD chốt: hệ thống thực sự BLEND 1 công thức trọng số duy nhất (không có khái niệm 'tầng ưu tiên'), hay có cơ chế tầng rời rạc đúng như INT-01-SC1 mô tả? Nếu có tầng, thứ tự chính xác là gì?</t>
  </si>
  <si>
    <t>BRD FR-PR-01→05 (chỉ có công thức trọng số blend + 3 override rời rạc, không xác nhận thứ tự 4 tầng) vs Integration Test Scenario INT-01-SC1 (tự đặt thứ tự 'Out-of-stock → Personalization → Business rule → Relevance')</t>
  </si>
  <si>
    <t>QC (rà soát theo yêu cầu review INT-01-SC1, phát hiện thứ tự ưu tiên chưa có căn cứ REQ, 20/08/2026)</t>
  </si>
  <si>
    <t>INT-01-SC1-TC1 (Out-of-stock override) vẫn có căn cứ BRD rõ ràng, không bị ảnh hưởng. INT-01-SC1-TC2 ('Business rule &gt; Relevance thuần') đang test 1 giả định thứ tự CHƯA CÓ CĂN CỨ — nếu thực tế là công thức blend 1 lần (không có tầng rời rạc), TC2 sai về bản chất và cần viết lại hoàn toàn.</t>
  </si>
  <si>
    <t>INT-01-SC1-TC1, INT-01-SC1-TC2</t>
  </si>
  <si>
    <t>Theo BRD, logic hệ thống đang mô tả là blend duy nhất, không phải chuỗi tầng ưu tiên rời rạc như INT-01-SC1 giả định. 3 quy tắc override (Out-of-stock, Khách vãng lai, Sponsored) là các ngoại lệ áp lên kết quả cuối chứ không phải "tầng" ngang hàng với Relevance/Purchase Affinity/Margin/Promotion/Trending.
=&gt; Thứ tự tính toán thực tế (3 override áp trước hay sau khi tính điểm blend) vẫn là câu hỏi kiến trúc, cần TD xác nhận.</t>
  </si>
  <si>
    <t>28/8/2026</t>
  </si>
  <si>
    <t>QnA-67</t>
  </si>
  <si>
    <t>INT-01-SC2-TC1 — Quy tắc tie-break khi 2 SKU có điểm Scorecard bằng nhau tuyệt đối chưa xác nhận</t>
  </si>
  <si>
    <t>Expected Result của INT-01-SC2-TC1 tự ghi 'cần xác nhận quy tắc cụ thể' nhưng chưa từng được gắn vào QnA nào (cột QnA Ref bỏ trống ở cả Scenario INT-01-SC2 lẫn Test Case INT-01-SC2-TC1). Đây KHÔNG phải cùng câu hỏi với QnA-32 — QnA-32 hỏi về tie-break của 7 tuỳ chọn Sort THỦ CÔNG kiểu cũ (Giá, Tên, Lượt mua...), còn câu hỏi này là tie-break của chính thuật toán Scorecard AI khi dùng sort 'Liên quan nhất'. BRD FR-PR-01→05 không đề cập cơ chế tie-break cho trường hợp 2+ SKU có điểm Scorecard tổng hợp bằng nhau tuyệt đối. Cần BA/TD xác nhận: hệ thống dùng tiêu chí phụ nào để quyết định thứ tự trong trường hợp này (VD: Product_ID, thời gian cập nhật gần nhất, doanh số, hay thứ tự ngẫu nhiên có seed cố định) — và tiêu chí đó có đảm bảo DETERMINISTIC (luôn ra cùng 1 kết quả mỗi lần gọi, không đảo lộn ngẫu nhiên) hay không.</t>
  </si>
  <si>
    <t>BRD FR-PR-01→05 (không đề cập tie-break của Scorecard) — liên quan nhưng KHÁC QnA-32 (QnA-32 là tie-break của 7 sort thủ công kiểu cũ, không phải của chính thuật toán AI Relevance)</t>
  </si>
  <si>
    <t>QC (rà soát theo yêu cầu review INT-01-SC2-TC1, 20/08/2026)</t>
  </si>
  <si>
    <t>INT-01-SC2-TC1 chỉ có thể verify tính NHẤT QUÁN qua nhiều lần gọi (không random đảo lộn), không thể chấm Pass/Fail theo đúng thứ tự kỳ vọng vì chưa biết tiêu chí phụ chính thức là gì.</t>
  </si>
  <si>
    <t>INT-01-SC2-TC1</t>
  </si>
  <si>
    <t>Bất kể TD chọn tiêu chí phụ nào, phải deterministic (không random) để QA có thể tái lập kết quả. Tiêu chí cụ thể (Product_ID/thời gian cập nhật/doanh số...) để TD chọn theo hạ tầng hiện có.</t>
  </si>
  <si>
    <t>QnA-68</t>
  </si>
  <si>
    <t>Tồn kho về 0 do khách thêm giỏ hết — có tiếp tục hiển thị khi search lại không, cho chính khách đó và cho khách khác?</t>
  </si>
  <si>
    <t>Đã có 2 test case liên quan nhưng KHÔNG case nào trả lời trực tiếp câu hỏi này: INT-08-SC1-TC1 chỉ test tính TOÀN VẸN GIAO DỊCH khi nhiều request thêm giỏ đồng thời cho 1 SKU giới hạn tồn kho (đảm bảo tổng số lượng thêm giỏ không vượt tồn kho thực), không test hành vi tìm kiếm SAU KHI tồn kho về 0. INT-09-SC1-TC1 test độ trễ đồng bộ khi ADMIN/hệ thống cập nhật TRỰC TIẾP tồn kho qua Inventory Service API (SKU-X: 10→0), không phải khi tồn kho về 0 DO CHÍNH HÀNH VI THÊM GIỎ CỦA KHÁCH — chưa rõ 2 luồng cập nhật tồn kho này (admin sửa tay vs khách mua hết qua giỏ hàng) có cùng chạy qua 1 cơ chế đồng bộ Search Index hay không. Câu hỏi cụ thể cần BA/TD xác nhận: (1) Khi 1 khách thêm giỏ đủ 10 lần cho SKU có stock=10 (dùng hết tồn kho qua luồng mua hàng bình thường, không phải admin sửa tay), sản phẩm có còn hiển thị trong kết quả tìm kiếm không (hiển thị nhưng đẩy xuống đáy theo Out-of-stock override như FR-PR-01, hay bị ẩn hoàn toàn khỏi kết quả)? (2) Chính khách đó search lại từ khoá cũ ngay sau đó — có thấy đúng trạng thái hết hàng ngay không, hay có độ trễ đồng bộ (liên quan SLA đang hỏi ở QnA-03/INT-09)? (3) Một khách KHÁC (tài khoản khác, phiên khác) search cùng từ khoá ngay sau đó — có thấy CÙNG trạng thái hết hàng đó không, đảm bảo tính nhất quán toàn hệ thống (Search Index dùng chung, không phải trạng thái lưu riêng theo từng phiên/khách)?</t>
  </si>
  <si>
    <t>INT-08-SC1 (chỉ test toàn vẹn giao dịch thêm giỏ) vs INT-09-SC1 (chỉ test đồng bộ tồn kho từ Inventory Service, không phải từ hành vi giỏ hàng) — chưa có test case nào nối liền 2 luồng này</t>
  </si>
  <si>
    <t>QC (rà soát theo yêu cầu review, phát hiện gap giữa INT-08 và INT-09, 20/08/2026)</t>
  </si>
  <si>
    <t>Chưa có test case nào verify đầy đủ chuỗi hành vi 'thêm giỏ hết hàng → search lại (cùng khách) → search lại (khách khác) → nhất quán'. Đề xuất bổ sung 1 test case mới (INT-08-SC2 hoặc INT-09-SC2) sau khi có xác nhận cơ chế, nối rõ luồng Cart → Inventory Service → Search Index → nhiều phiên tìm kiếm.</t>
  </si>
  <si>
    <t>N/A — liên quan INT-08-SC1-TC1, INT-09-SC1-TC1, chưa có TC trực tiếp trả lời câu hỏi này</t>
  </si>
  <si>
    <t>QnA-69</t>
  </si>
  <si>
    <t>Search Result / Zero-Result — field xác định "Active" cho rule lọc Elasticsearch (rule 2, BA meeting 2026-08-24) chưa được BA/Dev xác nhận chính thức</t>
  </si>
  <si>
    <t>Meeting BA 2026-08-24 chốt rule: "hệ thống OpenSearch kết hợp cùng với Elastic Search để xem sản phẩm nào sẽ hiển thị ở Search result và autocomplete (Elastic Search giới hạn chỉ hiển thị các sản phẩm đang Active)" — nhưng KHÔNG nêu rõ field cụ thể nào định nghĩa "Active". Trong dữ liệu catalogue thật (ProductInfo) có ít nhất 4 field liên quan, cho ra 4 tập loại trừ khác nhau: `status` (Magento catalog status, 1=Enabled/2=Disabled — loại 208/16340 SKU), `ec_status` (0/1), `visibility_search` (bool — false ở 63 SKU), `visibility_catalog` (bool — false ở 2453 SKU). Hiện tại bộ test data/engine giả lập đang TẠM dùng `status` theo chỉ định của stakeholder trong lúc chờ xác nhận. Cần BA/Dev chốt: field chính thức (có thể là 1 field hoặc kết hợp nhiều field) định nghĩa "Active" cho mục đích hiển thị Search/Autocomplete.</t>
  </si>
  <si>
    <t>BA meeting 24/08/2026, rule 2 (chưa có REQ ID chính thức) — liên quan SS-SCR-005-SC12-TC1, INT-09-SC5-TC1</t>
  </si>
  <si>
    <t>QC (rà soát rule mới từ BA meeting 24/08/2026)</t>
  </si>
  <si>
    <t>BA / Dev</t>
  </si>
  <si>
    <t>SS-SCR-005-SC12-TC1 và INT-09-SC5-TC1 đang test theo field tạm `status` — có thể SAI/cần rà soát lại nếu field chính thức hoá ra là ec_status/visibility_search/visibility_catalog hoặc kết hợp nhiều field.</t>
  </si>
  <si>
    <t>SS-SCR-005-SC12-TC1, INT-09-SC5-TC1</t>
  </si>
  <si>
    <t> </t>
  </si>
  <si>
    <t>Tổng số QnA:</t>
  </si>
  <si>
    <t>Đang mở (Open):</t>
  </si>
  <si>
    <t>Đã trả lời (Resolved):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</si>
</sst>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charset val="1"/>
    </font>
    <font>
      <b/>
      <sz val="14"/>
      <color rgb="FFFFFFFF"/>
      <name val="Arial"/>
      <charset val="1"/>
    </font>
    <font>
      <i/>
      <sz val="10"/>
      <name val="Arial"/>
      <charset val="1"/>
    </font>
    <font>
      <b/>
      <sz val="10"/>
      <color rgb="FFFFFFFF"/>
      <name val="Arial"/>
      <charset val="1"/>
    </font>
    <font>
      <sz val="10"/>
      <name val="Arial"/>
      <charset val="1"/>
    </font>
    <font>
      <b/>
      <sz val="10"/>
      <name val="Arial"/>
      <charset val="1"/>
    </font>
    <font>
      <b/>
      <sz val="10"/>
      <color rgb="FFFFFFFF"/>
      <name val="Arial"/>
    </font>
    <font>
      <b/>
      <u/>
      <sz val="10"/>
      <color rgb="FFFFFFFF"/>
      <name val="Arial"/>
    </font>
    <font>
      <b/>
      <i/>
      <sz val="10"/>
      <color rgb="FFFFFFFF"/>
      <name val="Arial"/>
    </font>
    <font>
      <sz val="10"/>
      <color rgb="FF000000"/>
      <name val="Arial"/>
    </font>
    <font>
      <b/>
      <sz val="10"/>
      <color rgb="FF000000"/>
      <name val="Arial"/>
    </font>
  </fonts>
  <fills count="4">
    <fill>
      <patternFill patternType="none"/>
    </fill>
    <fill>
      <patternFill patternType="gray125"/>
    </fill>
    <fill>
      <patternFill patternType="solid">
        <fgColor rgb="FFC00000"/>
        <bgColor rgb="FF800000"/>
      </patternFill>
    </fill>
    <fill>
      <patternFill patternType="solid">
        <fgColor rgb="FFFCE4D6"/>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3" fillId="2" borderId="1" xfId="0" applyFont="1" applyFill="1" applyBorder="1" applyAlignment="1">
      <alignment horizontal="center" vertical="center" wrapText="1"/>
    </xf>
    <xf numFmtId="0" fontId="4" fillId="3" borderId="1" xfId="0" applyFont="1" applyFill="1" applyBorder="1" applyAlignment="1">
      <alignment vertical="top" wrapText="1"/>
    </xf>
    <xf numFmtId="0" fontId="5" fillId="0" borderId="0" xfId="0" applyFont="1"/>
    <xf numFmtId="0" fontId="6" fillId="2" borderId="1" xfId="0" applyFont="1" applyFill="1" applyBorder="1" applyAlignment="1">
      <alignment horizontal="center" vertical="center" wrapText="1"/>
    </xf>
    <xf numFmtId="0" fontId="4" fillId="3" borderId="1" xfId="0" applyFont="1" applyFill="1" applyBorder="1" applyAlignment="1">
      <alignment horizontal="left" vertical="top" wrapText="1"/>
    </xf>
    <xf numFmtId="14" fontId="4" fillId="3" borderId="1" xfId="0" applyNumberFormat="1" applyFont="1" applyFill="1" applyBorder="1" applyAlignment="1">
      <alignment vertical="top" wrapText="1"/>
    </xf>
    <xf numFmtId="0" fontId="9" fillId="3" borderId="1" xfId="0" applyFont="1" applyFill="1" applyBorder="1" applyAlignment="1">
      <alignment vertical="top" wrapText="1"/>
    </xf>
    <xf numFmtId="0" fontId="2" fillId="0" borderId="0" xfId="0" applyFont="1" applyAlignment="1">
      <alignment vertical="top" wrapText="1"/>
    </xf>
    <xf numFmtId="0" fontId="1" fillId="2" borderId="0" xfId="0" applyFont="1" applyFill="1" applyAlignment="1">
      <alignment vertical="top" wrapText="1"/>
    </xf>
    <xf numFmtId="0" fontId="0" fillId="0" borderId="0" xfId="0" applyAlignment="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7"/>
  <sheetViews>
    <sheetView showGridLines="0" tabSelected="1" zoomScaleNormal="100" workbookViewId="0">
      <pane ySplit="4" topLeftCell="B68" activePane="bottomLeft" state="frozen"/>
      <selection pane="bottomLeft" activeCell="K69" sqref="K69"/>
    </sheetView>
  </sheetViews>
  <sheetFormatPr defaultColWidth="8.7109375" defaultRowHeight="15"/>
  <cols>
    <col min="1" max="1" width="16.140625" customWidth="1"/>
    <col min="2" max="2" width="26" customWidth="1"/>
    <col min="3" max="3" width="52" customWidth="1"/>
    <col min="4" max="4" width="30" customWidth="1"/>
    <col min="5" max="5" width="22" hidden="1" customWidth="1"/>
    <col min="6" max="6" width="18" customWidth="1"/>
    <col min="7" max="7" width="10" customWidth="1"/>
    <col min="8" max="8" width="41" hidden="1" customWidth="1"/>
    <col min="9" max="9" width="20.85546875" hidden="1" customWidth="1"/>
    <col min="10" max="10" width="12" customWidth="1"/>
    <col min="11" max="11" width="96.42578125" customWidth="1"/>
    <col min="12" max="12" width="12" customWidth="1"/>
    <col min="13" max="13" width="46.28515625" customWidth="1"/>
  </cols>
  <sheetData>
    <row r="1" spans="1:13" ht="24" customHeight="1">
      <c r="A1" s="9" t="s">
        <v>0</v>
      </c>
      <c r="B1" s="10"/>
      <c r="C1" s="10"/>
      <c r="D1" s="10"/>
      <c r="E1" s="10"/>
      <c r="F1" s="10"/>
      <c r="G1" s="10"/>
      <c r="H1" s="10"/>
      <c r="I1" s="10"/>
      <c r="J1" s="10"/>
      <c r="K1" s="10"/>
      <c r="L1" s="10"/>
    </row>
    <row r="2" spans="1:13" ht="30" customHeight="1">
      <c r="A2" s="8" t="s">
        <v>1</v>
      </c>
      <c r="B2" s="10"/>
      <c r="C2" s="10"/>
      <c r="D2" s="10"/>
      <c r="E2" s="10"/>
      <c r="F2" s="10"/>
      <c r="G2" s="10"/>
      <c r="H2" s="10"/>
      <c r="I2" s="10"/>
      <c r="J2" s="10"/>
      <c r="K2" s="10"/>
      <c r="L2" s="10"/>
    </row>
    <row r="4" spans="1:13" ht="32.25" customHeight="1">
      <c r="A4" s="1" t="s">
        <v>2</v>
      </c>
      <c r="B4" s="1" t="s">
        <v>3</v>
      </c>
      <c r="C4" s="1" t="s">
        <v>4</v>
      </c>
      <c r="D4" s="1" t="s">
        <v>5</v>
      </c>
      <c r="E4" s="1" t="s">
        <v>6</v>
      </c>
      <c r="F4" s="1" t="s">
        <v>7</v>
      </c>
      <c r="G4" s="1" t="s">
        <v>8</v>
      </c>
      <c r="H4" s="1" t="s">
        <v>9</v>
      </c>
      <c r="I4" s="1" t="s">
        <v>10</v>
      </c>
      <c r="J4" s="1" t="s">
        <v>11</v>
      </c>
      <c r="K4" s="4" t="s">
        <v>12</v>
      </c>
      <c r="L4" s="1" t="s">
        <v>13</v>
      </c>
      <c r="M4" s="1" t="s">
        <v>14</v>
      </c>
    </row>
    <row r="5" spans="1:13" ht="38.25" customHeight="1">
      <c r="A5" s="2" t="s">
        <v>15</v>
      </c>
      <c r="B5" s="2" t="s">
        <v>16</v>
      </c>
      <c r="C5" s="2" t="s">
        <v>17</v>
      </c>
      <c r="D5" s="2" t="s">
        <v>18</v>
      </c>
      <c r="E5" s="2" t="s">
        <v>19</v>
      </c>
      <c r="F5" s="2" t="s">
        <v>20</v>
      </c>
      <c r="G5" s="2" t="s">
        <v>21</v>
      </c>
      <c r="H5" s="2" t="s">
        <v>22</v>
      </c>
      <c r="I5" s="2" t="s">
        <v>23</v>
      </c>
      <c r="J5" s="2" t="s">
        <v>24</v>
      </c>
      <c r="K5" s="2" t="s">
        <v>25</v>
      </c>
      <c r="L5" s="2" t="s">
        <v>26</v>
      </c>
      <c r="M5" s="2"/>
    </row>
    <row r="6" spans="1:13" ht="36">
      <c r="A6" s="2" t="s">
        <v>27</v>
      </c>
      <c r="B6" s="2" t="s">
        <v>28</v>
      </c>
      <c r="C6" s="2" t="s">
        <v>29</v>
      </c>
      <c r="D6" s="2" t="s">
        <v>30</v>
      </c>
      <c r="E6" s="2" t="s">
        <v>31</v>
      </c>
      <c r="F6" s="2" t="s">
        <v>32</v>
      </c>
      <c r="G6" s="2" t="s">
        <v>21</v>
      </c>
      <c r="H6" s="2" t="s">
        <v>33</v>
      </c>
      <c r="I6" s="2" t="s">
        <v>34</v>
      </c>
      <c r="J6" s="2" t="s">
        <v>24</v>
      </c>
      <c r="K6" s="2" t="s">
        <v>35</v>
      </c>
      <c r="L6" s="2" t="s">
        <v>26</v>
      </c>
      <c r="M6" s="2"/>
    </row>
    <row r="7" spans="1:13" ht="64.5" customHeight="1">
      <c r="A7" s="2" t="s">
        <v>36</v>
      </c>
      <c r="B7" s="2" t="s">
        <v>37</v>
      </c>
      <c r="C7" s="2" t="s">
        <v>38</v>
      </c>
      <c r="D7" s="2" t="s">
        <v>39</v>
      </c>
      <c r="E7" s="2" t="s">
        <v>40</v>
      </c>
      <c r="F7" s="2" t="s">
        <v>41</v>
      </c>
      <c r="G7" s="2" t="s">
        <v>21</v>
      </c>
      <c r="H7" s="2" t="s">
        <v>42</v>
      </c>
      <c r="I7" s="2" t="s">
        <v>43</v>
      </c>
      <c r="J7" s="2" t="s">
        <v>24</v>
      </c>
      <c r="K7" s="2"/>
      <c r="L7" s="2"/>
      <c r="M7" s="2"/>
    </row>
    <row r="8" spans="1:13" ht="63.75" customHeight="1">
      <c r="A8" s="2" t="s">
        <v>44</v>
      </c>
      <c r="B8" s="2" t="s">
        <v>45</v>
      </c>
      <c r="C8" s="2" t="s">
        <v>46</v>
      </c>
      <c r="D8" s="2" t="s">
        <v>47</v>
      </c>
      <c r="E8" s="2" t="s">
        <v>48</v>
      </c>
      <c r="F8" s="2" t="s">
        <v>49</v>
      </c>
      <c r="G8" s="2" t="s">
        <v>21</v>
      </c>
      <c r="H8" s="2" t="s">
        <v>50</v>
      </c>
      <c r="I8" s="2" t="s">
        <v>51</v>
      </c>
      <c r="J8" s="2" t="s">
        <v>24</v>
      </c>
      <c r="K8" s="2" t="s">
        <v>52</v>
      </c>
      <c r="L8" s="2" t="s">
        <v>26</v>
      </c>
      <c r="M8" s="2"/>
    </row>
    <row r="9" spans="1:13" ht="51" customHeight="1">
      <c r="A9" s="2" t="s">
        <v>53</v>
      </c>
      <c r="B9" s="2" t="s">
        <v>54</v>
      </c>
      <c r="C9" s="2" t="s">
        <v>55</v>
      </c>
      <c r="D9" s="2" t="s">
        <v>56</v>
      </c>
      <c r="E9" s="2" t="s">
        <v>57</v>
      </c>
      <c r="F9" s="2" t="s">
        <v>58</v>
      </c>
      <c r="G9" s="2" t="s">
        <v>21</v>
      </c>
      <c r="H9" s="2" t="s">
        <v>59</v>
      </c>
      <c r="I9" s="2"/>
      <c r="J9" s="2" t="s">
        <v>24</v>
      </c>
      <c r="K9" s="2"/>
      <c r="L9" s="2"/>
      <c r="M9" s="2"/>
    </row>
    <row r="10" spans="1:13" ht="38.25" customHeight="1">
      <c r="A10" s="2" t="s">
        <v>60</v>
      </c>
      <c r="B10" s="2" t="s">
        <v>61</v>
      </c>
      <c r="C10" s="2" t="s">
        <v>62</v>
      </c>
      <c r="D10" s="2" t="s">
        <v>63</v>
      </c>
      <c r="E10" s="2" t="s">
        <v>64</v>
      </c>
      <c r="F10" s="2" t="s">
        <v>65</v>
      </c>
      <c r="G10" s="2" t="s">
        <v>21</v>
      </c>
      <c r="H10" s="2" t="s">
        <v>66</v>
      </c>
      <c r="I10" s="2" t="s">
        <v>67</v>
      </c>
      <c r="J10" s="2" t="s">
        <v>24</v>
      </c>
      <c r="K10" s="2" t="s">
        <v>68</v>
      </c>
      <c r="L10" s="2" t="s">
        <v>69</v>
      </c>
      <c r="M10" s="2"/>
    </row>
    <row r="11" spans="1:13" ht="63.75" customHeight="1">
      <c r="A11" s="2" t="s">
        <v>70</v>
      </c>
      <c r="B11" s="2" t="s">
        <v>71</v>
      </c>
      <c r="C11" s="2" t="s">
        <v>72</v>
      </c>
      <c r="D11" s="2" t="s">
        <v>73</v>
      </c>
      <c r="E11" s="2" t="s">
        <v>74</v>
      </c>
      <c r="F11" s="2" t="s">
        <v>65</v>
      </c>
      <c r="G11" s="2" t="s">
        <v>21</v>
      </c>
      <c r="H11" s="2" t="s">
        <v>75</v>
      </c>
      <c r="I11" s="2" t="s">
        <v>76</v>
      </c>
      <c r="J11" s="2" t="s">
        <v>24</v>
      </c>
      <c r="K11" s="2" t="s">
        <v>77</v>
      </c>
      <c r="L11" s="2" t="s">
        <v>26</v>
      </c>
      <c r="M11" s="2"/>
    </row>
    <row r="12" spans="1:13" ht="65.25" customHeight="1">
      <c r="A12" s="2" t="s">
        <v>78</v>
      </c>
      <c r="B12" s="2" t="s">
        <v>79</v>
      </c>
      <c r="C12" s="2" t="s">
        <v>80</v>
      </c>
      <c r="D12" s="2" t="s">
        <v>81</v>
      </c>
      <c r="E12" s="2" t="s">
        <v>82</v>
      </c>
      <c r="F12" s="2" t="s">
        <v>83</v>
      </c>
      <c r="G12" s="2" t="s">
        <v>21</v>
      </c>
      <c r="H12" s="2" t="s">
        <v>84</v>
      </c>
      <c r="I12" s="2" t="s">
        <v>85</v>
      </c>
      <c r="J12" s="2" t="s">
        <v>24</v>
      </c>
      <c r="K12" s="2" t="s">
        <v>68</v>
      </c>
      <c r="L12" s="2" t="s">
        <v>69</v>
      </c>
      <c r="M12" s="2"/>
    </row>
    <row r="13" spans="1:13" ht="89.25" customHeight="1">
      <c r="A13" s="2" t="s">
        <v>86</v>
      </c>
      <c r="B13" s="2" t="s">
        <v>87</v>
      </c>
      <c r="C13" s="2" t="s">
        <v>88</v>
      </c>
      <c r="D13" s="2" t="s">
        <v>89</v>
      </c>
      <c r="E13" s="2" t="s">
        <v>90</v>
      </c>
      <c r="F13" s="2" t="s">
        <v>58</v>
      </c>
      <c r="G13" s="2" t="s">
        <v>21</v>
      </c>
      <c r="H13" s="2" t="s">
        <v>91</v>
      </c>
      <c r="I13" s="2" t="s">
        <v>92</v>
      </c>
      <c r="J13" s="2" t="s">
        <v>24</v>
      </c>
      <c r="K13" s="2"/>
      <c r="L13" s="2"/>
      <c r="M13" s="2"/>
    </row>
    <row r="14" spans="1:13" ht="72">
      <c r="A14" s="2" t="s">
        <v>93</v>
      </c>
      <c r="B14" s="2" t="s">
        <v>94</v>
      </c>
      <c r="C14" s="2" t="s">
        <v>95</v>
      </c>
      <c r="D14" s="2" t="s">
        <v>96</v>
      </c>
      <c r="E14" s="2" t="s">
        <v>97</v>
      </c>
      <c r="F14" s="2" t="s">
        <v>20</v>
      </c>
      <c r="G14" s="2" t="s">
        <v>21</v>
      </c>
      <c r="H14" s="2" t="s">
        <v>98</v>
      </c>
      <c r="I14" s="2" t="s">
        <v>99</v>
      </c>
      <c r="J14" s="2" t="s">
        <v>24</v>
      </c>
      <c r="K14" s="2" t="s">
        <v>68</v>
      </c>
      <c r="L14" s="2" t="s">
        <v>26</v>
      </c>
      <c r="M14" s="2"/>
    </row>
    <row r="15" spans="1:13" ht="63.75" customHeight="1">
      <c r="A15" s="2" t="s">
        <v>100</v>
      </c>
      <c r="B15" s="2" t="s">
        <v>101</v>
      </c>
      <c r="C15" s="2" t="s">
        <v>102</v>
      </c>
      <c r="D15" s="2" t="s">
        <v>103</v>
      </c>
      <c r="E15" s="2" t="s">
        <v>104</v>
      </c>
      <c r="F15" s="2" t="s">
        <v>58</v>
      </c>
      <c r="G15" s="2" t="s">
        <v>21</v>
      </c>
      <c r="H15" s="2" t="s">
        <v>105</v>
      </c>
      <c r="I15" s="2" t="s">
        <v>106</v>
      </c>
      <c r="J15" s="2" t="s">
        <v>24</v>
      </c>
      <c r="K15" s="2"/>
      <c r="L15" s="2"/>
      <c r="M15" s="2"/>
    </row>
    <row r="16" spans="1:13" ht="72">
      <c r="A16" s="2" t="s">
        <v>107</v>
      </c>
      <c r="B16" s="2" t="s">
        <v>108</v>
      </c>
      <c r="C16" s="2" t="s">
        <v>109</v>
      </c>
      <c r="D16" s="2" t="s">
        <v>110</v>
      </c>
      <c r="E16" s="2" t="s">
        <v>111</v>
      </c>
      <c r="F16" s="2" t="s">
        <v>65</v>
      </c>
      <c r="G16" s="2" t="s">
        <v>21</v>
      </c>
      <c r="H16" s="2" t="s">
        <v>112</v>
      </c>
      <c r="I16" s="2" t="s">
        <v>113</v>
      </c>
      <c r="J16" s="2" t="s">
        <v>24</v>
      </c>
      <c r="K16" s="2" t="s">
        <v>114</v>
      </c>
      <c r="L16" s="2" t="s">
        <v>26</v>
      </c>
      <c r="M16" s="2"/>
    </row>
    <row r="17" spans="1:13" ht="107.25">
      <c r="A17" s="2" t="s">
        <v>115</v>
      </c>
      <c r="B17" s="2" t="s">
        <v>116</v>
      </c>
      <c r="C17" s="2" t="s">
        <v>117</v>
      </c>
      <c r="D17" s="2" t="s">
        <v>118</v>
      </c>
      <c r="E17" s="2" t="s">
        <v>119</v>
      </c>
      <c r="F17" s="2" t="s">
        <v>65</v>
      </c>
      <c r="G17" s="2" t="s">
        <v>21</v>
      </c>
      <c r="H17" s="2" t="s">
        <v>120</v>
      </c>
      <c r="I17" s="2" t="s">
        <v>121</v>
      </c>
      <c r="J17" s="2" t="s">
        <v>24</v>
      </c>
      <c r="K17" s="2" t="s">
        <v>122</v>
      </c>
      <c r="L17" s="2" t="s">
        <v>26</v>
      </c>
      <c r="M17" s="2"/>
    </row>
    <row r="18" spans="1:13" ht="72">
      <c r="A18" s="2" t="s">
        <v>123</v>
      </c>
      <c r="B18" s="2" t="s">
        <v>124</v>
      </c>
      <c r="C18" s="2" t="s">
        <v>125</v>
      </c>
      <c r="D18" s="2" t="s">
        <v>126</v>
      </c>
      <c r="E18" s="2" t="s">
        <v>127</v>
      </c>
      <c r="F18" s="2" t="s">
        <v>20</v>
      </c>
      <c r="G18" s="2" t="s">
        <v>21</v>
      </c>
      <c r="H18" s="2" t="s">
        <v>128</v>
      </c>
      <c r="I18" s="2" t="s">
        <v>129</v>
      </c>
      <c r="J18" s="2" t="s">
        <v>24</v>
      </c>
      <c r="K18" s="2" t="s">
        <v>130</v>
      </c>
      <c r="L18" s="2" t="s">
        <v>26</v>
      </c>
      <c r="M18" s="2"/>
    </row>
    <row r="19" spans="1:13" ht="89.25" customHeight="1">
      <c r="A19" s="2" t="s">
        <v>131</v>
      </c>
      <c r="B19" s="2" t="s">
        <v>132</v>
      </c>
      <c r="C19" s="2" t="s">
        <v>133</v>
      </c>
      <c r="D19" s="2" t="s">
        <v>134</v>
      </c>
      <c r="E19" s="2" t="s">
        <v>135</v>
      </c>
      <c r="F19" s="2" t="s">
        <v>83</v>
      </c>
      <c r="G19" s="2" t="s">
        <v>21</v>
      </c>
      <c r="H19" s="2" t="s">
        <v>136</v>
      </c>
      <c r="I19" s="2" t="s">
        <v>137</v>
      </c>
      <c r="J19" s="2" t="s">
        <v>24</v>
      </c>
      <c r="K19" s="2" t="s">
        <v>138</v>
      </c>
      <c r="L19" s="2" t="s">
        <v>26</v>
      </c>
      <c r="M19" s="2"/>
    </row>
    <row r="20" spans="1:13" ht="60">
      <c r="A20" s="2" t="s">
        <v>139</v>
      </c>
      <c r="B20" s="2" t="s">
        <v>140</v>
      </c>
      <c r="C20" s="2" t="s">
        <v>141</v>
      </c>
      <c r="D20" s="2" t="s">
        <v>142</v>
      </c>
      <c r="E20" s="2" t="s">
        <v>135</v>
      </c>
      <c r="F20" s="2" t="s">
        <v>58</v>
      </c>
      <c r="G20" s="2" t="s">
        <v>21</v>
      </c>
      <c r="H20" s="2" t="s">
        <v>143</v>
      </c>
      <c r="I20" s="2" t="s">
        <v>144</v>
      </c>
      <c r="J20" s="2" t="s">
        <v>24</v>
      </c>
      <c r="K20" s="2"/>
      <c r="L20" s="2"/>
      <c r="M20" s="2"/>
    </row>
    <row r="21" spans="1:13" ht="53.25" customHeight="1">
      <c r="A21" s="2" t="s">
        <v>145</v>
      </c>
      <c r="B21" s="2" t="s">
        <v>146</v>
      </c>
      <c r="C21" s="2" t="s">
        <v>147</v>
      </c>
      <c r="D21" s="2" t="s">
        <v>148</v>
      </c>
      <c r="E21" s="2" t="s">
        <v>149</v>
      </c>
      <c r="F21" s="2" t="s">
        <v>150</v>
      </c>
      <c r="G21" s="2" t="s">
        <v>21</v>
      </c>
      <c r="H21" s="2" t="s">
        <v>151</v>
      </c>
      <c r="I21" s="2" t="s">
        <v>152</v>
      </c>
      <c r="J21" s="2" t="s">
        <v>24</v>
      </c>
      <c r="K21" s="2" t="s">
        <v>153</v>
      </c>
      <c r="L21" s="2" t="s">
        <v>26</v>
      </c>
      <c r="M21" s="2"/>
    </row>
    <row r="22" spans="1:13" ht="64.5" customHeight="1">
      <c r="A22" s="2" t="s">
        <v>154</v>
      </c>
      <c r="B22" s="2" t="s">
        <v>155</v>
      </c>
      <c r="C22" s="2" t="s">
        <v>156</v>
      </c>
      <c r="D22" s="2" t="s">
        <v>157</v>
      </c>
      <c r="E22" s="2" t="s">
        <v>135</v>
      </c>
      <c r="F22" s="2" t="s">
        <v>20</v>
      </c>
      <c r="G22" s="2" t="s">
        <v>21</v>
      </c>
      <c r="H22" s="2" t="s">
        <v>158</v>
      </c>
      <c r="I22" s="2" t="s">
        <v>159</v>
      </c>
      <c r="J22" s="2" t="s">
        <v>24</v>
      </c>
      <c r="K22" s="2" t="s">
        <v>160</v>
      </c>
      <c r="L22" s="2" t="s">
        <v>26</v>
      </c>
      <c r="M22" s="2"/>
    </row>
    <row r="23" spans="1:13" ht="48">
      <c r="A23" s="2" t="s">
        <v>161</v>
      </c>
      <c r="B23" s="2" t="s">
        <v>162</v>
      </c>
      <c r="C23" s="2" t="s">
        <v>163</v>
      </c>
      <c r="D23" s="2" t="s">
        <v>164</v>
      </c>
      <c r="E23" s="2" t="s">
        <v>135</v>
      </c>
      <c r="F23" s="2" t="s">
        <v>165</v>
      </c>
      <c r="G23" s="2" t="s">
        <v>21</v>
      </c>
      <c r="H23" s="2" t="s">
        <v>166</v>
      </c>
      <c r="I23" s="2" t="s">
        <v>167</v>
      </c>
      <c r="J23" s="2" t="s">
        <v>24</v>
      </c>
      <c r="K23" s="2"/>
      <c r="L23" s="2"/>
      <c r="M23" s="2"/>
    </row>
    <row r="24" spans="1:13" ht="63.75" customHeight="1">
      <c r="A24" s="2" t="s">
        <v>168</v>
      </c>
      <c r="B24" s="2" t="s">
        <v>169</v>
      </c>
      <c r="C24" s="2" t="s">
        <v>170</v>
      </c>
      <c r="D24" s="2" t="s">
        <v>171</v>
      </c>
      <c r="E24" s="2" t="s">
        <v>135</v>
      </c>
      <c r="F24" s="2" t="s">
        <v>58</v>
      </c>
      <c r="G24" s="2" t="s">
        <v>21</v>
      </c>
      <c r="H24" s="2" t="s">
        <v>172</v>
      </c>
      <c r="I24" s="2" t="s">
        <v>173</v>
      </c>
      <c r="J24" s="2" t="s">
        <v>24</v>
      </c>
      <c r="K24" s="2"/>
      <c r="L24" s="2"/>
      <c r="M24" s="2"/>
    </row>
    <row r="25" spans="1:13" ht="81.75" customHeight="1">
      <c r="A25" s="2" t="s">
        <v>174</v>
      </c>
      <c r="B25" s="2" t="s">
        <v>175</v>
      </c>
      <c r="C25" s="2" t="s">
        <v>176</v>
      </c>
      <c r="D25" s="2" t="s">
        <v>177</v>
      </c>
      <c r="E25" s="2" t="s">
        <v>135</v>
      </c>
      <c r="F25" s="2" t="s">
        <v>178</v>
      </c>
      <c r="G25" s="2" t="s">
        <v>21</v>
      </c>
      <c r="H25" s="2" t="s">
        <v>179</v>
      </c>
      <c r="I25" s="2" t="s">
        <v>180</v>
      </c>
      <c r="J25" s="2" t="s">
        <v>24</v>
      </c>
      <c r="K25" s="2"/>
      <c r="L25" s="2"/>
      <c r="M25" s="2"/>
    </row>
    <row r="26" spans="1:13" ht="102" customHeight="1">
      <c r="A26" s="2" t="s">
        <v>181</v>
      </c>
      <c r="B26" s="2" t="s">
        <v>182</v>
      </c>
      <c r="C26" s="2" t="s">
        <v>183</v>
      </c>
      <c r="D26" s="2" t="s">
        <v>184</v>
      </c>
      <c r="E26" s="2" t="s">
        <v>185</v>
      </c>
      <c r="F26" s="2" t="s">
        <v>83</v>
      </c>
      <c r="G26" s="2" t="s">
        <v>21</v>
      </c>
      <c r="H26" s="2" t="s">
        <v>186</v>
      </c>
      <c r="I26" s="2" t="s">
        <v>187</v>
      </c>
      <c r="J26" s="2" t="s">
        <v>188</v>
      </c>
      <c r="K26" s="2" t="s">
        <v>189</v>
      </c>
      <c r="L26" s="2" t="s">
        <v>69</v>
      </c>
      <c r="M26" s="2"/>
    </row>
    <row r="27" spans="1:13" ht="72">
      <c r="A27" s="2" t="s">
        <v>190</v>
      </c>
      <c r="B27" s="2" t="s">
        <v>191</v>
      </c>
      <c r="C27" s="2" t="s">
        <v>192</v>
      </c>
      <c r="D27" s="2" t="s">
        <v>193</v>
      </c>
      <c r="E27" s="2" t="s">
        <v>185</v>
      </c>
      <c r="F27" s="2" t="s">
        <v>20</v>
      </c>
      <c r="G27" s="2" t="s">
        <v>21</v>
      </c>
      <c r="H27" s="2" t="s">
        <v>194</v>
      </c>
      <c r="I27" s="2" t="s">
        <v>195</v>
      </c>
      <c r="J27" s="2" t="s">
        <v>188</v>
      </c>
      <c r="K27" s="2" t="s">
        <v>196</v>
      </c>
      <c r="L27" s="2" t="s">
        <v>26</v>
      </c>
      <c r="M27" s="2"/>
    </row>
    <row r="28" spans="1:13" ht="249" customHeight="1">
      <c r="A28" s="2" t="s">
        <v>197</v>
      </c>
      <c r="B28" s="2" t="s">
        <v>198</v>
      </c>
      <c r="C28" s="2" t="s">
        <v>199</v>
      </c>
      <c r="D28" s="2" t="s">
        <v>200</v>
      </c>
      <c r="E28" s="2" t="s">
        <v>201</v>
      </c>
      <c r="F28" s="2" t="s">
        <v>83</v>
      </c>
      <c r="G28" s="2" t="s">
        <v>21</v>
      </c>
      <c r="H28" s="2" t="s">
        <v>202</v>
      </c>
      <c r="I28" s="2" t="s">
        <v>203</v>
      </c>
      <c r="J28" s="2" t="s">
        <v>188</v>
      </c>
      <c r="K28" s="2" t="s">
        <v>204</v>
      </c>
      <c r="L28" s="2" t="s">
        <v>26</v>
      </c>
      <c r="M28" s="2"/>
    </row>
    <row r="29" spans="1:13" ht="139.5" customHeight="1">
      <c r="A29" s="2" t="s">
        <v>205</v>
      </c>
      <c r="B29" s="2" t="s">
        <v>206</v>
      </c>
      <c r="C29" s="2" t="s">
        <v>207</v>
      </c>
      <c r="D29" s="2" t="s">
        <v>208</v>
      </c>
      <c r="E29" s="2" t="s">
        <v>209</v>
      </c>
      <c r="F29" s="2" t="s">
        <v>83</v>
      </c>
      <c r="G29" s="2" t="s">
        <v>21</v>
      </c>
      <c r="H29" s="2" t="s">
        <v>210</v>
      </c>
      <c r="I29" s="2" t="s">
        <v>211</v>
      </c>
      <c r="J29" s="2" t="s">
        <v>212</v>
      </c>
      <c r="K29" s="2" t="s">
        <v>213</v>
      </c>
      <c r="L29" s="2" t="s">
        <v>214</v>
      </c>
      <c r="M29" s="2"/>
    </row>
    <row r="30" spans="1:13" ht="96">
      <c r="A30" s="2" t="s">
        <v>215</v>
      </c>
      <c r="B30" s="2" t="s">
        <v>216</v>
      </c>
      <c r="C30" s="2" t="s">
        <v>217</v>
      </c>
      <c r="D30" s="2" t="s">
        <v>218</v>
      </c>
      <c r="E30" s="2" t="s">
        <v>219</v>
      </c>
      <c r="F30" s="2" t="s">
        <v>220</v>
      </c>
      <c r="G30" s="2" t="s">
        <v>21</v>
      </c>
      <c r="H30" s="2" t="s">
        <v>221</v>
      </c>
      <c r="I30" s="2" t="s">
        <v>222</v>
      </c>
      <c r="J30" s="2" t="s">
        <v>212</v>
      </c>
      <c r="K30" s="2" t="s">
        <v>52</v>
      </c>
      <c r="L30" s="2" t="s">
        <v>223</v>
      </c>
      <c r="M30" s="2"/>
    </row>
    <row r="31" spans="1:13" ht="135" customHeight="1">
      <c r="A31" s="2" t="s">
        <v>224</v>
      </c>
      <c r="B31" s="2" t="s">
        <v>225</v>
      </c>
      <c r="C31" s="2" t="s">
        <v>226</v>
      </c>
      <c r="D31" s="2" t="s">
        <v>227</v>
      </c>
      <c r="E31" s="2" t="s">
        <v>228</v>
      </c>
      <c r="F31" s="2" t="s">
        <v>65</v>
      </c>
      <c r="G31" s="2" t="s">
        <v>21</v>
      </c>
      <c r="H31" s="2" t="s">
        <v>229</v>
      </c>
      <c r="I31" s="2" t="s">
        <v>230</v>
      </c>
      <c r="J31" s="2" t="s">
        <v>212</v>
      </c>
      <c r="K31" s="2"/>
      <c r="L31" s="2"/>
      <c r="M31" s="2"/>
    </row>
    <row r="32" spans="1:13" ht="99">
      <c r="A32" s="2" t="s">
        <v>231</v>
      </c>
      <c r="B32" s="2" t="s">
        <v>232</v>
      </c>
      <c r="C32" s="2" t="s">
        <v>233</v>
      </c>
      <c r="D32" s="2" t="s">
        <v>234</v>
      </c>
      <c r="E32" s="2" t="s">
        <v>235</v>
      </c>
      <c r="F32" s="2" t="s">
        <v>20</v>
      </c>
      <c r="G32" s="2" t="s">
        <v>21</v>
      </c>
      <c r="H32" s="2" t="s">
        <v>236</v>
      </c>
      <c r="I32" s="2" t="s">
        <v>237</v>
      </c>
      <c r="J32" s="2" t="s">
        <v>212</v>
      </c>
      <c r="K32" s="2" t="s">
        <v>238</v>
      </c>
      <c r="L32" s="2" t="s">
        <v>223</v>
      </c>
      <c r="M32" s="2"/>
    </row>
    <row r="33" spans="1:13" ht="107.25">
      <c r="A33" s="2" t="s">
        <v>239</v>
      </c>
      <c r="B33" s="2" t="s">
        <v>240</v>
      </c>
      <c r="C33" s="2" t="s">
        <v>241</v>
      </c>
      <c r="D33" s="2" t="s">
        <v>242</v>
      </c>
      <c r="E33" s="2" t="s">
        <v>135</v>
      </c>
      <c r="F33" s="2" t="s">
        <v>83</v>
      </c>
      <c r="G33" s="2" t="s">
        <v>21</v>
      </c>
      <c r="H33" s="2" t="s">
        <v>243</v>
      </c>
      <c r="I33" s="2" t="s">
        <v>244</v>
      </c>
      <c r="J33" s="2" t="s">
        <v>212</v>
      </c>
      <c r="K33" s="2" t="s">
        <v>245</v>
      </c>
      <c r="L33" s="2" t="s">
        <v>69</v>
      </c>
      <c r="M33" s="2"/>
    </row>
    <row r="34" spans="1:13" ht="96">
      <c r="A34" s="2" t="s">
        <v>246</v>
      </c>
      <c r="B34" s="2" t="s">
        <v>247</v>
      </c>
      <c r="C34" s="2" t="s">
        <v>248</v>
      </c>
      <c r="D34" s="2" t="s">
        <v>249</v>
      </c>
      <c r="E34" s="2" t="s">
        <v>250</v>
      </c>
      <c r="F34" s="2" t="s">
        <v>20</v>
      </c>
      <c r="G34" s="2" t="s">
        <v>21</v>
      </c>
      <c r="H34" s="2" t="s">
        <v>251</v>
      </c>
      <c r="I34" s="2" t="s">
        <v>252</v>
      </c>
      <c r="J34" s="2" t="s">
        <v>212</v>
      </c>
      <c r="K34" s="2" t="s">
        <v>253</v>
      </c>
      <c r="L34" s="2" t="s">
        <v>214</v>
      </c>
      <c r="M34" s="2"/>
    </row>
    <row r="35" spans="1:13" ht="130.5">
      <c r="A35" s="2" t="s">
        <v>254</v>
      </c>
      <c r="B35" s="2" t="s">
        <v>255</v>
      </c>
      <c r="C35" s="2" t="s">
        <v>256</v>
      </c>
      <c r="D35" s="2" t="s">
        <v>257</v>
      </c>
      <c r="E35" s="2" t="s">
        <v>258</v>
      </c>
      <c r="F35" s="2" t="s">
        <v>20</v>
      </c>
      <c r="G35" s="2" t="s">
        <v>21</v>
      </c>
      <c r="H35" s="2" t="s">
        <v>259</v>
      </c>
      <c r="I35" s="2" t="s">
        <v>260</v>
      </c>
      <c r="J35" s="2" t="s">
        <v>212</v>
      </c>
      <c r="K35" s="2" t="s">
        <v>261</v>
      </c>
      <c r="L35" s="2" t="s">
        <v>214</v>
      </c>
      <c r="M35" s="2"/>
    </row>
    <row r="36" spans="1:13" ht="178.5">
      <c r="A36" s="2" t="s">
        <v>262</v>
      </c>
      <c r="B36" s="2" t="s">
        <v>263</v>
      </c>
      <c r="C36" s="2" t="s">
        <v>264</v>
      </c>
      <c r="D36" s="2" t="s">
        <v>265</v>
      </c>
      <c r="E36" s="2" t="s">
        <v>266</v>
      </c>
      <c r="F36" s="2" t="s">
        <v>83</v>
      </c>
      <c r="G36" s="2" t="s">
        <v>21</v>
      </c>
      <c r="H36" s="2" t="s">
        <v>267</v>
      </c>
      <c r="I36" s="2" t="s">
        <v>268</v>
      </c>
      <c r="J36" s="2" t="s">
        <v>212</v>
      </c>
      <c r="K36" s="2" t="s">
        <v>269</v>
      </c>
      <c r="L36" s="2" t="s">
        <v>214</v>
      </c>
      <c r="M36" s="2"/>
    </row>
    <row r="37" spans="1:13" ht="118.5">
      <c r="A37" s="2" t="s">
        <v>270</v>
      </c>
      <c r="B37" s="2" t="s">
        <v>271</v>
      </c>
      <c r="C37" s="2" t="s">
        <v>272</v>
      </c>
      <c r="D37" s="2" t="s">
        <v>273</v>
      </c>
      <c r="E37" s="2" t="s">
        <v>135</v>
      </c>
      <c r="F37" s="2" t="s">
        <v>83</v>
      </c>
      <c r="G37" s="2" t="s">
        <v>21</v>
      </c>
      <c r="H37" s="2" t="s">
        <v>274</v>
      </c>
      <c r="I37" s="2" t="s">
        <v>275</v>
      </c>
      <c r="J37" s="2" t="s">
        <v>212</v>
      </c>
      <c r="K37" s="2" t="s">
        <v>276</v>
      </c>
      <c r="L37" s="2" t="s">
        <v>214</v>
      </c>
      <c r="M37" s="2"/>
    </row>
    <row r="38" spans="1:13" ht="287.25" customHeight="1">
      <c r="A38" s="2" t="s">
        <v>277</v>
      </c>
      <c r="B38" s="2" t="s">
        <v>278</v>
      </c>
      <c r="C38" s="2" t="s">
        <v>279</v>
      </c>
      <c r="D38" s="2" t="s">
        <v>280</v>
      </c>
      <c r="E38" s="2" t="s">
        <v>281</v>
      </c>
      <c r="F38" s="2" t="s">
        <v>20</v>
      </c>
      <c r="G38" s="2" t="s">
        <v>21</v>
      </c>
      <c r="H38" s="2" t="s">
        <v>282</v>
      </c>
      <c r="I38" s="2" t="s">
        <v>283</v>
      </c>
      <c r="J38" s="2" t="s">
        <v>212</v>
      </c>
      <c r="K38" s="2" t="s">
        <v>284</v>
      </c>
      <c r="L38" s="2" t="s">
        <v>214</v>
      </c>
      <c r="M38" s="2"/>
    </row>
    <row r="39" spans="1:13" ht="107.25">
      <c r="A39" s="2" t="s">
        <v>285</v>
      </c>
      <c r="B39" s="2" t="s">
        <v>286</v>
      </c>
      <c r="C39" s="2" t="s">
        <v>287</v>
      </c>
      <c r="D39" s="2" t="s">
        <v>288</v>
      </c>
      <c r="E39" s="2" t="s">
        <v>289</v>
      </c>
      <c r="F39" s="2" t="s">
        <v>65</v>
      </c>
      <c r="G39" s="2" t="s">
        <v>21</v>
      </c>
      <c r="H39" s="2" t="s">
        <v>290</v>
      </c>
      <c r="I39" s="2"/>
      <c r="J39" s="2" t="s">
        <v>212</v>
      </c>
      <c r="K39" s="2" t="s">
        <v>291</v>
      </c>
      <c r="L39" s="2" t="s">
        <v>214</v>
      </c>
      <c r="M39" s="2"/>
    </row>
    <row r="40" spans="1:13" ht="202.5">
      <c r="A40" s="2" t="s">
        <v>292</v>
      </c>
      <c r="B40" s="2" t="s">
        <v>293</v>
      </c>
      <c r="C40" s="2" t="s">
        <v>294</v>
      </c>
      <c r="D40" s="2" t="s">
        <v>295</v>
      </c>
      <c r="E40" s="2" t="s">
        <v>296</v>
      </c>
      <c r="F40" s="2" t="s">
        <v>20</v>
      </c>
      <c r="G40" s="2" t="s">
        <v>21</v>
      </c>
      <c r="H40" s="2" t="s">
        <v>297</v>
      </c>
      <c r="I40" s="2" t="s">
        <v>298</v>
      </c>
      <c r="J40" s="2" t="s">
        <v>212</v>
      </c>
      <c r="K40" s="2" t="s">
        <v>299</v>
      </c>
      <c r="L40" s="2" t="s">
        <v>214</v>
      </c>
      <c r="M40" s="2"/>
    </row>
    <row r="41" spans="1:13" ht="132.75" customHeight="1">
      <c r="A41" s="2" t="s">
        <v>300</v>
      </c>
      <c r="B41" s="2" t="s">
        <v>301</v>
      </c>
      <c r="C41" s="2" t="s">
        <v>302</v>
      </c>
      <c r="D41" s="2" t="s">
        <v>303</v>
      </c>
      <c r="E41" s="2" t="s">
        <v>135</v>
      </c>
      <c r="F41" s="2" t="s">
        <v>304</v>
      </c>
      <c r="G41" s="2" t="s">
        <v>21</v>
      </c>
      <c r="H41" s="2" t="s">
        <v>305</v>
      </c>
      <c r="I41" s="2" t="s">
        <v>306</v>
      </c>
      <c r="J41" s="2" t="s">
        <v>212</v>
      </c>
      <c r="K41" s="2" t="s">
        <v>307</v>
      </c>
      <c r="L41" s="2" t="s">
        <v>214</v>
      </c>
      <c r="M41" s="2"/>
    </row>
    <row r="42" spans="1:13" ht="130.5">
      <c r="A42" s="2" t="s">
        <v>308</v>
      </c>
      <c r="B42" s="2" t="s">
        <v>309</v>
      </c>
      <c r="C42" s="2" t="s">
        <v>310</v>
      </c>
      <c r="D42" s="2" t="s">
        <v>311</v>
      </c>
      <c r="E42" s="2" t="s">
        <v>312</v>
      </c>
      <c r="F42" s="2" t="s">
        <v>83</v>
      </c>
      <c r="G42" s="2" t="s">
        <v>21</v>
      </c>
      <c r="H42" s="2" t="s">
        <v>313</v>
      </c>
      <c r="I42" s="2" t="s">
        <v>314</v>
      </c>
      <c r="J42" s="2" t="s">
        <v>212</v>
      </c>
      <c r="K42" s="2" t="s">
        <v>315</v>
      </c>
      <c r="L42" s="2" t="s">
        <v>214</v>
      </c>
      <c r="M42" s="2"/>
    </row>
    <row r="43" spans="1:13" ht="241.5" customHeight="1">
      <c r="A43" s="2" t="s">
        <v>316</v>
      </c>
      <c r="B43" s="2" t="s">
        <v>317</v>
      </c>
      <c r="C43" s="2" t="s">
        <v>318</v>
      </c>
      <c r="D43" s="2" t="s">
        <v>319</v>
      </c>
      <c r="E43" s="2" t="s">
        <v>320</v>
      </c>
      <c r="F43" s="2" t="s">
        <v>32</v>
      </c>
      <c r="G43" s="2" t="s">
        <v>21</v>
      </c>
      <c r="H43" s="2" t="s">
        <v>321</v>
      </c>
      <c r="I43" s="2" t="s">
        <v>322</v>
      </c>
      <c r="J43" s="2" t="s">
        <v>212</v>
      </c>
      <c r="K43" s="2"/>
      <c r="L43" s="2"/>
      <c r="M43" s="2"/>
    </row>
    <row r="44" spans="1:13" ht="154.5">
      <c r="A44" s="2" t="s">
        <v>323</v>
      </c>
      <c r="B44" s="2" t="s">
        <v>324</v>
      </c>
      <c r="C44" s="2" t="s">
        <v>325</v>
      </c>
      <c r="D44" s="2" t="s">
        <v>326</v>
      </c>
      <c r="E44" s="2" t="s">
        <v>135</v>
      </c>
      <c r="F44" s="2" t="s">
        <v>327</v>
      </c>
      <c r="G44" s="2" t="s">
        <v>21</v>
      </c>
      <c r="H44" s="2" t="s">
        <v>328</v>
      </c>
      <c r="I44" s="2" t="s">
        <v>329</v>
      </c>
      <c r="J44" s="2" t="s">
        <v>212</v>
      </c>
      <c r="K44" s="2" t="s">
        <v>276</v>
      </c>
      <c r="L44" s="2" t="s">
        <v>214</v>
      </c>
      <c r="M44" s="2"/>
    </row>
    <row r="45" spans="1:13" ht="72">
      <c r="A45" s="2" t="s">
        <v>330</v>
      </c>
      <c r="B45" s="2" t="s">
        <v>331</v>
      </c>
      <c r="C45" s="2" t="s">
        <v>332</v>
      </c>
      <c r="D45" s="2" t="s">
        <v>333</v>
      </c>
      <c r="E45" s="2" t="s">
        <v>135</v>
      </c>
      <c r="F45" s="2" t="s">
        <v>83</v>
      </c>
      <c r="G45" s="2" t="s">
        <v>21</v>
      </c>
      <c r="H45" s="2" t="s">
        <v>334</v>
      </c>
      <c r="I45" s="2" t="s">
        <v>335</v>
      </c>
      <c r="J45" s="2" t="s">
        <v>212</v>
      </c>
      <c r="K45" s="2" t="s">
        <v>336</v>
      </c>
      <c r="L45" s="2" t="s">
        <v>214</v>
      </c>
      <c r="M45" s="2"/>
    </row>
    <row r="46" spans="1:13" ht="96">
      <c r="A46" s="2" t="s">
        <v>337</v>
      </c>
      <c r="B46" s="2" t="s">
        <v>338</v>
      </c>
      <c r="C46" s="2" t="s">
        <v>339</v>
      </c>
      <c r="D46" s="2" t="s">
        <v>340</v>
      </c>
      <c r="E46" s="2" t="s">
        <v>341</v>
      </c>
      <c r="F46" s="2" t="s">
        <v>342</v>
      </c>
      <c r="G46" s="2" t="s">
        <v>21</v>
      </c>
      <c r="H46" s="2" t="s">
        <v>343</v>
      </c>
      <c r="I46" s="2" t="s">
        <v>137</v>
      </c>
      <c r="J46" s="2" t="s">
        <v>212</v>
      </c>
      <c r="K46" s="2" t="s">
        <v>344</v>
      </c>
      <c r="L46" s="2" t="s">
        <v>214</v>
      </c>
      <c r="M46" s="2"/>
    </row>
    <row r="47" spans="1:13" ht="154.5">
      <c r="A47" s="2" t="s">
        <v>345</v>
      </c>
      <c r="B47" s="2" t="s">
        <v>346</v>
      </c>
      <c r="C47" s="2" t="s">
        <v>347</v>
      </c>
      <c r="D47" s="2" t="s">
        <v>348</v>
      </c>
      <c r="E47" s="2" t="s">
        <v>341</v>
      </c>
      <c r="F47" s="2" t="s">
        <v>342</v>
      </c>
      <c r="G47" s="2" t="s">
        <v>21</v>
      </c>
      <c r="H47" s="2" t="s">
        <v>349</v>
      </c>
      <c r="I47" s="2" t="s">
        <v>350</v>
      </c>
      <c r="J47" s="2" t="s">
        <v>212</v>
      </c>
      <c r="K47" s="2" t="s">
        <v>351</v>
      </c>
      <c r="L47" s="2" t="s">
        <v>214</v>
      </c>
      <c r="M47" s="2"/>
    </row>
    <row r="48" spans="1:13" ht="226.5">
      <c r="A48" s="2" t="s">
        <v>352</v>
      </c>
      <c r="B48" s="2" t="s">
        <v>353</v>
      </c>
      <c r="C48" s="2" t="s">
        <v>354</v>
      </c>
      <c r="D48" s="2" t="s">
        <v>355</v>
      </c>
      <c r="E48" s="2" t="s">
        <v>356</v>
      </c>
      <c r="F48" s="2" t="s">
        <v>20</v>
      </c>
      <c r="G48" s="2" t="s">
        <v>21</v>
      </c>
      <c r="H48" s="2" t="s">
        <v>357</v>
      </c>
      <c r="I48" s="2" t="s">
        <v>358</v>
      </c>
      <c r="J48" s="2" t="s">
        <v>212</v>
      </c>
      <c r="K48" s="2" t="s">
        <v>359</v>
      </c>
      <c r="L48" s="2" t="s">
        <v>214</v>
      </c>
      <c r="M48" s="2"/>
    </row>
    <row r="49" spans="1:13" ht="150" customHeight="1">
      <c r="A49" s="2" t="s">
        <v>360</v>
      </c>
      <c r="B49" s="2" t="s">
        <v>361</v>
      </c>
      <c r="C49" s="2" t="s">
        <v>362</v>
      </c>
      <c r="D49" s="2" t="s">
        <v>363</v>
      </c>
      <c r="E49" s="2" t="s">
        <v>135</v>
      </c>
      <c r="F49" s="2" t="s">
        <v>20</v>
      </c>
      <c r="G49" s="2" t="s">
        <v>21</v>
      </c>
      <c r="H49" s="2" t="s">
        <v>364</v>
      </c>
      <c r="I49" s="2" t="s">
        <v>365</v>
      </c>
      <c r="J49" s="2" t="s">
        <v>212</v>
      </c>
      <c r="K49" s="2" t="s">
        <v>366</v>
      </c>
      <c r="L49" s="2" t="s">
        <v>214</v>
      </c>
      <c r="M49" s="2"/>
    </row>
    <row r="50" spans="1:13" ht="142.5">
      <c r="A50" s="2" t="s">
        <v>367</v>
      </c>
      <c r="B50" s="2" t="s">
        <v>368</v>
      </c>
      <c r="C50" s="2" t="s">
        <v>369</v>
      </c>
      <c r="D50" s="2" t="s">
        <v>370</v>
      </c>
      <c r="E50" s="2" t="s">
        <v>371</v>
      </c>
      <c r="F50" s="2" t="s">
        <v>83</v>
      </c>
      <c r="G50" s="2" t="s">
        <v>21</v>
      </c>
      <c r="H50" s="2" t="s">
        <v>372</v>
      </c>
      <c r="I50" s="2" t="s">
        <v>373</v>
      </c>
      <c r="J50" s="2" t="s">
        <v>212</v>
      </c>
      <c r="K50" s="2" t="s">
        <v>374</v>
      </c>
      <c r="L50" s="2" t="s">
        <v>214</v>
      </c>
      <c r="M50" s="2"/>
    </row>
    <row r="51" spans="1:13" ht="137.25" customHeight="1">
      <c r="A51" s="2" t="s">
        <v>375</v>
      </c>
      <c r="B51" s="2" t="s">
        <v>376</v>
      </c>
      <c r="C51" s="2" t="s">
        <v>377</v>
      </c>
      <c r="D51" s="2" t="s">
        <v>378</v>
      </c>
      <c r="E51" s="2" t="s">
        <v>379</v>
      </c>
      <c r="F51" s="2" t="s">
        <v>380</v>
      </c>
      <c r="G51" s="2" t="s">
        <v>21</v>
      </c>
      <c r="H51" s="2" t="s">
        <v>381</v>
      </c>
      <c r="I51" s="2" t="s">
        <v>382</v>
      </c>
      <c r="J51" s="2" t="s">
        <v>212</v>
      </c>
      <c r="K51" s="2" t="s">
        <v>383</v>
      </c>
      <c r="L51" s="2" t="s">
        <v>214</v>
      </c>
      <c r="M51" s="2"/>
    </row>
    <row r="52" spans="1:13" ht="118.5">
      <c r="A52" s="2" t="s">
        <v>384</v>
      </c>
      <c r="B52" s="2" t="s">
        <v>385</v>
      </c>
      <c r="C52" s="2" t="s">
        <v>386</v>
      </c>
      <c r="D52" s="2" t="s">
        <v>387</v>
      </c>
      <c r="E52" s="2" t="s">
        <v>388</v>
      </c>
      <c r="F52" s="2" t="s">
        <v>65</v>
      </c>
      <c r="G52" s="2" t="s">
        <v>21</v>
      </c>
      <c r="H52" s="2" t="s">
        <v>389</v>
      </c>
      <c r="I52" s="2" t="s">
        <v>390</v>
      </c>
      <c r="J52" s="2" t="s">
        <v>212</v>
      </c>
      <c r="K52" s="2" t="s">
        <v>391</v>
      </c>
      <c r="L52" s="2" t="s">
        <v>214</v>
      </c>
      <c r="M52" s="2"/>
    </row>
    <row r="53" spans="1:13" ht="96">
      <c r="A53" s="2" t="s">
        <v>392</v>
      </c>
      <c r="B53" s="2" t="s">
        <v>393</v>
      </c>
      <c r="C53" s="2" t="s">
        <v>394</v>
      </c>
      <c r="D53" s="2" t="s">
        <v>395</v>
      </c>
      <c r="E53" s="2" t="s">
        <v>135</v>
      </c>
      <c r="F53" s="2" t="s">
        <v>396</v>
      </c>
      <c r="G53" s="2" t="s">
        <v>21</v>
      </c>
      <c r="H53" s="2" t="s">
        <v>397</v>
      </c>
      <c r="I53" s="2" t="s">
        <v>398</v>
      </c>
      <c r="J53" s="2" t="s">
        <v>212</v>
      </c>
      <c r="K53" s="2" t="s">
        <v>399</v>
      </c>
      <c r="L53" s="2" t="s">
        <v>214</v>
      </c>
      <c r="M53" s="2"/>
    </row>
    <row r="54" spans="1:13" ht="60">
      <c r="A54" s="2" t="s">
        <v>400</v>
      </c>
      <c r="B54" s="2" t="s">
        <v>401</v>
      </c>
      <c r="C54" s="2" t="s">
        <v>402</v>
      </c>
      <c r="D54" s="2" t="s">
        <v>403</v>
      </c>
      <c r="E54" s="2" t="s">
        <v>135</v>
      </c>
      <c r="F54" s="2" t="s">
        <v>83</v>
      </c>
      <c r="G54" s="2" t="s">
        <v>21</v>
      </c>
      <c r="H54" s="2" t="s">
        <v>404</v>
      </c>
      <c r="I54" s="2" t="s">
        <v>405</v>
      </c>
      <c r="J54" s="2" t="s">
        <v>212</v>
      </c>
      <c r="K54" s="2" t="s">
        <v>336</v>
      </c>
      <c r="L54" s="2" t="s">
        <v>214</v>
      </c>
      <c r="M54" s="2"/>
    </row>
    <row r="55" spans="1:13" ht="132.75">
      <c r="A55" s="2" t="s">
        <v>406</v>
      </c>
      <c r="B55" s="2" t="s">
        <v>407</v>
      </c>
      <c r="C55" s="2" t="s">
        <v>408</v>
      </c>
      <c r="D55" s="2" t="s">
        <v>409</v>
      </c>
      <c r="E55" s="2" t="s">
        <v>410</v>
      </c>
      <c r="F55" s="2" t="s">
        <v>65</v>
      </c>
      <c r="G55" s="2" t="s">
        <v>21</v>
      </c>
      <c r="H55" s="2" t="s">
        <v>411</v>
      </c>
      <c r="I55" s="2" t="s">
        <v>412</v>
      </c>
      <c r="J55" s="2" t="s">
        <v>212</v>
      </c>
      <c r="K55" s="2" t="s">
        <v>413</v>
      </c>
      <c r="L55" s="2" t="s">
        <v>214</v>
      </c>
      <c r="M55" s="2"/>
    </row>
    <row r="56" spans="1:13" ht="72">
      <c r="A56" s="2" t="s">
        <v>414</v>
      </c>
      <c r="B56" s="2" t="s">
        <v>415</v>
      </c>
      <c r="C56" s="2" t="s">
        <v>416</v>
      </c>
      <c r="D56" s="2" t="s">
        <v>417</v>
      </c>
      <c r="E56" s="2" t="s">
        <v>135</v>
      </c>
      <c r="F56" s="2" t="s">
        <v>418</v>
      </c>
      <c r="G56" s="2" t="s">
        <v>21</v>
      </c>
      <c r="H56" s="2" t="s">
        <v>419</v>
      </c>
      <c r="I56" s="2" t="s">
        <v>420</v>
      </c>
      <c r="J56" s="2" t="s">
        <v>212</v>
      </c>
      <c r="K56" s="2" t="s">
        <v>421</v>
      </c>
      <c r="L56" s="2" t="s">
        <v>214</v>
      </c>
      <c r="M56" s="2"/>
    </row>
    <row r="57" spans="1:13" ht="84">
      <c r="A57" s="2" t="s">
        <v>422</v>
      </c>
      <c r="B57" s="2" t="s">
        <v>423</v>
      </c>
      <c r="C57" s="2" t="s">
        <v>424</v>
      </c>
      <c r="D57" s="2" t="s">
        <v>425</v>
      </c>
      <c r="E57" s="2" t="s">
        <v>135</v>
      </c>
      <c r="F57" s="2" t="s">
        <v>83</v>
      </c>
      <c r="G57" s="2" t="s">
        <v>21</v>
      </c>
      <c r="H57" s="2" t="s">
        <v>426</v>
      </c>
      <c r="I57" s="2" t="s">
        <v>427</v>
      </c>
      <c r="J57" s="2" t="s">
        <v>212</v>
      </c>
      <c r="K57" s="2" t="s">
        <v>428</v>
      </c>
      <c r="L57" s="2" t="s">
        <v>214</v>
      </c>
      <c r="M57" s="2"/>
    </row>
    <row r="58" spans="1:13" ht="184.5" customHeight="1">
      <c r="A58" s="2" t="s">
        <v>429</v>
      </c>
      <c r="B58" s="2" t="s">
        <v>430</v>
      </c>
      <c r="C58" s="2" t="s">
        <v>431</v>
      </c>
      <c r="D58" s="2" t="s">
        <v>432</v>
      </c>
      <c r="E58" s="2" t="s">
        <v>433</v>
      </c>
      <c r="F58" s="2" t="s">
        <v>83</v>
      </c>
      <c r="G58" s="2" t="s">
        <v>21</v>
      </c>
      <c r="H58" s="2" t="s">
        <v>434</v>
      </c>
      <c r="I58" s="2" t="s">
        <v>435</v>
      </c>
      <c r="J58" s="2" t="s">
        <v>212</v>
      </c>
      <c r="K58" s="2" t="s">
        <v>436</v>
      </c>
      <c r="L58" s="2" t="s">
        <v>214</v>
      </c>
      <c r="M58" s="5" t="s">
        <v>437</v>
      </c>
    </row>
    <row r="59" spans="1:13" ht="141" customHeight="1">
      <c r="A59" s="2" t="s">
        <v>438</v>
      </c>
      <c r="B59" s="2" t="s">
        <v>439</v>
      </c>
      <c r="C59" s="2" t="s">
        <v>440</v>
      </c>
      <c r="D59" s="2" t="s">
        <v>441</v>
      </c>
      <c r="E59" s="2" t="s">
        <v>135</v>
      </c>
      <c r="F59" s="2" t="s">
        <v>20</v>
      </c>
      <c r="G59" s="2" t="s">
        <v>21</v>
      </c>
      <c r="H59" s="2" t="s">
        <v>442</v>
      </c>
      <c r="I59" s="2" t="s">
        <v>443</v>
      </c>
      <c r="J59" s="2" t="s">
        <v>212</v>
      </c>
      <c r="K59" s="2" t="s">
        <v>444</v>
      </c>
      <c r="L59" s="2" t="s">
        <v>214</v>
      </c>
      <c r="M59" s="2"/>
    </row>
    <row r="60" spans="1:13" ht="84">
      <c r="A60" s="2" t="s">
        <v>445</v>
      </c>
      <c r="B60" s="2" t="s">
        <v>446</v>
      </c>
      <c r="C60" s="2" t="s">
        <v>447</v>
      </c>
      <c r="D60" s="2" t="s">
        <v>448</v>
      </c>
      <c r="E60" s="2" t="s">
        <v>135</v>
      </c>
      <c r="F60" s="2" t="s">
        <v>449</v>
      </c>
      <c r="G60" s="2" t="s">
        <v>21</v>
      </c>
      <c r="H60" s="2" t="s">
        <v>450</v>
      </c>
      <c r="I60" s="2" t="s">
        <v>451</v>
      </c>
      <c r="J60" s="2" t="s">
        <v>212</v>
      </c>
      <c r="K60" s="2" t="s">
        <v>452</v>
      </c>
      <c r="L60" s="2" t="s">
        <v>223</v>
      </c>
      <c r="M60" s="2"/>
    </row>
    <row r="61" spans="1:13" ht="72">
      <c r="A61" s="2" t="s">
        <v>453</v>
      </c>
      <c r="B61" s="2" t="s">
        <v>454</v>
      </c>
      <c r="C61" s="2" t="s">
        <v>455</v>
      </c>
      <c r="D61" s="2" t="s">
        <v>456</v>
      </c>
      <c r="E61" s="2" t="s">
        <v>135</v>
      </c>
      <c r="F61" s="2" t="s">
        <v>83</v>
      </c>
      <c r="G61" s="2" t="s">
        <v>21</v>
      </c>
      <c r="H61" s="2" t="s">
        <v>457</v>
      </c>
      <c r="I61" s="2" t="s">
        <v>458</v>
      </c>
      <c r="J61" s="2" t="s">
        <v>212</v>
      </c>
      <c r="K61" s="2" t="s">
        <v>459</v>
      </c>
      <c r="L61" s="2" t="s">
        <v>223</v>
      </c>
      <c r="M61" s="2"/>
    </row>
    <row r="62" spans="1:13" ht="72">
      <c r="A62" s="2" t="s">
        <v>460</v>
      </c>
      <c r="B62" s="2" t="s">
        <v>461</v>
      </c>
      <c r="C62" s="2" t="s">
        <v>462</v>
      </c>
      <c r="D62" s="2" t="s">
        <v>463</v>
      </c>
      <c r="E62" s="2" t="s">
        <v>135</v>
      </c>
      <c r="F62" s="2" t="s">
        <v>49</v>
      </c>
      <c r="G62" s="2" t="s">
        <v>21</v>
      </c>
      <c r="H62" s="2" t="s">
        <v>464</v>
      </c>
      <c r="I62" s="2" t="s">
        <v>51</v>
      </c>
      <c r="J62" s="2" t="s">
        <v>212</v>
      </c>
      <c r="K62" s="2" t="s">
        <v>52</v>
      </c>
      <c r="L62" s="2" t="s">
        <v>223</v>
      </c>
      <c r="M62" s="2"/>
    </row>
    <row r="63" spans="1:13" ht="96">
      <c r="A63" s="2" t="s">
        <v>465</v>
      </c>
      <c r="B63" s="2" t="s">
        <v>466</v>
      </c>
      <c r="C63" s="2" t="s">
        <v>467</v>
      </c>
      <c r="D63" s="2" t="s">
        <v>468</v>
      </c>
      <c r="E63" s="2" t="s">
        <v>135</v>
      </c>
      <c r="F63" s="2" t="s">
        <v>304</v>
      </c>
      <c r="G63" s="2" t="s">
        <v>21</v>
      </c>
      <c r="H63" s="2" t="s">
        <v>469</v>
      </c>
      <c r="I63" s="2" t="s">
        <v>470</v>
      </c>
      <c r="J63" s="2" t="s">
        <v>212</v>
      </c>
      <c r="K63" s="2"/>
      <c r="L63" s="2"/>
      <c r="M63" s="2"/>
    </row>
    <row r="64" spans="1:13" ht="143.25" customHeight="1">
      <c r="A64" s="2" t="s">
        <v>471</v>
      </c>
      <c r="B64" s="2" t="s">
        <v>472</v>
      </c>
      <c r="C64" s="2" t="s">
        <v>473</v>
      </c>
      <c r="D64" s="2" t="s">
        <v>474</v>
      </c>
      <c r="E64" s="2" t="s">
        <v>135</v>
      </c>
      <c r="F64" s="2" t="s">
        <v>83</v>
      </c>
      <c r="G64" s="2" t="s">
        <v>21</v>
      </c>
      <c r="H64" s="2" t="s">
        <v>475</v>
      </c>
      <c r="I64" s="2" t="s">
        <v>476</v>
      </c>
      <c r="J64" s="2" t="s">
        <v>212</v>
      </c>
      <c r="K64" s="2" t="s">
        <v>477</v>
      </c>
      <c r="L64" s="2" t="s">
        <v>223</v>
      </c>
      <c r="M64" s="2"/>
    </row>
    <row r="65" spans="1:13" ht="107.25">
      <c r="A65" s="2" t="s">
        <v>478</v>
      </c>
      <c r="B65" s="2" t="s">
        <v>479</v>
      </c>
      <c r="C65" s="2" t="s">
        <v>480</v>
      </c>
      <c r="D65" s="2" t="s">
        <v>481</v>
      </c>
      <c r="E65" s="2" t="s">
        <v>135</v>
      </c>
      <c r="F65" s="2" t="s">
        <v>65</v>
      </c>
      <c r="G65" s="2" t="s">
        <v>21</v>
      </c>
      <c r="H65" s="2" t="s">
        <v>482</v>
      </c>
      <c r="I65" s="2" t="s">
        <v>483</v>
      </c>
      <c r="J65" s="2" t="s">
        <v>212</v>
      </c>
      <c r="K65" s="2" t="s">
        <v>484</v>
      </c>
      <c r="L65" s="2" t="s">
        <v>223</v>
      </c>
      <c r="M65" s="2"/>
    </row>
    <row r="66" spans="1:13" ht="154.5" customHeight="1">
      <c r="A66" s="2" t="s">
        <v>485</v>
      </c>
      <c r="B66" s="2" t="s">
        <v>486</v>
      </c>
      <c r="C66" s="2" t="s">
        <v>487</v>
      </c>
      <c r="D66" s="2" t="s">
        <v>488</v>
      </c>
      <c r="E66" s="2" t="s">
        <v>489</v>
      </c>
      <c r="F66" s="2" t="s">
        <v>83</v>
      </c>
      <c r="G66" s="2" t="s">
        <v>21</v>
      </c>
      <c r="H66" s="2" t="s">
        <v>490</v>
      </c>
      <c r="I66" s="2" t="s">
        <v>491</v>
      </c>
      <c r="J66" s="2" t="s">
        <v>212</v>
      </c>
      <c r="K66" s="2" t="s">
        <v>492</v>
      </c>
      <c r="L66" s="2" t="s">
        <v>223</v>
      </c>
      <c r="M66" s="2"/>
    </row>
    <row r="67" spans="1:13" ht="309.75" customHeight="1">
      <c r="A67" s="2" t="s">
        <v>493</v>
      </c>
      <c r="B67" s="2" t="s">
        <v>494</v>
      </c>
      <c r="C67" s="2" t="s">
        <v>495</v>
      </c>
      <c r="D67" s="2" t="s">
        <v>496</v>
      </c>
      <c r="E67" s="2" t="s">
        <v>497</v>
      </c>
      <c r="F67" s="2" t="s">
        <v>83</v>
      </c>
      <c r="G67" s="2" t="s">
        <v>21</v>
      </c>
      <c r="H67" s="2" t="s">
        <v>498</v>
      </c>
      <c r="I67" s="2" t="s">
        <v>499</v>
      </c>
      <c r="J67" s="2" t="s">
        <v>500</v>
      </c>
      <c r="K67" s="2" t="s">
        <v>501</v>
      </c>
      <c r="L67" s="2" t="s">
        <v>223</v>
      </c>
      <c r="M67" s="2"/>
    </row>
    <row r="68" spans="1:13" ht="409.6">
      <c r="A68" s="2" t="s">
        <v>502</v>
      </c>
      <c r="B68" s="2" t="s">
        <v>503</v>
      </c>
      <c r="C68" s="2" t="s">
        <v>504</v>
      </c>
      <c r="D68" s="2" t="s">
        <v>505</v>
      </c>
      <c r="E68" s="2" t="s">
        <v>506</v>
      </c>
      <c r="F68" s="2" t="s">
        <v>83</v>
      </c>
      <c r="G68" s="2" t="s">
        <v>21</v>
      </c>
      <c r="H68" s="2" t="s">
        <v>507</v>
      </c>
      <c r="I68" s="2" t="s">
        <v>508</v>
      </c>
      <c r="J68" s="2" t="s">
        <v>500</v>
      </c>
      <c r="K68" s="7" t="s">
        <v>509</v>
      </c>
      <c r="L68" s="6">
        <v>46243</v>
      </c>
      <c r="M68" s="2"/>
    </row>
    <row r="69" spans="1:13" ht="336" customHeight="1">
      <c r="A69" s="2" t="s">
        <v>510</v>
      </c>
      <c r="B69" s="2" t="s">
        <v>511</v>
      </c>
      <c r="C69" s="2" t="s">
        <v>512</v>
      </c>
      <c r="D69" s="2" t="s">
        <v>513</v>
      </c>
      <c r="E69" s="2" t="s">
        <v>514</v>
      </c>
      <c r="F69" s="2" t="s">
        <v>83</v>
      </c>
      <c r="G69" s="2" t="s">
        <v>21</v>
      </c>
      <c r="H69" s="2" t="s">
        <v>515</v>
      </c>
      <c r="I69" s="2" t="s">
        <v>516</v>
      </c>
      <c r="J69" s="2" t="s">
        <v>500</v>
      </c>
      <c r="K69" s="2"/>
      <c r="L69" s="2"/>
      <c r="M69" s="2"/>
    </row>
    <row r="70" spans="1:13" ht="269.25" customHeight="1">
      <c r="A70" s="2" t="s">
        <v>517</v>
      </c>
      <c r="B70" s="2" t="s">
        <v>518</v>
      </c>
      <c r="C70" s="2" t="s">
        <v>519</v>
      </c>
      <c r="D70" s="2" t="s">
        <v>520</v>
      </c>
      <c r="E70" s="2" t="s">
        <v>521</v>
      </c>
      <c r="F70" s="2" t="s">
        <v>83</v>
      </c>
      <c r="G70" s="2" t="s">
        <v>21</v>
      </c>
      <c r="H70" s="2" t="s">
        <v>522</v>
      </c>
      <c r="I70" s="2" t="s">
        <v>523</v>
      </c>
      <c r="J70" s="2" t="s">
        <v>500</v>
      </c>
      <c r="K70" s="2" t="s">
        <v>524</v>
      </c>
      <c r="L70" s="2" t="s">
        <v>525</v>
      </c>
      <c r="M70" s="2"/>
    </row>
    <row r="71" spans="1:13" ht="178.5">
      <c r="A71" s="2" t="s">
        <v>526</v>
      </c>
      <c r="B71" s="2" t="s">
        <v>527</v>
      </c>
      <c r="C71" s="2" t="s">
        <v>528</v>
      </c>
      <c r="D71" s="2" t="s">
        <v>529</v>
      </c>
      <c r="E71" s="2" t="s">
        <v>530</v>
      </c>
      <c r="F71" s="2" t="s">
        <v>83</v>
      </c>
      <c r="G71" s="2" t="s">
        <v>21</v>
      </c>
      <c r="H71" s="2" t="s">
        <v>531</v>
      </c>
      <c r="I71" s="2" t="s">
        <v>532</v>
      </c>
      <c r="J71" s="2" t="s">
        <v>500</v>
      </c>
      <c r="K71" s="2" t="s">
        <v>533</v>
      </c>
      <c r="L71" s="2" t="s">
        <v>525</v>
      </c>
      <c r="M71" s="2"/>
    </row>
    <row r="72" spans="1:13" ht="285.75">
      <c r="A72" s="2" t="s">
        <v>534</v>
      </c>
      <c r="B72" s="2" t="s">
        <v>535</v>
      </c>
      <c r="C72" s="2" t="s">
        <v>536</v>
      </c>
      <c r="D72" s="2" t="s">
        <v>537</v>
      </c>
      <c r="E72" s="2" t="s">
        <v>538</v>
      </c>
      <c r="F72" s="2" t="s">
        <v>83</v>
      </c>
      <c r="G72" s="2" t="s">
        <v>21</v>
      </c>
      <c r="H72" s="2" t="s">
        <v>539</v>
      </c>
      <c r="I72" s="2" t="s">
        <v>540</v>
      </c>
      <c r="J72" s="2" t="s">
        <v>500</v>
      </c>
      <c r="K72" s="2"/>
      <c r="L72" s="2"/>
      <c r="M72" s="2"/>
    </row>
    <row r="73" spans="1:13" ht="166.5">
      <c r="A73" s="2" t="s">
        <v>541</v>
      </c>
      <c r="B73" s="2" t="s">
        <v>542</v>
      </c>
      <c r="C73" s="2" t="s">
        <v>543</v>
      </c>
      <c r="D73" s="2" t="s">
        <v>544</v>
      </c>
      <c r="E73" s="2" t="s">
        <v>545</v>
      </c>
      <c r="F73" s="2" t="s">
        <v>546</v>
      </c>
      <c r="G73" s="2" t="s">
        <v>21</v>
      </c>
      <c r="H73" s="2" t="s">
        <v>547</v>
      </c>
      <c r="I73" s="2" t="s">
        <v>548</v>
      </c>
      <c r="J73" s="2" t="s">
        <v>26</v>
      </c>
      <c r="K73" s="2" t="s">
        <v>549</v>
      </c>
      <c r="L73" s="2"/>
      <c r="M73" s="2"/>
    </row>
    <row r="75" spans="1:13">
      <c r="A75" s="3" t="s">
        <v>550</v>
      </c>
      <c r="B75" s="3">
        <f>COUNTA(A5:A73)</f>
        <v>69</v>
      </c>
    </row>
    <row r="76" spans="1:13">
      <c r="A76" s="3" t="s">
        <v>551</v>
      </c>
      <c r="B76" s="3">
        <f>COUNTIF(G5:G73,"Open")</f>
        <v>69</v>
      </c>
    </row>
    <row r="77" spans="1:13">
      <c r="A77" s="3" t="s">
        <v>552</v>
      </c>
      <c r="B77" s="3">
        <f>COUNTIF(G5:G72,"Resolved")</f>
        <v>0</v>
      </c>
    </row>
  </sheetData>
  <mergeCells count="2">
    <mergeCell ref="A2:L2"/>
    <mergeCell ref="A1:L1"/>
  </mergeCells>
  <dataValidations count="1">
    <dataValidation type="list" allowBlank="1" sqref="G5:G30" xr:uid="{00000000-0002-0000-0000-000000000000}">
      <formula1>"Open,Resolved,Rejected"</formula1>
      <formula2>0</formula2>
    </dataValidation>
  </dataValidation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38A902DF3E1C646AC5588A616E05D22" ma:contentTypeVersion="3" ma:contentTypeDescription="Create a new document." ma:contentTypeScope="" ma:versionID="aff60af2c08f42d4b2377a464e6c63ca">
  <xsd:schema xmlns:xsd="http://www.w3.org/2001/XMLSchema" xmlns:xs="http://www.w3.org/2001/XMLSchema" xmlns:p="http://schemas.microsoft.com/office/2006/metadata/properties" xmlns:ns2="c54d7a34-7e3d-4a17-8e3d-7d83bf46ead1" targetNamespace="http://schemas.microsoft.com/office/2006/metadata/properties" ma:root="true" ma:fieldsID="d3c2a282c9d16055b91ece389835f452" ns2:_="">
    <xsd:import namespace="c54d7a34-7e3d-4a17-8e3d-7d83bf46ead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4d7a34-7e3d-4a17-8e3d-7d83bf46ea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B9D26C-48D4-46DC-ADB0-1514F7595EAF}"/>
</file>

<file path=customXml/itemProps2.xml><?xml version="1.0" encoding="utf-8"?>
<ds:datastoreItem xmlns:ds="http://schemas.openxmlformats.org/officeDocument/2006/customXml" ds:itemID="{C6F9AC2C-2917-4E59-9047-680DBE9F0C8D}"/>
</file>

<file path=customXml/itemProps3.xml><?xml version="1.0" encoding="utf-8"?>
<ds:datastoreItem xmlns:ds="http://schemas.openxmlformats.org/officeDocument/2006/customXml" ds:itemID="{FA99C406-607E-44AB-875F-A141AA30787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2026-08-17T09:28:35Z</dcterms:created>
  <dcterms:modified xsi:type="dcterms:W3CDTF">2026-09-28T07:54:26Z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0x010100438A902DF3E1C646AC5588A616E05D22</vt:lpwstr>
  </property>
</Properties>
</file>