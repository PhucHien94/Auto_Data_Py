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esting\Project\2026_MartRenew\Auto_Data_Py\SimplifyCheckout\testcases\"/>
    </mc:Choice>
  </mc:AlternateContent>
  <xr:revisionPtr revIDLastSave="0" documentId="13_ncr:1_{73EDAB3C-7FBA-4AF5-9176-695DB537B3C8}" xr6:coauthVersionLast="47" xr6:coauthVersionMax="47" xr10:uidLastSave="{00000000-0000-0000-0000-000000000000}"/>
  <bookViews>
    <workbookView xWindow="-120" yWindow="-120" windowWidth="29040" windowHeight="15720" tabRatio="500" xr2:uid="{00000000-000D-0000-FFFF-FFFF00000000}"/>
  </bookViews>
  <sheets>
    <sheet name="Cover" sheetId="1" r:id="rId1"/>
    <sheet name="Functional Test Scenarios" sheetId="2" r:id="rId2"/>
    <sheet name="Functional Test Cases" sheetId="3" r:id="rId3"/>
    <sheet name="Integration Test Scenarios" sheetId="4" r:id="rId4"/>
    <sheet name="Integration Test Cases" sheetId="5" r:id="rId5"/>
    <sheet name="E2E Checkout Test Cases" sheetId="6" r:id="rId6"/>
    <sheet name="Summary" sheetId="7" r:id="rId7"/>
    <sheet name="Integration Points" sheetId="8" r:id="rId8"/>
  </sheets>
  <definedNames>
    <definedName name="_xlnm._FilterDatabase" localSheetId="2" hidden="1">'Functional Test Cases'!$A$2:$R$190</definedName>
    <definedName name="_xlnm._FilterDatabase" localSheetId="1" hidden="1">'Functional Test Scenarios'!$A$2:$M$95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3" i="7" l="1"/>
  <c r="B62" i="7"/>
  <c r="B61" i="7"/>
  <c r="B60" i="7"/>
  <c r="B59" i="7"/>
  <c r="B58" i="7"/>
  <c r="B64" i="7" s="1"/>
  <c r="B54" i="7"/>
  <c r="B53" i="7"/>
  <c r="B52" i="7"/>
  <c r="B51" i="7"/>
  <c r="B50" i="7"/>
  <c r="B49" i="7"/>
  <c r="B55" i="7" s="1"/>
  <c r="B45" i="7"/>
  <c r="B44" i="7"/>
  <c r="B43" i="7"/>
  <c r="B42" i="7"/>
  <c r="B41" i="7"/>
  <c r="B40" i="7"/>
  <c r="B39" i="7"/>
  <c r="B38" i="7"/>
  <c r="B37" i="7"/>
  <c r="B36" i="7"/>
  <c r="B35" i="7"/>
  <c r="B34" i="7"/>
  <c r="B33" i="7"/>
  <c r="B32" i="7"/>
  <c r="B46" i="7" s="1"/>
  <c r="B28" i="7"/>
  <c r="B27" i="7"/>
  <c r="B26" i="7"/>
  <c r="B25" i="7"/>
  <c r="B24" i="7"/>
  <c r="B23" i="7"/>
  <c r="B29" i="7" s="1"/>
  <c r="E20" i="7"/>
  <c r="B20" i="7"/>
  <c r="E19" i="7"/>
  <c r="B19" i="7"/>
  <c r="E18" i="7"/>
  <c r="B18" i="7"/>
  <c r="E17" i="7"/>
  <c r="B17" i="7"/>
  <c r="E15" i="7"/>
  <c r="B15" i="7"/>
  <c r="E14" i="7"/>
  <c r="B14" i="7"/>
  <c r="E13" i="7"/>
  <c r="B13" i="7"/>
  <c r="E12" i="7"/>
  <c r="B12" i="7"/>
  <c r="E11" i="7"/>
  <c r="E16" i="7" s="1"/>
  <c r="B11" i="7"/>
  <c r="B16" i="7" s="1"/>
  <c r="B6" i="7"/>
  <c r="B5" i="7"/>
  <c r="B7" i="7" s="1"/>
  <c r="B4" i="7"/>
</calcChain>
</file>

<file path=xl/sharedStrings.xml><?xml version="1.0" encoding="utf-8"?>
<sst xmlns="http://schemas.openxmlformats.org/spreadsheetml/2006/main" count="5073" uniqueCount="2970">
  <si>
    <t>Simplify Checkout — Functional Detailed Test Cases (rooted in Functional Test Scenarios)</t>
  </si>
  <si>
    <t>Test Case ID</t>
  </si>
  <si>
    <t>Parent Scenario ID</t>
  </si>
  <si>
    <t>Screen ID</t>
  </si>
  <si>
    <t>REQ ID (SRS)</t>
  </si>
  <si>
    <t>Test Case Type</t>
  </si>
  <si>
    <t>Test Case Title</t>
  </si>
  <si>
    <t>Preconditions</t>
  </si>
  <si>
    <t>Test Steps</t>
  </si>
  <si>
    <t>Test Data</t>
  </si>
  <si>
    <t>Expected Result</t>
  </si>
  <si>
    <t>Priority</t>
  </si>
  <si>
    <t>Actual Result</t>
  </si>
  <si>
    <t>Pass/Fail Status</t>
  </si>
  <si>
    <t>Tester</t>
  </si>
  <si>
    <t>Test Date</t>
  </si>
  <si>
    <t>QnA Ref</t>
  </si>
  <si>
    <t>Comments</t>
  </si>
  <si>
    <t>Review Comments (QC)</t>
  </si>
  <si>
    <t>SCR-ONB-01-SC1-TC1</t>
  </si>
  <si>
    <t>SCR-ONB-01-SC1</t>
  </si>
  <si>
    <t>SCR-ONB-01</t>
  </si>
  <si>
    <t>ONB-01</t>
  </si>
  <si>
    <t>Functional</t>
  </si>
  <si>
    <t>Selecting each of the 3 languages re-renders the UI immediately</t>
  </si>
  <si>
    <t>The app was just installed / data was just cleared, currently on the first language selection screen.</t>
  </si>
  <si>
    <t>1. Open the app for the first time.
2. Observe the default language pre-selected based on the device locale.
3. Tap 'English'. Observe all labels on the screen change to English.
4. Tap '한국어', observe them change to Korean again.
5. Tap 'Continue'.</t>
  </si>
  <si>
    <t>Test device has system locale = vi-VN.</t>
  </si>
  <si>
    <t>At step 2, since the system locale is vi-VN, 'Tiếng Việt' is pre-selected. At steps 3-4, all labels change language immediately when tapped, before tapping Continue. Continue is always tappable. After Continue, the flow moves to SCR-ONB-02.</t>
  </si>
  <si>
    <t>High</t>
  </si>
  <si>
    <t>Not Run</t>
  </si>
  <si>
    <t>SCR-ONB-01-SC1-TC2</t>
  </si>
  <si>
    <t>Boundary</t>
  </si>
  <si>
    <t>When the device locale doesn't match VN/EN/KR, Vietnamese is selected by default</t>
  </si>
  <si>
    <t>The app was just installed, the device's system locale is set to a different language (e.g. fr-FR).</t>
  </si>
  <si>
    <t>1. Change the device system language to French (fr-FR).
2. Reinstall / clear data and open the app for the first time.
3. Observe which option is pre-selected on the language selection screen.</t>
  </si>
  <si>
    <t>Device: system locale = fr-FR (not VN/EN/KR).</t>
  </si>
  <si>
    <t>'Tiếng Việt' must be pre-selected since it is the default when the locale doesn't match any of the 3 options (per ONB-01).</t>
  </si>
  <si>
    <t>Medium</t>
  </si>
  <si>
    <t>SCR-ONB-01-SC2-TC1</t>
  </si>
  <si>
    <t>SCR-ONB-01-SC2</t>
  </si>
  <si>
    <t>Regression</t>
  </si>
  <si>
    <t>The language selection screen doesn't reappear after the first app open, and Settings can change the language</t>
  </si>
  <si>
    <t>Completed the entire Onboarding flow (including store selection) at least once.</t>
  </si>
  <si>
    <t>1. Close the app completely and reopen it.
2. Observe the first screen shown.
3. Go to Settings &gt; Language, change from Vietnamese to English.
4. Return to Homepage, check the UI labels.</t>
  </si>
  <si>
    <t>Account/device has already been through Onboarding once before.</t>
  </si>
  <si>
    <t>Step 2: the app opens directly to Homepage (saved state), does NOT show SCR-ONB-01 again. Step 4: all Homepage labels change to English immediately after changing in Settings.</t>
  </si>
  <si>
    <t>SCR-ONB-02-SC1-TC1</t>
  </si>
  <si>
    <t>SCR-ONB-02-SC1</t>
  </si>
  <si>
    <t>SCR-ONB-02</t>
  </si>
  <si>
    <t>ONB-02, ONB-03, ONB-04</t>
  </si>
  <si>
    <t>Allowing all 3 system permissions leads to a pre-selected store in the next step</t>
  </si>
  <si>
    <t>Language already selected, currently on the first permission dialog (Activity tracking).</t>
  </si>
  <si>
    <t>1. Tap Allow on the Activity tracking dialog.
2. Tap Allow on the Notifications dialog.
3. Tap 'Allow While Using App' on the Location dialog.
4. Observe the next screen (SCR-ONB-03).</t>
  </si>
  <si>
    <t>Test device has GPS simulating coordinates near a specific LOTTE MART store (e.g. Nam Sai Gon).</t>
  </si>
  <si>
    <t>All 3 dialogs are native OS dialogs. After allowing all 3, SCR-ONB-03 shows the nearest store based on GPS PRE-SELECTED and tagged 'Nearest' (BRL-02).</t>
  </si>
  <si>
    <t>The sheet currently only tests 'Allow all 3 permissions'. At least one INDIVIDUAL allow/deny combination should be added (e.g. Allow location but Deny tracking + notification) since location is the only permission that affects the flow (BRL-02) — mixed combinations are not tested yet, only the two extremes Allow-all/Deny-all (SC1/SC2).</t>
  </si>
  <si>
    <t>SCR-ONB-02-SC2-TC1</t>
  </si>
  <si>
    <t>SCR-ONB-02-SC2</t>
  </si>
  <si>
    <t>Negative</t>
  </si>
  <si>
    <t>Denying all 3 system permissions doesn't block the journey but loses the default store</t>
  </si>
  <si>
    <t>Language already selected, currently on the first permission dialog.</t>
  </si>
  <si>
    <t>1. Tap Don't Allow / Ask App Not to Track on all 3 consecutive dialogs.
2. Observe the next screen (SCR-ONB-03).</t>
  </si>
  <si>
    <t>No location data (GPS denied).</t>
  </si>
  <si>
    <t>The customer can still move to SCR-ONB-03 (not blocked). SCR-ONB-03 shows State B: no store is pre-selected, no distance is shown, a yellow banner suggests enabling location; the Continue button is disabled until a store is selected manually.</t>
  </si>
  <si>
    <t>See the note on SCR-ONB-02-SC1-TC1 — need to add tests for individual allow/deny combinations per permission, not just the two extremes.</t>
  </si>
  <si>
    <t>SCR-ONB-02-SC3-TC1</t>
  </si>
  <si>
    <t>SCR-ONB-02-SC3</t>
  </si>
  <si>
    <t>The combination Allow location / Deny tracking / Deny notification only affects the flow through the location permission</t>
  </si>
  <si>
    <t>App just installed, language already selected at SCR-ONB-01.</t>
  </si>
  <si>
    <t>1. On the Activity tracking dialog, tap Deny.
2. On the Notification dialog, tap Deny.
3. On the Location dialog, tap Allow.
4. Observe the next SCR-ONB-03 screen.
5. Compare with the Allow-all-3 scenario (SC1) to confirm the pre-selected store result is the same.</t>
  </si>
  <si>
    <t>Test device has GPS simulating coordinates near LOTTE Mart Nam Sai Gon.</t>
  </si>
  <si>
    <t>Step 4: SCR-ONB-03 shows State A (the nearest store is pre-selected based on GPS, tagged 'Nearest') - identical to the SC1 result even though the other 2 permissions are Denied. Step 5: confirm that denying tracking/notification causes no difference at the store selection step.</t>
  </si>
  <si>
    <t>Added per Review 26/08/2026 - closes the gap 'missing mixed Allow/Deny combination' noted in Review - Gaps &amp; Issues.</t>
  </si>
  <si>
    <t>SCR-ONB-02-SC4-TC1</t>
  </si>
  <si>
    <t>SCR-ONB-02-SC4</t>
  </si>
  <si>
    <t>ONB-02</t>
  </si>
  <si>
    <t>Verify whether denying the tracking permission affects event recording on the backend tracking system - TBD, pending QnA-44</t>
  </si>
  <si>
    <t>Language already selected at SCR-ONB-01, currently on the Activity tracking dialog; a tool is available to observe events sent to the tracking system (network log / debug console of the analytics SDK in use).</t>
  </si>
  <si>
    <t>1. Tap 'Ask App Not to Track' (Deny) on the Activity tracking dialog.
2. Continue by Allowing the other 2 dialogs (Notification, Location) to avoid mixing variables.
3. Navigate through a few screens (Homepage, view 1 product) while observing the network log/debug console of the tracking system.
4. RECORD exactly: whether basic events (app-open, view-screen, view-product...) are still sent to the internal tracking system, and if so, whether they are flagged as 'not personalized / not cross-app' or blocked entirely.</t>
  </si>
  <si>
    <t>N/A (observe actual network log).</t>
  </si>
  <si>
    <t>TBD - the specific Expected Result is pending the answer to QnA-44 (REQ ONB-02 currently only confirms the app FLOW is not blocked, it does not confirm the scope of impact on the backend tracking system). The tester must NOT mark Pass/Fail on their own until there is an official answer - only record the actual behavior.</t>
  </si>
  <si>
    <t>QnA-44</t>
  </si>
  <si>
    <t>Added per review request 26/08/2026 - closes the gap "REQ ONB-02 does not describe the impact on the backend tracking system". Update the Expected Result as soon as QnA-44 is answered.</t>
  </si>
  <si>
    <t>SCR-ONB-02-SC5-TC1</t>
  </si>
  <si>
    <t>SCR-ONB-02-SC5</t>
  </si>
  <si>
    <t>Edge</t>
  </si>
  <si>
    <t>Close the app while a system permission dialog is being processed, then reopen it - TBD, pending QnA-47</t>
  </si>
  <si>
    <t>Language already selected at SCR-ONB-01; tracking and notification already Allowed, the Location dialog is currently showing (nothing tapped yet).</t>
  </si>
  <si>
    <t>1. Force-close the app entirely (kill it from the App Switcher, not just send it to background) while the Location dialog is showing.
2. Reopen the app from its icon.
3. RECORD exactly which screen/dialog appears first after reopening: the Location dialog continues to show, it returns to the first Activity tracking dialog, or it returns to SCR-ONB-01.
4. Complete the remaining flow (Allow/Deny the remaining dialogs, if any) and confirm there is no stuck state or infinite loop.</t>
  </si>
  <si>
    <t>N/A (actual close/reopen app action).</t>
  </si>
  <si>
    <t>TBD - the specific Expected Result is pending the answer to QnA-47. The tester must NOT mark Pass/Fail on their own for step 3 until there is an official answer - only record the actual behavior, while separately confirming for step 4 that the customer is NOT stuck (unable to complete Onboarding) regardless of what the resume behavior is.</t>
  </si>
  <si>
    <t>QnA-47</t>
  </si>
  <si>
    <t>Added per review request 26/08/2026.</t>
  </si>
  <si>
    <t>SCR-ONB-03-SC1-TC1</t>
  </si>
  <si>
    <t>SCR-ONB-03-SC1</t>
  </si>
  <si>
    <t>SCR-ONB-03</t>
  </si>
  <si>
    <t>ONB-05</t>
  </si>
  <si>
    <t>Location Allowed: the nearest store is pre-selected, Continue is enabled immediately, confirm screen transition</t>
  </si>
  <si>
    <t>Location permission = Allowed, GPS simulated near LOTTE Mart Nam Sai Gon (2.1km).</t>
  </si>
  <si>
    <t>1. Go to SCR-ONB-03 after allowing location.
2. Observe the first store in the list has the 'Nearest' tag and is already selected (checkmark).
3. Check that the Continue button is tappable without any further action.
4. Tap Continue.</t>
  </si>
  <si>
    <t>GPS: simulated coordinates 2.1km from LOTTE Mart Nam Sai Gon.</t>
  </si>
  <si>
    <t>LOTTE Mart Nam Sai Gon is pre-selected, tagged 'Nearest', the distance '2.1 km' is shown correctly; Continue is enabled from the start; tapping Continue moves to SCR-ONB-04.</t>
  </si>
  <si>
    <t>SCR-ONB-03-SC2-TC1</t>
  </si>
  <si>
    <t>SCR-ONB-03-SC2</t>
  </si>
  <si>
    <t>Location Denied: Continue must be disabled until a store is selected (BRL-01 enforcement)</t>
  </si>
  <si>
    <t>Location permission = Denied.</t>
  </si>
  <si>
    <t>1. Go to SCR-ONB-03 (State B) after denying location.
2. Check that no store is pre-checked, and no store shows a distance.
3. Try tapping Continue without selecting any store. Confirm the button is disabled.
4. Select any store from the list (e.g. LOTTE Mart Go Vap).
5. Tap Continue again.</t>
  </si>
  <si>
    <t>No GPS data.</t>
  </si>
  <si>
    <t>Step 3: Continue cannot be tapped until a store is selected. Step 5: after selecting a store, Continue moves to SCR-ONB-04 for the exact store just selected.</t>
  </si>
  <si>
    <t>SCR-ONB-03-SC3-TC1</t>
  </si>
  <si>
    <t>SCR-ONB-03-SC3</t>
  </si>
  <si>
    <t>Searching for a store by name/district filters the list correctly</t>
  </si>
  <si>
    <t>Currently on SCR-ONB-03, the list has at least 4 stores (Nam Sai Gon, Tan Binh, Go Vap, Phu Tho).</t>
  </si>
  <si>
    <t>1. Enter 'Tan Binh' into the search box.
2. Observe the remaining list.
3. Clear the keyword, enter 'Q.11'.
4. Observe the remaining list.</t>
  </si>
  <si>
    <t>Keywords: 'Tan Binh' and 'Q.11'.</t>
  </si>
  <si>
    <t>Step 2: only 'LOTTE Mart Tan Binh' remains. Step 4: only the store in Q.11 remains (LOTTE Mart Phu Tho). The filtered result doesn't remove the requirement to select a store before Continue.</t>
  </si>
  <si>
    <t>Low</t>
  </si>
  <si>
    <t>[Previous review, still NOT addressed] The test currently only checks that typing a CORRECT name/district returns a result. Still missing the case of typing a NON-EXISTENT name (0 results) — QC logged this as QnA-40 (25/08/2026), still pending an answer. A separate step/test case for the '0 results' state should be added as soon as QnA-40 is answered.</t>
  </si>
  <si>
    <t>SCR-ONB-03-SC4-TC1</t>
  </si>
  <si>
    <t>SCR-ONB-03-SC4</t>
  </si>
  <si>
    <t>Searching for a store with a keyword that matches no store (0 results) - TBD, pending QnA-40</t>
  </si>
  <si>
    <t>Currently on the store selection screen (State A or B).</t>
  </si>
  <si>
    <t>1. Enter a non-existent keyword (e.g. 'Vung Tau' or 'zzzxyz') into the search box.
2. Observe the displayed store list.
3. RECORD exactly what the actual UI shows: an entirely empty screen, a message line, or a keyword-correction suggestion.
4. Clear the keyword, confirm the full store list is shown again normally.</t>
  </si>
  <si>
    <t>Test keyword: 'Vung Tau' (assuming there is no LOTTE MART store in this area in the test data).</t>
  </si>
  <si>
    <t>TBD - the specific Expected Result (content/visual of the 0-results state) is pending the answer to QnA-40. The tester must NOT mark Pass/Fail on their own for step 3 until there is an official answer - only record the actual behavior for later comparison.</t>
  </si>
  <si>
    <t>QnA-40</t>
  </si>
  <si>
    <t>Closes the gap noted in the old QC Review notes of SCR-ONB-03-SC3-TC1 (Review 26/08/2026). Update the Expected Result again as soon as QnA-40 is answered.</t>
  </si>
  <si>
    <t>SCR-ONB-03-SC5-TC1</t>
  </si>
  <si>
    <t>SCR-ONB-03-SC5</t>
  </si>
  <si>
    <t>Two stores are equidistant from the customer's location - confirm which store gets pre-selected - TBD, pending QnA-45</t>
  </si>
  <si>
    <t>Location permission = Allowed; test data has at least 2 stores with the same distance (or the same rounded display value, e.g. both '2.1 km') to the simulated location.</t>
  </si>
  <si>
    <t>1. Configure a simulated GPS location equidistant from 2 specific stores (e.g. LOTTE Mart Nam Sai Gon and another store, both 2.1 km).
2. Go to SCR-ONB-03, observe which store is pre-selected and tagged 'Nearest'.
3. RECORD the display order of the 2 equidistant stores in the list.
4. Repeat the test with a simulated location equidistant from a DIFFERENT pair of stores to confirm the rule is consistently repeatable (not random).</t>
  </si>
  <si>
    <t>GPS coordinates: equidistant from LOTTE Mart Nam Sai Gon and a nearby store, same distance 2.1 km (rounded to 1 decimal place).</t>
  </si>
  <si>
    <t>TBD - SRS/BRL-02 has no tie-break rule. The specific Expected Result is pending the answer to QnA-45. The tester must NOT mark Pass/Fail on their own - only record the store actually selected and confirm CONSISTENCY (repeating multiple times for the same pair of stores must always produce the same result, not a random one).</t>
  </si>
  <si>
    <t>QnA-45</t>
  </si>
  <si>
    <t>Added per review request 26/08/2026 - clarifies the definition of 'nearest' and the tie-break rule.</t>
  </si>
  <si>
    <t>SCR-ONB-03-SC6-TC1</t>
  </si>
  <si>
    <t>SCR-ONB-03-SC6</t>
  </si>
  <si>
    <t>Searching for a store by district and the displayed boundary label - confirm whether old or new administrative boundaries are used - TBD, pending QnA-46</t>
  </si>
  <si>
    <t>1. Observe the district/area label shown next to each store in the list (e.g. 'Q.7', 'Q.11'...).
2. Enter a district name using the OLD boundaries (before the merger) into the search box, observe the filtered result.
3. If data is available, try entering the corresponding administrative unit name using the NEW boundaries (after the merger) for the same area, compare the result with step 2.
4. RECORD whether the displayed boundary label and search result are consistent with the address the customer enters on the address creation screen (SCR-HOM-02), if this can be cross-checked at this test stage.</t>
  </si>
  <si>
    <t>Old district name: 'Thu Duc' (or a district/ward that was recently merged near the test date); the corresponding new administrative unit name.</t>
  </si>
  <si>
    <t>TBD - the specific Expected Result is pending the answer to QnA-46 (the administrative boundary data source used for GPS/store search). The tester must NOT mark Pass/Fail on their own - only record the actual label/search result.</t>
  </si>
  <si>
    <t>QnA-46</t>
  </si>
  <si>
    <t>SCR-ONB-03-SC7-TC1</t>
  </si>
  <si>
    <t>SCR-ONB-03-SC7</t>
  </si>
  <si>
    <t>Close the app while on the mandatory store selection screen (Continue not yet tapped), then reopen it - TBD, pending QnA-47</t>
  </si>
  <si>
    <t>Already past the permission request step (SCR-ONB-02), currently on SCR-ONB-03.</t>
  </si>
  <si>
    <t>1. In State B (location Denied), manually select any store but do NOT tap Continue.
2. Force-close the app entirely (kill app).
3. Reopen the app from its icon, RECORD the first screen shown and whether the store selected in step 1 is still retained.
4. Repeat steps 1-3 but WITHOUT selecting any store before closing the app (State B, nothing selected), confirm this case separately.</t>
  </si>
  <si>
    <t>TBD - the specific Expected Result is pending the answer to QnA-47. The tester must NOT mark Pass/Fail on their own - only record the actual behavior, while also confirming the customer is NOT allowed to skip the mandatory store selection step (BRL-01) regardless of what the resume behavior is (e.g. must not jump straight to Homepage without ever selecting a store).</t>
  </si>
  <si>
    <t>Added per review request 26/08/2026 - higher risk than SCR-ONB-02-SC5 since this is a mandatory step (BRL-01, mandatory store selection).</t>
  </si>
  <si>
    <t>SCR-ONB-04-SC1-TC1</t>
  </si>
  <si>
    <t>SCR-ONB-04-SC1</t>
  </si>
  <si>
    <t>SCR-ONB-04</t>
  </si>
  <si>
    <t>ONB-06</t>
  </si>
  <si>
    <t>Swiping through the 3 carousel screens, the progress dot updates to the correct position</t>
  </si>
  <si>
    <t>Store selection completed, currently on carousel screen 1/3.</t>
  </si>
  <si>
    <t>1. Observe the 3 progress dots, the first dot is active (elongated).
2. Swipe left to screen 2/3, observe the 2nd dot is active.
3. Swipe left to screen 3/3, observe the 3rd dot is active and the main button changes to 'Start shopping'.
4. Swipe right back to screen 2, check that reverse navigation works.</t>
  </si>
  <si>
    <t>N/A (screen swipe action).</t>
  </si>
  <si>
    <t>The progress dot always reflects the current position correctly; swiping works in both directions; the main button only changes to 'Start shopping' on the 3rd screen.</t>
  </si>
  <si>
    <t>QnA-06</t>
  </si>
  <si>
    <t>The specific artwork/content of each screen is still pending confirmation from LOTTE MART (QnA-06) but this does not block navigation testing.</t>
  </si>
  <si>
    <t>SCR-ONB-04-SC2-TC1</t>
  </si>
  <si>
    <t>SCR-ONB-04-SC2</t>
  </si>
  <si>
    <t>ONB-06, ONB-07</t>
  </si>
  <si>
    <t>Tapping Skip on the first carousel screen goes straight to Homepage for the correct selected store</t>
  </si>
  <si>
    <t>Store 'LOTTE Mart Nam Sai Gon' already selected at SCR-ONB-03, currently on carousel screen 1/3.</t>
  </si>
  <si>
    <t>1. Tap the 'Skip' button in the corner of the screen.
2. Observe the destination screen.
3. Check the store name shown on the Homepage header.</t>
  </si>
  <si>
    <t>Previously selected store: LOTTE Mart Nam Sai Gon.</t>
  </si>
  <si>
    <t>The system skips screens 2 and 3, going straight to SCR-HOM-01 (Homepage) in Guest state; the header correctly shows 'LOTTE Mart Nam Sai Gon' (BR-03, ONB-07).</t>
  </si>
  <si>
    <t>SCR-ONB-04-SC3-TC1</t>
  </si>
  <si>
    <t>SCR-ONB-04-SC3</t>
  </si>
  <si>
    <t>Close the app while in the middle of the intro carousel, then reopen it - TBD, pending QnA-48</t>
  </si>
  <si>
    <t>Mandatory store selection already completed at SCR-ONB-03, currently on carousel screen 2/3.</t>
  </si>
  <si>
    <t>1. On carousel screen 2/3, force-close the app entirely (kill app).
2. Reopen the app from its icon.
3. RECORD exactly which screen is shown first: the carousel continues at screen 2/3, the carousel restarts at screen 1/3, or it goes straight to Homepage (SCR-HOM-01).
4. If the carousel reappears, confirm the store selected at SCR-ONB-03 is still correctly retained (not lost or requiring re-selection).</t>
  </si>
  <si>
    <t>TBD - the specific Expected Result is pending the answer to QnA-48. The tester must NOT mark Pass/Fail on their own for step 3 - only record the actual behavior; step 4 must always hold true (the selected store is never lost) regardless of how the carousel resumes.</t>
  </si>
  <si>
    <t>QnA-48</t>
  </si>
  <si>
    <t>SCR-HOM-01-SC1-TC1</t>
  </si>
  <si>
    <t>SCR-HOM-01-SC1</t>
  </si>
  <si>
    <t>SCR-HOM-01</t>
  </si>
  <si>
    <t>HP-01, HP-04</t>
  </si>
  <si>
    <t>Guest views Homepage before having an address - estimate is based on store, browsing is not blocked</t>
  </si>
  <si>
    <t>Guest just entered Homepage for the first time, no address created yet.</t>
  </si>
  <si>
    <t>1. Observe the header: store name, delivery address line, delivery estimate.
2. Tap any category/product to confirm browsing works normally.
3. Tap the Cart icon to confirm it still displays (no need to check the gate-opening behavior here).</t>
  </si>
  <si>
    <t>Selected store: LOTTE Mart Nam Sai Gon.</t>
  </si>
  <si>
    <t>The header shows 'Choose delivery address'; the delivery estimate shows Standard + the earliest slot OF THE STORE (not based on address, since there isn't one yet); categories/prices/promotions are correct for the selected store; browsing categories is not blocked by not being logged in or not having an address (BR-04).</t>
  </si>
  <si>
    <t>SCR-HOM-01-SC2-TC1</t>
  </si>
  <si>
    <t>SCR-HOM-01-SC2</t>
  </si>
  <si>
    <t>An address within the 60-Minute zone shows a suggestion banner, but Standard remains the default</t>
  </si>
  <si>
    <t>Guest has saved an address 4km from the store (within the 3-5km radius).</t>
  </si>
  <si>
    <t>1. Open Homepage, observe the address shown on the header.
2. Observe the delivery estimate line and the banner below it.
3. Check which service is currently SELECTED (Standard or 60-Minute).</t>
  </si>
  <si>
    <t>Test address: 4km from the store.</t>
  </si>
  <si>
    <t>The header correctly shows the saved address; the estimate shows 'Standard - today HH:MM-HH:MM' with the banner '60-Minute delivery is available for this address'; the currently SELECTED service is still Standard (the banner is only a suggestion, it doesn't auto-switch).</t>
  </si>
  <si>
    <t>SCR-HOM-01-SC3-TC1</t>
  </si>
  <si>
    <t>SCR-HOM-01-SC3</t>
  </si>
  <si>
    <t>HP-01, BR-06</t>
  </si>
  <si>
    <t>Guest price and Member price are shown simultaneously on the same SKU while in Guest state</t>
  </si>
  <si>
    <t>Currently on Homepage, Guest state, the 'Best sellers at this store' section has at least 1 SKU with both price levels.</t>
  </si>
  <si>
    <t>1. Scroll to the 'Best sellers at this store' section.
2. Observe a SKU that has both prices.
3. Record the displayed Guest price and Member price.</t>
  </si>
  <si>
    <t>Sample SKU: Guest price 59,000d, Member price 49,000d.</t>
  </si>
  <si>
    <t>Both prices (59,000d and 49,000d) are shown SIMULTANEOUSLY on the same product card, neither is hidden.</t>
  </si>
  <si>
    <t>SCR-HOM-01-SC3-TC2</t>
  </si>
  <si>
    <t>A logged-in Member still sees both Guest price and Member price simultaneously - TBD on tier-based differences, pending QnA-50</t>
  </si>
  <si>
    <t>Logged in as a Member with a specific tier (e.g. Silver), viewing a SKU that has both Guest and Member prices.</t>
  </si>
  <si>
    <t>1. Observe the SKU card after logging in.
2. Confirm both prices (Guest and Member) still show simultaneously (per SCR-HOM-06-SC1, only the priority order changes, neither price is hidden).
3. RECORD exactly whether the displayed Member price specifies the tier (e.g. 'Silver price') or just a generic 'Member price'.</t>
  </si>
  <si>
    <t>Silver-tier Member account; sample SKU: Guest price 59,000d, Member price 49,000d.</t>
  </si>
  <si>
    <t>TBD - the specific Expected Result (whether the Member price differs by tier) is pending the answer to QnA-50. The tester must NOT mark Pass/Fail on their own for the tier-based difference until there is an official answer.</t>
  </si>
  <si>
    <t>QnA-50</t>
  </si>
  <si>
    <t>Added per review request 27/08/2026.</t>
  </si>
  <si>
    <t>SCR-HOM-01-SC4-TC1</t>
  </si>
  <si>
    <t>SCR-HOM-01-SC4</t>
  </si>
  <si>
    <t>An address outside the 60-Minute zone (only eligible for Standard) does NOT show the 60-Minute suggestion banner</t>
  </si>
  <si>
    <t>Guest/Member has saved an address 12km from the store (outside the 60-Minute radius, within the Standard radius).</t>
  </si>
  <si>
    <t>1. Open Homepage, observe the address shown on the header.
2. Observe the delivery estimate line and the banner area below (if any).
3. Confirm there is NO banner mentioning 60-Minute.</t>
  </si>
  <si>
    <t>Test address: 12km from the store.</t>
  </si>
  <si>
    <t>The header correctly shows the saved address; the estimate ONLY shows 'Standard' (no 60-Minute option/suggestion); NO banner such as '60-Minute delivery is available' or similar appears - unlike SC2 (address within the 60-Minute zone).</t>
  </si>
  <si>
    <t>Added per review request 27/08/2026 - mirrors SC2 (the banner DOES show when inside the zone), ensuring the banner does NOT incorrectly show when outside the zone.</t>
  </si>
  <si>
    <t>SCR-HOM-01-SC4-TC2</t>
  </si>
  <si>
    <t>Two different addresses both in the Standard-only zone - do they get the same time slot or different ones - TBD, pending QnA-49</t>
  </si>
  <si>
    <t>Prepare 2 different addresses that are both only eligible for Standard (not 60-Minute), e.g. 8km and 14km from the store.</t>
  </si>
  <si>
    <t>1. Save address A (8km), record the displayed Standard time slot (e.g. '14:00-16:00').
2. Switch to address B (14km, still within the Standard radius), record the displayed time slot again.
3. Compare the time slots between the 2 addresses.</t>
  </si>
  <si>
    <t>Address A: 8km. Address B: 14km. Both are only eligible for Standard.</t>
  </si>
  <si>
    <t>TBD - the Expected Result (whether the time slot is the same between 2 addresses in the same tier or differs per address) is pending the answer to QnA-49. The tester should ONLY record the actual behavior, not mark Pass/Fail on their own.</t>
  </si>
  <si>
    <t>QnA-49</t>
  </si>
  <si>
    <t>SCR-HOM-01-SC5-TC1</t>
  </si>
  <si>
    <t>SCR-HOM-01-SC5</t>
  </si>
  <si>
    <t>HP-01</t>
  </si>
  <si>
    <t>The Cart icon always displays on the Homepage tab bar</t>
  </si>
  <si>
    <t>Currently on Homepage, try each of: Guest with empty cart, Guest with items, Member with empty cart, Member with items.</t>
  </si>
  <si>
    <t>1. In Guest state with an empty cart: observe the tab bar, confirm the Cart icon is present.
2. Add 1 product to the cart, observe the quantity badge on the Cart icon.
3. Log in as a Member, repeat steps 1-2.</t>
  </si>
  <si>
    <t>Any SKU to add to the cart.</t>
  </si>
  <si>
    <t>The Cart icon is present on the tab bar in ALL 4 state combinations (Guest/Member x empty/with items); the quantity badge updates correctly when a product is added, and does not show when the cart is empty.</t>
  </si>
  <si>
    <t>SCR-HOM-02-SC1-TC1</t>
  </si>
  <si>
    <t>SCR-HOM-02-SC1</t>
  </si>
  <si>
    <t>SCR-HOM-02</t>
  </si>
  <si>
    <t>HP-02, HP-03</t>
  </si>
  <si>
    <t>GPS only pre-fills a suggestion, Guest must add details manually before Save works</t>
  </si>
  <si>
    <t>Guest has no address yet, location permission already Allowed, currently on SCR-HOM-02.</t>
  </si>
  <si>
    <t>1. Tap 'Use my location'.
2. Observe the address field pre-filled with a GPS suggestion (e.g. '123 Nguyen Thi Thap, Tan Phu, Q.7').
3. Add the house number/floor/block to the address field.
4. Confirm the form does NOT have a recipient name/phone field (since it's a Guest).
5. Tap Save.</t>
  </si>
  <si>
    <t>Simulated GPS suggestion: '123 Nguyen Thi Thap, Tan Phu, Q.7'.</t>
  </si>
  <si>
    <t>Step 2: the GPS address is only a suggestion, not yet saved. Step 4: the Guest form does NOT show a recipient name/phone field. Step 5: Save only succeeds AFTER the customer confirms/adds details (it doesn't auto-save as soon as GPS returns coordinates).</t>
  </si>
  <si>
    <t>[Previous review, still NOT addressed] This test only covers the 'GPS locate then add details' path. The 100% manual entry path (never tapping 'Use my location') still has no dedicated test case — should be added to make sure both entry methods create a valid address.</t>
  </si>
  <si>
    <t>SCR-HOM-02-SC2-TC1</t>
  </si>
  <si>
    <t>SCR-HOM-02-SC2</t>
  </si>
  <si>
    <t>HP-03</t>
  </si>
  <si>
    <t>Validation</t>
  </si>
  <si>
    <t>Recipient name/phone is required and defaults from the account when a Member</t>
  </si>
  <si>
    <t>Logged in (Member), currently on SCR-HOM-02 State B creating a new address.</t>
  </si>
  <si>
    <t>1. Observe the Recipient Name / Recipient Phone fields - check whether they are pre-filled from the account.
2. Clear the Recipient Name field.
3. Tap Save.
4. Fill in the Recipient Name again, tap Save.</t>
  </si>
  <si>
    <t>Member account: Thai Bao Ngoc / 09xxxxxxxx.</t>
  </si>
  <si>
    <t>Step 1: both fields are pre-filled from the account (editable). Step 3: Save is BLOCKED when Recipient Name is empty (required field error shown). Step 4: after filling it in again, Save succeeds.</t>
  </si>
  <si>
    <t>SCR-HOM-02-SC2-TC2</t>
  </si>
  <si>
    <t>Editing the recipient name/phone for a new address does NOT change the original Member profile information</t>
  </si>
  <si>
    <t>Logged in as a Member with original profile name/phone: Thai Bao Ngoc / 09xxxxxxxx, currently creating a new address at SCR-HOM-02.</t>
  </si>
  <si>
    <t>1. Edit the Recipient Name field to a different name (e.g. 'Nguyen Van B') and a different phone for this new address.
2. Tap Save.
3. Go to Profile/Account Settings, check the account's main Name/Phone again.</t>
  </si>
  <si>
    <t>New recipient name/phone (specific to this address only): Nguyen Van B / 09yyyyyyyy.</t>
  </si>
  <si>
    <t>The new address is saved with the edited recipient Name/Phone (Nguyen Van B). The ORIGINAL Member account profile/information (Thai Bao Ngoc / 09xxxxxxxx) is NOT changed - these two pieces of information are independent of each other.</t>
  </si>
  <si>
    <t>SCR-HOM-02-SC3-TC1</t>
  </si>
  <si>
    <t>SCR-HOM-02-SC3</t>
  </si>
  <si>
    <t>HP-04, HP-05</t>
  </si>
  <si>
    <t>Saving an address outside all service zones immediately switches the header to a 'not served' state</t>
  </si>
  <si>
    <t>Currently on SCR-HOM-02, about to enter an address outside the Standard radius and outside all of the store's Next-day zones.</t>
  </si>
  <si>
    <t>1. Enter and Save an address that is outside all of the current store's service zones.
2. Observe the Homepage header immediately after Save.
3. Check that browsing categories and Pickup still work normally.</t>
  </si>
  <si>
    <t>Sample address: outside all configured zones (e.g. a province with no Next-day).</t>
  </si>
  <si>
    <t>The header does NOT show a delivery day/time, it only shows a message + the 'Change address' CTA; browsing categories and selecting Pickup still work normally (only Delivery is affected).</t>
  </si>
  <si>
    <t>The question 'if the address is inside the delivery zone, does the delivery time differ' (review 27/08/2026) has been merged into SCR-HOM-01-SC4-TC2 / QnA-49 - no separate test case is created here to avoid duplication, since this TC is testing an address OUTSIDE the service zone, while the new question is about an address INSIDE the zone.</t>
  </si>
  <si>
    <t>SCR-HOM-02-SC4-TC1</t>
  </si>
  <si>
    <t>SCR-HOM-02-SC4</t>
  </si>
  <si>
    <t>TBD: role and behavior of the what3words field on the address creation screen - pending QnA-51</t>
  </si>
  <si>
    <t>Currently on SCR-HOM-02, creating a new address.</t>
  </si>
  <si>
    <t>1. Observe the whole screen, confirm whether there is any field/label/button related to 'what3words'.
2. If present, try interacting with it (enter 3 words, or observe 3 auto-generated words) and record the behavior.
3. Try to Save the address WITHOUT using what3words (if possible), confirm whether Save still succeeds or is blocked.</t>
  </si>
  <si>
    <t>N/A - needs confirmation from BA/Design before specific Test Data is available (QnA-51).</t>
  </si>
  <si>
    <t>TBD - the Expected Result is pending the answer to QnA-51 (whether what3words is an alternative input or just extra display information, and whether it is required).</t>
  </si>
  <si>
    <t>QnA-51</t>
  </si>
  <si>
    <t>SCR-HOM-02-SC5-TC1</t>
  </si>
  <si>
    <t>SCR-HOM-02-SC5</t>
  </si>
  <si>
    <t>TBD: behavior of the map/Use my location button/initial address field when location permission is Denied - pending QnA-52</t>
  </si>
  <si>
    <t>Location permission = Denied, Guest/Member has no address yet, about to enter SCR-HOM-02.</t>
  </si>
  <si>
    <t>1. Go to SCR-HOM-02 with location permission Denied.
2. RECORD exactly what the map area shows (empty/default store area/completely hidden).
3. RECORD the initial content of the address field (empty or with a suggestion).
4. Tap the 'Use my location' button, RECORD the system's response.</t>
  </si>
  <si>
    <t>Location permission: Denied. No address saved beforehand.</t>
  </si>
  <si>
    <t>TBD - the Expected Result for all 3 points (map/initial address field/Use my location button response) is pending the answer to QnA-52. The tester should ONLY record the actual behavior.</t>
  </si>
  <si>
    <t>QnA-52</t>
  </si>
  <si>
    <t>SCR-HOM-02-SC6-TC1</t>
  </si>
  <si>
    <t>SCR-HOM-02-SC6</t>
  </si>
  <si>
    <t>TBD: two-way sync between the map and the text address field - pending QnA-53</t>
  </si>
  <si>
    <t>Currently on SCR-HOM-02, an address/map pin is already shown from a previous entry.</t>
  </si>
  <si>
    <t>1. Directly edit the content of the text address field (manually type a different address).
2. RECORD whether the pin on the map automatically moves accordingly.
3. Drag and drop the pin on the map to a different location.
4. RECORD whether the text address field automatically updates to match the new pin location.</t>
  </si>
  <si>
    <t>A manually-typed address that differs from the current pin location, to clearly test the sync.</t>
  </si>
  <si>
    <t>TBD - the Expected Result (whether sync is one-way, two-way, or not synced at all until Save) is pending the answer to QnA-53. The tester should ONLY record the actual behavior.</t>
  </si>
  <si>
    <t>QnA-53</t>
  </si>
  <si>
    <t>SCR-HOM-02-SC7-TC1</t>
  </si>
  <si>
    <t>SCR-HOM-02-SC7</t>
  </si>
  <si>
    <t>HP-03, HP-09</t>
  </si>
  <si>
    <t>TBD: new address added to the address book, default option, and the rule for which address loads in the next session - pending QnA-54</t>
  </si>
  <si>
    <t>Member already has 1-2 existing addresses in the address book, currently adding a new address at SCR-HOM-02.</t>
  </si>
  <si>
    <t>1. Save the new address, then go to SCR-HOM-03 (saved address list), confirm whether the new address appears.
2. Observe the address save screen, confirm whether there is a 'Set as default' option.
3. Close the app completely, reopen it, observe which address is loaded on Homepage.</t>
  </si>
  <si>
    <t>Member already has 2 existing addresses (e.g. 'Home', 'Office'), just created a 3rd address.</t>
  </si>
  <si>
    <t>TBD - the Expected Result for all 3 points (whether it goes into the address book / whether there is a default option / which address loads in the next session) is pending the answer to QnA-54.</t>
  </si>
  <si>
    <t>QnA-54</t>
  </si>
  <si>
    <t>SCR-HOM-02-SC8-TC1</t>
  </si>
  <si>
    <t>SCR-HOM-02-SC8</t>
  </si>
  <si>
    <t>TBD: address type label when saving, handling when 'Other' is selected - pending QnA-55</t>
  </si>
  <si>
    <t>Currently on SCR-HOM-02, at the address save step that has a label type selection.</t>
  </si>
  <si>
    <t>1. Observe the list of available label types (e.g. Home/Office/Other).
2. Select the 'Other' label, RECORD whether the system requires entering a custom name.
3. Save the address, go to SCR-HOM-03 and confirm where/how this label is displayed.</t>
  </si>
  <si>
    <t>Try all 3 label types (if available): Home, Office, Other.</t>
  </si>
  <si>
    <t>TBD - the Expected Result (the list of available labels, the rule when 'Other' is selected, how it displays at SCR-HOM-03) is pending the answer to QnA-55.</t>
  </si>
  <si>
    <t>QnA-55</t>
  </si>
  <si>
    <t>SCR-HOM-02-SC9-TC1</t>
  </si>
  <si>
    <t>SCR-HOM-02-SC9</t>
  </si>
  <si>
    <t>HP-10, NFR-03</t>
  </si>
  <si>
    <t>Reopening the app after a Member logs out does not automatically restore the previously used address</t>
  </si>
  <si>
    <t>Currently logged in as a Member, address 'Home' is saved and active on Homepage.</t>
  </si>
  <si>
    <t>1. Tap Logout, confirm in the dialog.
2. Check Homepage right after logout (store, address).
3. Force-close the app entirely (kill), reopen it in Guest state (without logging back in).
4. Check the store and address on Homepage again.</t>
  </si>
  <si>
    <t>Member account with 1 address 'Home' active before logout.</t>
  </si>
  <si>
    <t>Step 2: the store stays the same, the address is cleared (back to State A). Step 4: after reopening the app as Guest, Homepage is still in State A - shows 'Choose delivery address', does NOT show the former Member's 'Home' address again.</t>
  </si>
  <si>
    <t>Added per review request 28/08/2026 - distinct from QnA-26 (which address is active AFTER logging back IN, still open).</t>
  </si>
  <si>
    <t>SCR-HOM-02-SC10-TC1</t>
  </si>
  <si>
    <t>SCR-HOM-02-SC10</t>
  </si>
  <si>
    <t>HP-03, HP-05</t>
  </si>
  <si>
    <t>Confirm SCR-HOM-02 has no Edit flow for a saved address</t>
  </si>
  <si>
    <t>Account already has 1 saved address ('Home'), currently on Homepage State B.</t>
  </si>
  <si>
    <t>1. Tap the address currently shown on the header.
2. Observe the screen that opens (SCR-HOM-02 or SCR-HOM-03).
3. In the address list (if any), look for an Edit button on the 'Home' address row.
4. Look for a Delete button on the 'Home' address row.</t>
  </si>
  <si>
    <t>Address 'Home' already saved, no Edit/Delete action has been performed on it yet.</t>
  </si>
  <si>
    <t>TBD - step 2: tapping the address in State B is expected to open SCR-HOM-03 (the list), not open SCR-HOM-02 directly. Steps 3-4: the initial expectation is that there is NO Edit/Delete button, only '+ Add new address' - QC needs to record the actual behavior and cross-check against QnA-58.</t>
  </si>
  <si>
    <t>QnA-58</t>
  </si>
  <si>
    <t>Added per review request 28/08/2026.</t>
  </si>
  <si>
    <t>SCR-HOM-03-SC1-TC1</t>
  </si>
  <si>
    <t>SCR-HOM-03-SC1</t>
  </si>
  <si>
    <t>SCR-HOM-03</t>
  </si>
  <si>
    <t>HP-09</t>
  </si>
  <si>
    <t>Switching to a different saved address that the same store can still serve - applied immediately without confirmation</t>
  </si>
  <si>
    <t>Account has 2 saved addresses (Home, Office) both served by Nam Sai Gon.</t>
  </si>
  <si>
    <t>1. Open the saved address list from the header.
2. Select the 'Office' address.
3. Observe whether any confirmation dialog appears.
4. Check the store and delivery estimate after switching.</t>
  </si>
  <si>
    <t>Address 'Office': 72 Le Thanh Ton, Q.1 - still served by Nam Sai Gon.</t>
  </si>
  <si>
    <t>Step 3: NO confirmation dialog appears. Step 4: the store remains 'Nam Sai Gon', only the address and delivery estimate are refreshed for the 'Office' address.</t>
  </si>
  <si>
    <t>SCR-HOM-03-SC2-TC1</t>
  </si>
  <si>
    <t>SCR-HOM-03-SC2</t>
  </si>
  <si>
    <t>Switching to an address in a different province/city automatically switches the serving store with a toast notification</t>
  </si>
  <si>
    <t>Account has an address 'Parents' in Hanoi, currently using store Nam Sai Gon (HCMC).</t>
  </si>
  <si>
    <t>1. Open the saved address list from the header.
2. Select the 'Parents' address (Hanoi).
3. Observe the store shown on the header and the toast notification.
4. Check the new delivery estimate.</t>
  </si>
  <si>
    <t>Address 'Parents': 45 Nguyen Van Cu, Long Bien, Hanoi.</t>
  </si>
  <si>
    <t>The store AUTOMATICALLY switches to 'LOTTE Mart Long Bien' WITHOUT asking for confirmation; the toast shows 'Store changed to LOTTE Mart Long Bien'; the delivery estimate switches to Next-day format (choosing a date instead of a time slot) because this is the Next-day zone of the new store.</t>
  </si>
  <si>
    <t>QnA-01</t>
  </si>
  <si>
    <t>If the address just selected becomes invalid again after switching to yet another store, the order for selecting a replacement address is still OQ-01/QnA-01.</t>
  </si>
  <si>
    <t>SCR-HOM-03-SC2-TC2</t>
  </si>
  <si>
    <t>Switching to an address in a different province/city but the new store is still only eligible for Standard (not Next-day)</t>
  </si>
  <si>
    <t>Account has an address 'Cousin' in Can Tho, currently using store Nam Sai Gon.</t>
  </si>
  <si>
    <t>1. Open the saved address list from the header.
2. Select the 'Cousin' address (Can Tho).
3. Observe the store shown on the header and the toast notification.
4. Check the new delivery estimate - confirm it IS Standard (based on actual distance), not automatically Next-day.</t>
  </si>
  <si>
    <t>Address 'Cousin': within the Standard radius (not Next-day) of the store 'LOTTE Mart Can Tho'.</t>
  </si>
  <si>
    <t>The store AUTOMATICALLY switches to 'LOTTE Mart Can Tho' WITHOUT asking for confirmation; the toast shows the correct new store name; the delivery estimate shows Standard (a specific time slot) - it is NOT defaulted to Next-day just because the province/city differs from the old address.</t>
  </si>
  <si>
    <t>Added per review request 28/08/2026 - clarifies that the tier after switching stores depends on the actual distance (BRL-10..12), not always Next-day as in the SC2-TC1 example.</t>
  </si>
  <si>
    <t>SCR-HOM-03-SC3-TC1</t>
  </si>
  <si>
    <t>SCR-HOM-03-SC3</t>
  </si>
  <si>
    <t>The '+ Add new address' button correctly opens SCR-HOM-02 in create mode</t>
  </si>
  <si>
    <t>Account already has 1 saved address, currently viewing the address list (SCR-HOM-03).</t>
  </si>
  <si>
    <t>1. Scroll to the bottom of the address list.
2. Tap '+ Add new address'.
3. Check the fields on the newly opened form (whether they are pre-filled with old address data).
4. Tap back/Cancel, check which screen it returns to.</t>
  </si>
  <si>
    <t>Current address list: 'Home'.</t>
  </si>
  <si>
    <t>Steps 2-3: correctly opens SCR-HOM-02, all fields are empty (not pre-filled from the 'Home' address). Step 4: returns correctly to the address list (SCR-HOM-03), does not jump straight to Homepage.</t>
  </si>
  <si>
    <t>SCR-HOM-03-SC4-TC1</t>
  </si>
  <si>
    <t>SCR-HOM-03-SC4</t>
  </si>
  <si>
    <t>The 'Served by X' hint on the list correctly matches the store actually loaded on the header</t>
  </si>
  <si>
    <t>Account has 3 addresses: 'Home' and 'Office' (both served by Nam Sai Gon), 'Parents' (served by Long Bien).</t>
  </si>
  <si>
    <t>1. Open the address list, record the 'Served by X' text on each row.
2. Select each address in turn.
3. After each selection, check the store shown on the header.
4. Cross-check the store on the header against the 'Served by X' text recorded in step 1 for that same address.</t>
  </si>
  <si>
    <t>'Home', 'Office': Served by Nam Sai Gon. 'Parents': Served by Long Bien.</t>
  </si>
  <si>
    <t>For all 3 addresses, the store shown on the header after selection matches 100% with the 'Served by X' hint previously shown on that same address row - no discrepancy.</t>
  </si>
  <si>
    <t>SCR-HOM-03-SC5-TC1</t>
  </si>
  <si>
    <t>SCR-HOM-03-SC5</t>
  </si>
  <si>
    <t>Check the address display order when there are addresses served by the current store and by other stores</t>
  </si>
  <si>
    <t>Currently on store Nam Sai Gon, account has 4 addresses: 2 served by Nam Sai Gon, 2 served by other stores.</t>
  </si>
  <si>
    <t>1. Open the address list.
2. Record the display order of all 4 addresses.
3. Cross-check this order against the hypothesis 'addresses served by the current store are prioritized at the top' and against creation order/alphabetical order.</t>
  </si>
  <si>
    <t>4 sample addresses as described in Preconditions, created at different times.</t>
  </si>
  <si>
    <t>TBD - record the actual display order exactly (without assuming it in advance); cross-check against the BA's answer to QnA-59 once available.</t>
  </si>
  <si>
    <t>QnA-59</t>
  </si>
  <si>
    <t>SCR-HOM-03-SC6-TC1</t>
  </si>
  <si>
    <t>SCR-HOM-03-SC6</t>
  </si>
  <si>
    <t>Selecting an address outside the service zone of ALL stores</t>
  </si>
  <si>
    <t>Account has 1 address in an area not yet configured to be served by any store.</t>
  </si>
  <si>
    <t>1. Open the address list, observe the store hint on this address row.
2. Select that address.
3. Check the store shown on the header after selecting it.
4. Check the Delivery/Pickup/Browsing state after selecting it.</t>
  </si>
  <si>
    <t>Test address outside all configured service zones (e.g. an area where the service is not yet available).</t>
  </si>
  <si>
    <t>TBD - step 1: what the store hint displays (blank/a separate message/hidden) is not yet determined. Steps 3-4: whether the current store is retained, Delivery switches to 'not served', and whether Browsing/Pickup still work - pending confirmation via QnA-60. Minimum requirement: there must be no error screen or freeze.</t>
  </si>
  <si>
    <t>QnA-60</t>
  </si>
  <si>
    <t>Added per review request 28/08/2026 - identified that rule HP-09 is missing the branch for handling 0 matching stores.</t>
  </si>
  <si>
    <t>SCR-HOM-03-SC7-TC1</t>
  </si>
  <si>
    <t>SCR-HOM-03-SC7</t>
  </si>
  <si>
    <t>Switching a saved address while location permission is off still determines the correct store</t>
  </si>
  <si>
    <t>Device location permission = Denied/Off. Account has address 'Home' (Nam Sai Gon) and 'Parents' (Long Bien).</t>
  </si>
  <si>
    <t>1. Turn off location permission in device Settings.
2. Open the app, open the address list from the header.
3. Select the 'Parents' address.
4. Check the store and delivery estimate after selecting it.</t>
  </si>
  <si>
    <t>Location permission: Denied/Off throughout the test.</t>
  </si>
  <si>
    <t>TBD - initial expectation: switching stores still works correctly (using the address's saved coordinates, no live location needed) - the store correctly switches to Long Bien as in SCR-HOM-03-SC2. QC needs to record the actual behavior and cross-check against QnA-61.</t>
  </si>
  <si>
    <t>QnA-61</t>
  </si>
  <si>
    <t>SCR-HOM-04-SC1-TC1</t>
  </si>
  <si>
    <t>SCR-HOM-04-SC1</t>
  </si>
  <si>
    <t>SCR-HOM-04</t>
  </si>
  <si>
    <t>HP-08</t>
  </si>
  <si>
    <t>Changing the store from the header applies immediately without confirmation when the service doesn't change</t>
  </si>
  <si>
    <t>The current address is still valid for Standard at both the old store and the new store.</t>
  </si>
  <si>
    <t>1. Open the store sheet from the header, select 'LOTTE Mart Tan Binh'.
2. Observe whether a confirmation dialog appears.
3. Check the categories/prices on Homepage after switching.</t>
  </si>
  <si>
    <t>New store: LOTTE Mart Tan Binh (Standard is still available for the current address).</t>
  </si>
  <si>
    <t>NO confirmation dialog; the store switches immediately; categories/prices/stock re-render correctly for 'LOTTE Mart Tan Binh'.</t>
  </si>
  <si>
    <t>SCR-HOM-04-SC2-TC1</t>
  </si>
  <si>
    <t>SCR-HOM-04-SC2</t>
  </si>
  <si>
    <t>Switching stores in a way that loses 60-Minute must show a clear service fallback notice, not silently switch</t>
  </si>
  <si>
    <t>The current address is currently in the 60-Minute zone of the old store (Nam Sai Gon).</t>
  </si>
  <si>
    <t>1. Open the store sheet, select a store for which the current address falls only within the Standard radius (losing 60-Minute).
2. Observe the notice that appears right after switching.
3. Check the service currently shown on the header.</t>
  </si>
  <si>
    <t>New store: the current address is now only within the Standard radius (no longer 60-Minute).</t>
  </si>
  <si>
    <t>A clear notice appears immediately ('Store changed. 60-Minute is not available for this address at [store]'); the header switches to Standard only - the service must not silently drop without notice.</t>
  </si>
  <si>
    <t>SCR-HOM-04-SC3-TC1</t>
  </si>
  <si>
    <t>SCR-HOM-04-SC3</t>
  </si>
  <si>
    <t>A store that cannot deliver to the current address can still be selected, only Delivery is affected</t>
  </si>
  <si>
    <t>The current address is in HCMC, the store list has 'LOTTE Mart Long Bien' (Hanoi, cannot serve this address).</t>
  </si>
  <si>
    <t>1. Open the store sheet, observe the 'LOTTE Mart Long Bien' row - check whether it is locked/hidden.
2. Select 'LOTTE Mart Long Bien'.
3. Check the Delivery and Pickup state after selecting it.</t>
  </si>
  <si>
    <t>Store: LOTTE Mart Long Bien, current address: HCMC.</t>
  </si>
  <si>
    <t>Step 1: the store row still shows and IS SELECTABLE (not locked), just with a note 'Does not serve this address'. Step 3: Delivery switches to 'not served' for this address, but browsing categories and Pickup at that store still work normally.</t>
  </si>
  <si>
    <t>SCR-HOM-04-SC4-TC1</t>
  </si>
  <si>
    <t>SCR-HOM-04-SC4</t>
  </si>
  <si>
    <t>HP-08, BRL-10, BRL-11, BRL-12</t>
  </si>
  <si>
    <t>The service badge on the store sheet correctly matches the distance threshold for each store</t>
  </si>
  <si>
    <t>Current address: 123 Nguyen Thi Thap, Q.7. Store list: Nam Sai Gon, Tan Binh, Go Vap, Long Bien.</t>
  </si>
  <si>
    <t>1. Open the store sheet from the header.
2. Read the badge of each store in the list.
3. Cross-check each badge against that store's actual distance to the current address.</t>
  </si>
  <si>
    <t>Nam Sai Gon 2.1km, Tan Binh 6.8km, Go Vap 9.4km, Long Bien 1,150km.</t>
  </si>
  <si>
    <t>Nam Sai Gon: '60-Minute + Standard'. Tan Binh, Go Vap: 'Standard only'. Long Bien: 'Does not serve this address'. The badges correctly match the BRL-10..12 thresholds, no store shows an incorrect or default badge.</t>
  </si>
  <si>
    <t>Added per review request 28/08/2026 - uses the exact sample data set from Figma Slide 45.</t>
  </si>
  <si>
    <t>SCR-HOM-04-SC5-TC1</t>
  </si>
  <si>
    <t>SCR-HOM-04-SC5</t>
  </si>
  <si>
    <t>Searching for a store by name and by district (old/new boundaries)</t>
  </si>
  <si>
    <t>Currently viewing the store sheet (SCR-HOM-04), the store list has district labels using the old boundaries.</t>
  </si>
  <si>
    <t>1. Type the store name 'Tan Binh' into the search box, check the result.
2. Clear the search box, type a district name using the OLD boundaries (e.g. 'Q.7'), check the result.
3. Clear the search box, type the ward/district name using the NEW post-merger boundaries (if available), check the result.</t>
  </si>
  <si>
    <t>Keywords: 'Tan Binh' (store name), 'Q.7' (old district), the corresponding new administrative unit name (if available, needs data from the Data team).</t>
  </si>
  <si>
    <t>Step 1: correctly returns store 'LOTTE Mart Tan Binh'. Steps 2-3: TBD - not yet determined whether the search returns correct results for BOTH boundary formats or only one - directly related to QnA-46 (already extended to apply to this screen).</t>
  </si>
  <si>
    <t>Added per review request 28/08/2026 - extends the scope of QnA-46 to SCR-HOM-04.</t>
  </si>
  <si>
    <t>SCR-HOM-04-SC6-TC1</t>
  </si>
  <si>
    <t>SCR-HOM-04-SC6</t>
  </si>
  <si>
    <t>Service badge on the store sheet when there is no address yet or location permission is off</t>
  </si>
  <si>
    <t>(a) Guest/Member has never created an address, Homepage is in State A. (b) Location permission = Denied/Off.</t>
  </si>
  <si>
    <t>1. Case (a): open the store sheet when there is no address, observe the service badge of each store.
2. Case (b): turn off location permission, open the store sheet, observe the badges again.</t>
  </si>
  <si>
    <t>No address saved; location permission Denied/Off in case (b).</t>
  </si>
  <si>
    <t>TBD - not yet determined whether the badge is based on the device's current location (requires location Allow) or the badge is hidden/not shown until an address exists - pending confirmation via QnA-62. Minimum requirement: no incorrect/misleading badge is shown.</t>
  </si>
  <si>
    <t>QnA-62</t>
  </si>
  <si>
    <t>SCR-HOM-04-SC7-TC1</t>
  </si>
  <si>
    <t>SCR-HOM-04-SC7</t>
  </si>
  <si>
    <t>HP-08, BRL-08</t>
  </si>
  <si>
    <t>Switching stores makes the current address eligible to be upgraded to 60-Minute (reverse of the service-drop case)</t>
  </si>
  <si>
    <t>The current address is currently in the Standard-only zone of the old store (Tan Binh).</t>
  </si>
  <si>
    <t>1. Open the store sheet, select a store for which the current address falls within the 60-Minute radius (Nam Sai Gon).
2. Observe the notice that appears right after switching (if any).
3. Check the service currently shown on the header after switching - Standard or automatically upgraded to 60-Minute.</t>
  </si>
  <si>
    <t>New store: Nam Sai Gon (the current address is eligible for 60-Minute here).</t>
  </si>
  <si>
    <t>TBD - not yet determined whether the system automatically upgrades the service to 60-Minute or keeps Standard and lets the customer switch manually, and whether a notice similar to the service-drop case appears - pending confirmation via QnA-63.</t>
  </si>
  <si>
    <t>QnA-63</t>
  </si>
  <si>
    <t>Added per review request 28/08/2026 - adds the reverse direction of SCR-HOM-04-SC2.</t>
  </si>
  <si>
    <t>SCR-HOM-04-SC8-TC1</t>
  </si>
  <si>
    <t>SCR-HOM-04-SC8</t>
  </si>
  <si>
    <t>HP-08, BRL-08, CT-07, BRL-24</t>
  </si>
  <si>
    <t>Switching stores from Homepage while the cart already has products from the old store</t>
  </si>
  <si>
    <t>The cart currently has 2 SKUs from the old store (Nam Sai Gon); 1 SKU will go out of stock, 1 SKU will change price at the new store.</t>
  </si>
  <si>
    <t>1. Confirm the cart currently has the 2 SKUs listed above.
2. Open SCR-HOM-04 (switching stores from Homepage, not from Cart), select the new store (Tan Binh).
3. Observe whether any warning appears before the switch.
4. After switching, reopen the Cart and check the 2 SKUs (still at the old price, price changed, or moved to the out-of-stock group).</t>
  </si>
  <si>
    <t>New store: Tan Binh - causes 1 SKU to go out of stock and 1 SKU to change price in the current cart.</t>
  </si>
  <si>
    <t>TBD - not yet determined whether Homepage warns/blocks like SCR-CRT-06 when switching stores while the cart is affected (BRL-08 currently specifies no warning on Homepage). Minimum requirement: the cart must not silently become incorrect (lose a SKU/change price) without ANY warning on Homepage or when reopening the Cart - pending confirmation via QnA-64.</t>
  </si>
  <si>
    <t>QnA-64</t>
  </si>
  <si>
    <t>Added per review request 28/08/2026 - direct conflict between the SCR-HOM-04 rule (no warning) and SCR-CRT-06 (warning required when there is an impact).</t>
  </si>
  <si>
    <t>SCR-HOM-05-SC1-TC1</t>
  </si>
  <si>
    <t>SCR-HOM-05-SC1</t>
  </si>
  <si>
    <t>SCR-HOM-05</t>
  </si>
  <si>
    <t>HP-04</t>
  </si>
  <si>
    <t>The 4 delivery estimate states correctly exclude each other per distance threshold</t>
  </si>
  <si>
    <t>4 sample addresses are prepared matching the 4 ranges exactly: 4km, 12km, within Next-day, outside all zones.</t>
  </si>
  <si>
    <t>1. Save address 'A' (4km) - observe the estimate.
2. Switch to address 'B' (12km) - observe the estimate.
3. Switch to address 'C' (within the Next-day zone) - observe the estimate.
4. Switch to address 'D' (outside all zones) - observe the estimate.
5. From address 'A' (4km), switch to a DIFFERENT address 'A2' that is in the SAME 3-5km distance range (e.g. 4.5km) - observe whether the currently shown options (60-Minute + Standard) get cleared/flicker to an empty state before reappearing, or stay smoothly the same.
6. From address 'D' (outside all zones), switch to a DIFFERENT address 'D2' also outside all zones - observe whether the 'not served' notice gets cleared/flickers before reappearing.</t>
  </si>
  <si>
    <t>Address A: 4km. B: 12km. C: configured Next-day zone. D: outside all zones. Address A2: 4.5km (same 60-Minute bucket as A). Address D2: outside all zones (same bucket as D).</t>
  </si>
  <si>
    <t>A: shows 60-Minute + Standard (Standard is the default). B: Standard only, no 60-Minute affordance. C: only shows a delivery date (no time slot). D: no date/time, only a 'not served' notice + a change-address CTA. The 4 states do not overlap. Step 5: switching between 2 addresses in the SAME distance bucket (A -&gt; A2) must keep the currently shown options (60-Minute + Standard) continuously in place, NOT be cleared to empty and reappear (no flicker/jump). Step 6: similarly, the 'not served' notice (D -&gt; D2) must not be cleared/flicker when switching between 2 addresses that both belong to the 'outside all zones' bucket.</t>
  </si>
  <si>
    <t>High Đổi địa chỉ trong CÙNG 1 bucket khoảng cách không được gây hiệu ứng clear/reset tạm thời cho các option đang hiển thị.</t>
  </si>
  <si>
    <t>Added steps 5-6 per review request 28/08/2026 - checks that switching addresses within the same distance bucket doesn't cause the options to be cleared.</t>
  </si>
  <si>
    <t>SCR-HOM-05-SC2-TC1</t>
  </si>
  <si>
    <t>SCR-HOM-05-SC2</t>
  </si>
  <si>
    <t>Delivery estimate during peak hours/holidays/Tet/natural disasters - TBD, pending QnA-66</t>
  </si>
  <si>
    <t>Have a valid address within the service zone; able to simulate/configure the 3 test scenarios.</t>
  </si>
  <si>
    <t>1. Simulate accessing during a peak time slot (e.g. 18:00-20:00), observe whether the delivery estimate changes (fee/slot/time) compared to normal hours.
2. Simulate a test date that falls on a holiday/Tet per the calendar, observe the delivery estimate - completely blocked, reduced capacity, or no change.
3. Mark a test store as 'temporarily not accepting orders' (simulating force majeure), observe what notice Homepage/Cart shows the customer.
4. Fully record the actual behavior for all 3 steps.</t>
  </si>
  <si>
    <t>Separate test configuration for peak hours, holidays/Tet, and the store-suspended state.</t>
  </si>
  <si>
    <t>TBD - pending the answer to QnA-66. The tester must NOT mark Pass/Fail on their own - only record the actual behavior for all 3 scenarios.</t>
  </si>
  <si>
    <t>QnA-66</t>
  </si>
  <si>
    <t>Added per review request 28/08/2026 - high risk since these are 3 real operational scenarios, not theoretical ones.</t>
  </si>
  <si>
    <t>SCR-HOM-06-SC1-TC1</t>
  </si>
  <si>
    <t>SCR-HOM-06-SC1</t>
  </si>
  <si>
    <t>SCR-HOM-06</t>
  </si>
  <si>
    <t>A successful login changes the price display priority order from Guest to Member</t>
  </si>
  <si>
    <t>Before logging in: viewing a SKU that has both Guest and Member prices while in Guest state.</t>
  </si>
  <si>
    <t>1. Record the price display order (Guest first, Member after) while still a Guest.
2. Log in successfully with a Member account that has a tier/points/coupons.
3. Observe the SKU card again and the Member info strip on the header.</t>
  </si>
  <si>
    <t>Member account: Silver tier, 500 points, 2 available coupons.</t>
  </si>
  <si>
    <t>After login: the Member strip (name, tier, points, coupons) appears on Homepage; the Member price becomes the MAIN price (more prominent), the Guest price is dimmed/shrunk - the order is reversed compared to step 1.</t>
  </si>
  <si>
    <t>SCR-HOM-06-SC1-TC2</t>
  </si>
  <si>
    <t>Logging in as a Member with no tier/points/coupons (new account) - the Member strip displays correctly in the empty state</t>
  </si>
  <si>
    <t>1. Log in with a NEWLY CREATED Member account with no tier/points/coupons yet.
2. Observe the Member info strip on Homepage (name, tier, points, coupons).
3. Observe whether the SKU price changes priority order the same way as an account with full data.</t>
  </si>
  <si>
    <t>New Member account: 0 points, no tier yet, 0 available coupons.</t>
  </si>
  <si>
    <t>The Member strip still displays correctly (account name), the tier/points/coupons sections show a reasonable EMPTY state (e.g. '0 points', hide the coupon section if none, or a default tier label) - no error/no meaningless blank field. The Member price still becomes the main price the same as SC1, regardless of whether there is a tier/points/coupons.</t>
  </si>
  <si>
    <t>Added per review request 27/08/2026 - SCR-HOM-06-SC1-TC1 only tests an account WITH full tier/points/coupons, the empty state of a new account was not tested yet.</t>
  </si>
  <si>
    <t>SCR-HOM-06-SC2-TC1</t>
  </si>
  <si>
    <t>SCR-HOM-06-SC2</t>
  </si>
  <si>
    <t>Logging out keeps the store unchanged, clears the address, the Cart icon still displays</t>
  </si>
  <si>
    <t>Currently logged in, store = Nam Sai Gon, saved address = '123 Nguyen Thi Thap, Q.7'.</t>
  </si>
  <si>
    <t>1. Go to Account, tap Logout.
2. Confirm in the logout warning dialog.
3. Observe the Homepage header after logout.</t>
  </si>
  <si>
    <t>Before logout: store Nam Sai Gon, address already selected.</t>
  </si>
  <si>
    <t>The confirmation dialog clearly states what is kept (store) and what is cleared (address) BEFORE the customer confirms. After confirming: returns to SCR-HOM-01 State A - the store is STILL 'Nam Sai Gon' (unchanged), the address is CLEARED (shows 'Choose delivery address' again), the Cart icon still displays normally.</t>
  </si>
  <si>
    <t>QnA-26</t>
  </si>
  <si>
    <t>Which address is active when logging back in is still tracked under OQ-26/QnA-26.</t>
  </si>
  <si>
    <t>SCR-HOM-06-SC2-TC2</t>
  </si>
  <si>
    <t>Tapping Cancel on the Logout confirmation dialog keeps the logged-in state 100% unchanged</t>
  </si>
  <si>
    <t>1. Go to Account, tap Logout.
2. On the confirmation dialog, tap 'Cancel' (do not confirm the logout).
3. Check the login state, store, and address on Homepage.</t>
  </si>
  <si>
    <t>State before tapping Logout: logged in, store Nam Sai Gon, address already selected - used as the comparison baseline.</t>
  </si>
  <si>
    <t>After tapping Cancel: still LOGGED IN (not logged out), the store and address remain exactly the same as the baseline - no partial change is applied, unlike confirming Logout in SC2-TC1.</t>
  </si>
  <si>
    <t>Added per review request 27/08/2026 - SCR-HOM-06-SC2 previously only tested the CONFIRM logout path, the Cancel path was not tested - same pattern as SCR-CRT-06-SC3-TC1 (Cancel changing store).</t>
  </si>
  <si>
    <t>SCR-HOM-06-SC3-TC1</t>
  </si>
  <si>
    <t>SCR-HOM-06-SC3</t>
  </si>
  <si>
    <t>Tapping 'View more' on the Member strip - TBD, pending QnA-67</t>
  </si>
  <si>
    <t>Logged in as a Member with tier/points/coupons, currently on Homepage State A.</t>
  </si>
  <si>
    <t>1. Observe the Member strip: name, tier, points, 'Barcode', 'View more' button.
2. Tap 'View more'.
3. RECORD exactly which screen/content opens.</t>
  </si>
  <si>
    <t>Member account with Silver tier, 500 points.</t>
  </si>
  <si>
    <t>TBD - pending the answer to QnA-67. The tester must NOT mark Pass/Fail on their own - only record the actual destination screen.</t>
  </si>
  <si>
    <t>QnA-67</t>
  </si>
  <si>
    <t>SCR-HOM-06-SC4-TC1</t>
  </si>
  <si>
    <t>SCR-HOM-06-SC4</t>
  </si>
  <si>
    <t>HP-05, SU-05</t>
  </si>
  <si>
    <t>A Guest with a local address/store logs into an already-existing Member account - TBD, pending QnA-68</t>
  </si>
  <si>
    <t>The test Member account already has 1 saved address (different from the address the Guest will use) and its own Registered store (different from the store the Guest will browse).</t>
  </si>
  <si>
    <t>1. In Guest state, manually select a local address 'X' and browse at store 'A' on the device.
2. Tap 'Sign in' (not Register), log into the already-existing Member account above.
3. RECORD exactly the address displayed after login (Guest address 'X', or one of the Member's saved addresses).
4. RECORD exactly the store displayed after login (Guest store 'A', or the Member's Registered store).</t>
  </si>
  <si>
    <t>Member account with a saved address 'Y' (different from 'X') and Registered store 'B' (different from 'A').</t>
  </si>
  <si>
    <t>TBD - pending the answer to QnA-68. The tester must NOT mark Pass/Fail on their own - only record the actual address/store displayed at steps 3-4.</t>
  </si>
  <si>
    <t>QnA-68</t>
  </si>
  <si>
    <t>Added per review request 28/08/2026 - high risk since it affects the experience immediately after login.</t>
  </si>
  <si>
    <t>SCR-AUT-01-SC1-TC1</t>
  </si>
  <si>
    <t>SCR-AUT-01-SC1</t>
  </si>
  <si>
    <t>SCR-AUT-01</t>
  </si>
  <si>
    <t>HP-06</t>
  </si>
  <si>
    <t>Add to Cart is blocked by the login gate, and after logging in the product is added automatically</t>
  </si>
  <si>
    <t>Guest not logged in, viewing SKU-A which can be added to the cart.</t>
  </si>
  <si>
    <t>1. Tap 'Add to Cart' on SKU-A.
2. Observe the login/signup bottom sheet opening (not full-screen).
3. Choose 'Sign in', complete a successful login (valid phone number + PIN).
4. Check the cart and the toast notification.</t>
  </si>
  <si>
    <t>SKU-A: in stock. An existing test Member account.</t>
  </si>
  <si>
    <t>Step 2: the sheet opens exactly when Add to Cart is tapped (blocking before adding); the sheet title clearly states it is gating the 'add to cart' action. Step 4: SKU-A HAS been automatically added to the cart (no need to tap Add to Cart again), with a confirmation toast; if the Guest already had a local address, that address has been synced to the account.</t>
  </si>
  <si>
    <t>SCR-AUT-01-SC2-TC1</t>
  </si>
  <si>
    <t>SCR-AUT-01-SC2</t>
  </si>
  <si>
    <t>HP-07, CT-01</t>
  </si>
  <si>
    <t>Tapping the Cart icon is blocked by the login gate, and after logging in the Cart opens directly</t>
  </si>
  <si>
    <t>Guest not logged in, already selected address/service/time slot on Homepage.</t>
  </si>
  <si>
    <t>1. Tap the Cart icon on the tab bar.
2. Observe the login/signup bottom sheet with content specific to the Cart-opening context.
3. Log in successfully.
4. Observe the next screen and the address/service/time slot values in the Cart.</t>
  </si>
  <si>
    <t>Address/service/time slot already selected on Homepage before tapping the Cart icon.</t>
  </si>
  <si>
    <t>Step 2: the Cart icon always displays and is tappable (not hidden/disabled - BRL-06), opens the correct gate with copy specific to 'opening Cart' (different from the Add to Cart copy). Step 4: the Cart OPENS DIRECTLY (not adding a product); the address/service/time slot from Homepage carry over unchanged into the Cart.</t>
  </si>
  <si>
    <t>SCR-AUT-01-SC3-TC1</t>
  </si>
  <si>
    <t>SCR-AUT-01-SC3</t>
  </si>
  <si>
    <t>HP-06, HP-07</t>
  </si>
  <si>
    <t>Cancelling the login sheet from either entry point doesn't lose the current browsing context</t>
  </si>
  <si>
    <t>Guest not logged in.</t>
  </si>
  <si>
    <t>1. Tap Add to Cart on SKU-B, when the login sheet opens, tap Cancel/swipe to close the sheet.
2. Check the cart and the current screen.
3. Tap the Cart icon, when the login sheet opens, tap Cancel.
4. Check the Cart and the current screen.</t>
  </si>
  <si>
    <t>SKU-B: in stock, not yet in the cart.</t>
  </si>
  <si>
    <t>Step 2: returns to the exact same product page/Homepage as before, SKU-B is NOT added to the cart. Step 4: returns to Homepage, the Cart is NOT opened. In both cases, no browsing data/context is lost (BRL-08).</t>
  </si>
  <si>
    <t>SCR-AUT-01-SC4-TC1</t>
  </si>
  <si>
    <t>SCR-AUT-01-SC4</t>
  </si>
  <si>
    <t>Normal</t>
  </si>
  <si>
    <t>Tapping 'Register' from the login gate correctly opens the signup flow and resumes the original action correctly</t>
  </si>
  <si>
    <t>Guest has no account, viewing SKU-C which can be added to the cart.</t>
  </si>
  <si>
    <t>1. Tap 'Add to Cart' on SKU-C, when the gate bottom sheet opens, tap 'New customer - Register'.
2. Observe the screen that opens - confirm this is SCR-AUT-02 in SIGNUP mode (not login).
3. Complete the signup flow (phone + OTP + PIN + profile) successfully.
4. Check the cart and the toast notification.
5. Repeat from the start but trigger via the Cart icon instead of Add to Cart, confirm the Cart opens directly after signup completes.</t>
  </si>
  <si>
    <t>SKU-C: in stock. Test phone number never registered to any account before.</t>
  </si>
  <si>
    <t>Step 2: correctly SCR-AUT-02 in signup mode. Step 4: SKU-C has been automatically added to the cart (identical to the Sign-in flow in SC1), with a confirmation toast, the account automatically logs in right after creation (no separate login step - SU-06). Step 5: the Cart opens directly, no product is added.</t>
  </si>
  <si>
    <t>Added per review request 28/08/2026 - SC1/SC2/SC3 previously only tested the Sign-in and Cancel branches, the Register branch was not tested separately.</t>
  </si>
  <si>
    <t>SCR-AUT-02-SC1-TC1</t>
  </si>
  <si>
    <t>SCR-AUT-02-SC1</t>
  </si>
  <si>
    <t>SCR-AUT-02</t>
  </si>
  <si>
    <t>SU-01, SU-02, SU-03</t>
  </si>
  <si>
    <t>Signing up with a valid phone number, default Zalo channel, correct OTP leads to the PIN creation screen</t>
  </si>
  <si>
    <t>Currently on the 'Choose Register' screen from the login gate.</t>
  </si>
  <si>
    <t>1. Enter a phone number in the correct VN mobile format (e.g. 09xxxxxxxx).
2. Observe the default OTP channel is Zalo, tagged 'Recommended'.
3. Tap send OTP.
4. Enter the received OTP code correctly.
5. Observe the next screen.</t>
  </si>
  <si>
    <t>Test phone number: 0912345678 (not registered). Valid OTP from the test environment.</t>
  </si>
  <si>
    <t>Zalo is the default channel and is pre-selected; after the correct OTP, it moves to SCR-AUT-03 (Create PIN) without error.</t>
  </si>
  <si>
    <t>[Previous review — ALREADY ADDRESSED] The gap 'missing test for entering OTP incorrectly once' has been closed by the new test case SCR-AUT-02-SC1-TC4 (added per Review 25/08/2026). No further changes needed for this TC1.</t>
  </si>
  <si>
    <t>SCR-AUT-02-SC1-TC2</t>
  </si>
  <si>
    <t>SU-03</t>
  </si>
  <si>
    <t>The Resend button is disabled during the countdown right after sending OTP</t>
  </si>
  <si>
    <t>Just tapped send OTP for the first time.</t>
  </si>
  <si>
    <t>1. Tap send OTP.
2. Immediately check the Resend button's state.
3. Wait until the countdown shown on screen finishes.
4. Check the Resend button's state again.</t>
  </si>
  <si>
    <t>N/A.</t>
  </si>
  <si>
    <t>Step 2: Resend is in a disabled state with a countdown timer. Step 4: after the countdown reaches 0, Resend switches to enabled (BRL-15).</t>
  </si>
  <si>
    <t>Test Data currently says 'N/A' but steps 2/4 need to know the EXACT Resend countdown duration (how many seconds) so the tester knows to wait the right amount of time before checking that the button switches to enabled. The specific value is not in the SRS yet (it only says 'countdown period' — BRL-15), so the Test Data should state 'actual configured value, please ask BA/Dev to confirm before execution' instead of leaving it as N/A.</t>
  </si>
  <si>
    <t>SCR-AUT-02-SC1-TC3</t>
  </si>
  <si>
    <t>SU-01, SU-02</t>
  </si>
  <si>
    <t>Entering a phone number with an incorrect format on the Register screen shows a clear error</t>
  </si>
  <si>
    <t>Currently on the phone number entry screen of Register (SCR-AUT-02).</t>
  </si>
  <si>
    <t>1. Enter an incorrectly formatted phone number, in turn: '0912' (too few digits), '091234abcd' (letters mixed in), '912345678' (missing the leading 0).
2. For each value, tap Continue / send OTP.
3. Observe the error message and the input field.</t>
  </si>
  <si>
    <t>Incorrectly formatted phone numbers: '0912', '091234abcd', '912345678'.</t>
  </si>
  <si>
    <t>Step 2: the system does NOT allow sending the OTP (blocked right at the input step, the send-OTP step is never called). Step 3: a clear phone number format error is shown right at the input field; the phone field retains the value just typed so the customer can fix it.</t>
  </si>
  <si>
    <t>Added per Review 25/08/2026 - previously only tested an already-registered/not-registered phone number, entering an incorrectly formatted number from the start was not tested.</t>
  </si>
  <si>
    <t>SCR-AUT-02-SC1-TC4</t>
  </si>
  <si>
    <t>Entering the wrong OTP exactly once (not yet locked) shows an understandable error and allows re-entry immediately</t>
  </si>
  <si>
    <t>Already tapped send OTP successfully on the Register screen, never entered it incorrectly before.</t>
  </si>
  <si>
    <t>1. Receive a valid OTP but enter it WRONG once (e.g. change the last digit).
2. Observe the error message.
3. Re-enter the correct OTP right after.</t>
  </si>
  <si>
    <t>Correct OTP: valid code from the test environment. Wrong OTP used for testing: change the last digit of the correct code.</t>
  </si>
  <si>
    <t>Step 2: shows the error 'Incorrect OTP code, please try again' (not an account-locked error), the input field still allows re-entry immediately, no need to request a new code. Step 3: entering the correct OTP succeeds, moves to the next screen normally - NOT yet locked since it was only wrong once (the official lock threshold is pending confirmation at QnA-03).</t>
  </si>
  <si>
    <t>QnA-03</t>
  </si>
  <si>
    <t>Added per Review 25/08/2026 - previously only had a test for the correct OTP and for entering it wrong too many times (locked), missing the most basic step of getting it wrong exactly once.</t>
  </si>
  <si>
    <t>SCR-AUT-02-SC1-TC5</t>
  </si>
  <si>
    <t>Entering an OTP code that has expired - TBD, pending QnA-39</t>
  </si>
  <si>
    <t>OTP already sent successfully via any channel, the OTP code is still showing on the entry screen.</t>
  </si>
  <si>
    <t>1. Tap send OTP.
2. WAIT a period much longer than the Resend countdown (e.g. wait 15-20 minutes, or use a simulated system time) WITHOUT tapping Resend code.
3. Enter the originally received OTP code correctly (the old code, not a new one) into the input field.
4. RECORD the actual behavior: does the system accept the old code, or show an 'expired code' error.</t>
  </si>
  <si>
    <t>Initial valid OTP code, simulated wait time far exceeding the Resend countdown duration (SU-03/BRL-15).</t>
  </si>
  <si>
    <t>TBD - the specific Expected Result (whether the OTP code auto-expires or not, and after how long) is pending the answer to QnA-39. The tester must NOT mark Pass/Fail on their own for step 4 until there is an official answer - only record the actual behavior for later comparison.</t>
  </si>
  <si>
    <t>QnA-39</t>
  </si>
  <si>
    <t>Added per review request 26/08/2026 (closes the gap for OTP expiry already logged in QnA-39, which previously had no accompanying TBD test case, unlike QnA-38/QnA-40 which already had one).</t>
  </si>
  <si>
    <t>SCR-AUT-02-SC1-TC6</t>
  </si>
  <si>
    <t>Entering the OTP code both ways - typing each digit manually and pasting/auto-filling from SMS</t>
  </si>
  <si>
    <t>OTP already sent successfully via any channel, currently on the OTP entry screen.</t>
  </si>
  <si>
    <t>1. Receive the OTP code, manually type each digit into the 6 input boxes, confirm the system accepts it.
2. Repeat with a new OTP code: copy the code from SMS/Zalo, try pasting it or observe whether an autofill feature appears.
3. Record whether the system supports paste/autofill or only manual typing.</t>
  </si>
  <si>
    <t>Valid OTP from the test environment (2 separate sends for step 1 and step 2).</t>
  </si>
  <si>
    <t>Step 1: manually typing each digit always works normally. Steps 2-3: TBD - whether paste/autofill OTP support exists is pending QnA-70; record the actual behavior, do not mark Pass/Fail on your own for the autofill/paste part until there is an official answer.</t>
  </si>
  <si>
    <t>QnA-70</t>
  </si>
  <si>
    <t>Added per review request 28/08/2026. Previously the OTP test cases (TC1-TC5) only assumed manual entry, the paste/autofill capability was not tested.</t>
  </si>
  <si>
    <t>SCR-AUT-02-SC2-TC1</t>
  </si>
  <si>
    <t>SCR-AUT-02-SC2</t>
  </si>
  <si>
    <t>No automatic fallback to SMS when Zalo fails - the channel must be changed manually</t>
  </si>
  <si>
    <t>OTP already sent via Zalo, the Zalo channel is simulated to fail delivery (message not received).</t>
  </si>
  <si>
    <t>1. Send OTP via Zalo (simulated as not received).
2. Wait for the Resend countdown to finish.
3. Check whether the system automatically switches to SMS (expected: no).
4. Proactively tap 'change channel' and select SMS.
5. Check the new OTP is sent via SMS.</t>
  </si>
  <si>
    <t>Test phone number, Zalo channel simulated to fail.</t>
  </si>
  <si>
    <t>Step 3: the system does NOT automatically resend via SMS. Step 5: only after the customer proactively changes the channel does the new OTP get sent via SMS.</t>
  </si>
  <si>
    <t>QnA-08</t>
  </si>
  <si>
    <t>Need Dev to technically confirm there really is no auto-fallback (OQ-08/QnA-08) - this test is used to verify the behavior before closing OQ-08.</t>
  </si>
  <si>
    <t>SCR-AUT-02-SC2-TC2</t>
  </si>
  <si>
    <t>Tapping the Resend button after the countdown ends - the new code is resent on the SAME currently selected channel, not automatically switched to SMS</t>
  </si>
  <si>
    <t>OTP already sent via Zalo (default channel), the Resend countdown has already ended, the channel has NOT been proactively changed.</t>
  </si>
  <si>
    <t>1. Wait for the Resend countdown to end, observe the Resend button switch to enabled.
2. Tap the Resend button directly (not 'change channel').
3. Observe the channel that receives the new code and the countdown state.</t>
  </si>
  <si>
    <t>Test phone number, currently selected channel is Zalo.</t>
  </si>
  <si>
    <t>Tapping Resend only resends a NEW code on the SAME currently selected Zalo channel (does not automatically switch to SMS); the Resend countdown restarts from the beginning after tapping.</t>
  </si>
  <si>
    <t>Added per review request 28/08/2026. SC2-TC1 previously only tested the branch of proactively CHANGING the channel to SMS; the behavior of the Resend button itself when the customer does NOT change channel was not tested separately.</t>
  </si>
  <si>
    <t>SCR-AUT-02-SC2-TC3</t>
  </si>
  <si>
    <t>The Resend button works correctly when the currently selected channel is SMS (not only Zalo)</t>
  </si>
  <si>
    <t>Already proactively changed the channel to SMS and successfully received an OTP via SMS.</t>
  </si>
  <si>
    <t>1. On the OTP entry screen with SMS as the currently selected channel, wait for the Resend countdown to end.
2. Tap the Resend button.
3. Observe the channel that receives the new code and the countdown state.</t>
  </si>
  <si>
    <t>Test phone number, currently selected channel is SMS (changed from Zalo).</t>
  </si>
  <si>
    <t>Resend sends the new code via the correct currently selected SMS channel (does not automatically revert to Zalo); the countdown restarts the same way as confirmed for the Zalo channel (SC2-TC2) - the Resend behavior must be consistent across both channels.</t>
  </si>
  <si>
    <t>Added per review request 28/08/2026. The previous Resend test cases (SC2-TC1, new SC2-TC2) only tested on the Zalo channel; added to ensure Resend also works correctly when the current channel is SMS.</t>
  </si>
  <si>
    <t>SCR-AUT-02-SC3-TC1</t>
  </si>
  <si>
    <t>SCR-AUT-02-SC3</t>
  </si>
  <si>
    <t>SU-09</t>
  </si>
  <si>
    <t>Registering with an already-existing phone number shows an error and the CTA switches to Sign in</t>
  </si>
  <si>
    <t>An existing Member account with phone number 0987654321.</t>
  </si>
  <si>
    <t>1. On the Signup phone number entry screen, enter '0987654321'.
2. Tap Continue / send OTP.
3. Observe the error message and the phone number input field.
4. Observe the main CTA.</t>
  </si>
  <si>
    <t>Already-registered phone number: 0987654321.</t>
  </si>
  <si>
    <t>Shows the error 'phone number is already registered'; the phone field STILL retains the value just entered; the main CTA changes to 'Sign in' with the phone number pre-filled.</t>
  </si>
  <si>
    <t>[Previous review — ALREADY ADDRESSED] The gap 'missing test for an incorrectly formatted phone number' has been closed by the new test case SCR-AUT-02-SC1-TC3. No further changes needed for this TC1.</t>
  </si>
  <si>
    <t>SCR-AUT-02-SC4-TC1</t>
  </si>
  <si>
    <t>SCR-AUT-02-SC4</t>
  </si>
  <si>
    <t>Entering a correctly formatted phone number that is NOT YET ACTIVE on the telecom network</t>
  </si>
  <si>
    <t>An existing phone number in the correct VN mobile format but not yet activated/not existing on the network (e.g. an unfunded SIM/virtual test number).</t>
  </si>
  <si>
    <t>1. Enter the not-yet-active phone number on the Register screen.
2. Tap Continue/send OTP.
3. Observe the notice and the state of the next steps (whether it allows choosing an OTP channel, whether send can be tapped).</t>
  </si>
  <si>
    <t>Correctly formatted but not-yet-active phone number (specific test data needs confirmation from the test environment).</t>
  </si>
  <si>
    <t>TBD - pending QnA-69. Record the actual behavior: does the system detect the not-yet-active number BEFORE allowing OTP to be sent, or only detect it AFTER sending (because the OTP fails to arrive).</t>
  </si>
  <si>
    <t>QnA-69</t>
  </si>
  <si>
    <t>SCR-AUT-02-SC4-TC2</t>
  </si>
  <si>
    <t>Phone number active on the telecom network but the Zalo account linked to it is NOT YET activated or has been locked</t>
  </si>
  <si>
    <t>An existing active phone number where: (a) it has never registered a Zalo account, or (b) the Zalo account has been locked.</t>
  </si>
  <si>
    <t>1. Enter the phone number on the Register screen, keep the default Zalo channel.
2. Tap send OTP.
3. Observe whether the system detects that Zalo is unavailable, and how it responds (shows an error, automatically suggests switching to SMS, or treats it as sent successfully but the customer receives nothing).</t>
  </si>
  <si>
    <t>Active phone number + Zalo not yet activated (test 1); active phone number + Zalo locked (test 2).</t>
  </si>
  <si>
    <t>TBD - pending QnA-69.</t>
  </si>
  <si>
    <t>SCR-AUT-02-SC4-TC3</t>
  </si>
  <si>
    <t>A FOREIGN phone number prefix but with a Zalo account registered in Vietnam</t>
  </si>
  <si>
    <t>An existing phone number with a foreign prefix (not +84) that already has a Zalo account registered with a different VN number or an unusual link.</t>
  </si>
  <si>
    <t>1. Enter the foreign phone number on the Register screen (if the form allows entering an international phone number).
2. Tap send OTP, keep the Zalo channel.
3. Observe whether the system accepts or rejects it right at the phone number entry step (if the app only supports VN numbers), and if accepted, whether the OTP is correctly sent to the linked Zalo account.</t>
  </si>
  <si>
    <t>Test phone number with a foreign prefix.</t>
  </si>
  <si>
    <t>TBD - pending QnA-69 (including the underlying question: does the Register app support foreign phone numbers, or does SU-01/02 only apply to VN phone numbers).</t>
  </si>
  <si>
    <t>Added per review request 28/08/2026. SRS SU-01/02 does not clarify whether the phone number format scope includes foreign numbers or only VN numbers.</t>
  </si>
  <si>
    <t>SCR-AUT-02-SC5-TC1</t>
  </si>
  <si>
    <t>SCR-AUT-02-SC5</t>
  </si>
  <si>
    <t>Force-close (kill) the app right after sending OTP, while waiting to enter the code, then reopen it</t>
  </si>
  <si>
    <t>Just tapped send OTP successfully, currently on the OTP entry screen, code not yet entered.</t>
  </si>
  <si>
    <t>1. Force-close the app entirely (not just send it to background) right after sending OTP.
2. Reopen the app from scratch (tap the icon).
3. Observe which screen the app opens into, and whether the previously sent OTP code (if still valid) can still be used.</t>
  </si>
  <si>
    <t>Test phone number, OTP just sent via any channel.</t>
  </si>
  <si>
    <t>TBD - pending QnA-71. The tester should only record the actual behavior (continues on the OTP entry screen / returns to the phone number screen / other), and must NOT mark Pass/Fail on their own.</t>
  </si>
  <si>
    <t>QnA-71</t>
  </si>
  <si>
    <t>SCR-AUT-02-SC6-TC1</t>
  </si>
  <si>
    <t>SCR-AUT-02-SC6</t>
  </si>
  <si>
    <t>SU-01, HP-06, HP-07</t>
  </si>
  <si>
    <t>Confirm all known entry points lead to the Register screen, and review for other entry points not yet tested</t>
  </si>
  <si>
    <t>Guest has no account.</t>
  </si>
  <si>
    <t>1. Tap Add to Cart on a product, on the gate bottom sheet choose 'New customer - Register', confirm it correctly opens SCR-AUT-02.
2. Repeat with the Cart icon, confirm it correctly opens SCR-AUT-02.
3. Review the SRS/Figma and the entire app (if a build is available) to find any other 'Sign up'/'Register' button/link not going through the login gate.
4. Record the full list of entry points found.</t>
  </si>
  <si>
    <t>Steps 1-2: both entry points correctly lead to SCR-AUT-02 (already confirmed in SCR-AUT-01-SC4-TC1, not repeated in detail here). Steps 3-4: TBD - pending QnA-74; if a new entry point outside the SRS is found, it must be reported back to the BA to add to the FR.</t>
  </si>
  <si>
    <t>QnA-74</t>
  </si>
  <si>
    <t>Added per review request 31/08/2026.</t>
  </si>
  <si>
    <t>SCR-AUT-03-SC1-TC1</t>
  </si>
  <si>
    <t>SCR-AUT-03-SC1</t>
  </si>
  <si>
    <t>SCR-AUT-03</t>
  </si>
  <si>
    <t>SU-04</t>
  </si>
  <si>
    <t>Creating a 6-digit PIN and matching confirmation moves to the Profile screen</t>
  </si>
  <si>
    <t>OTP just verified successfully.</t>
  </si>
  <si>
    <t>1. Enter PIN '123456' using the app's own number pad.
2. Re-enter '123456' in the confirmation field.
3. Observe the next screen.</t>
  </si>
  <si>
    <t>Test PIN: 123456.</t>
  </si>
  <si>
    <t>After the 2 entries match, it moves to SCR-AUT-04 (Profile). The keypad is the app's own keypad, not the system keyboard (avoiding predictive text/clipboard).</t>
  </si>
  <si>
    <t>SCR-AUT-03-SC2-TC1</t>
  </si>
  <si>
    <t>SCR-AUT-03-SC2</t>
  </si>
  <si>
    <t>A mismatched confirmation PIN only clears the confirmation field, the first field is retained</t>
  </si>
  <si>
    <t>Already entered the PIN the first time as '123456'.</t>
  </si>
  <si>
    <t>1. At the confirmation step, enter '654321' (different from the first PIN).
2. Observe the message and the state of the 2 input fields.
3. Re-enter '123456' correctly in the confirmation field.</t>
  </si>
  <si>
    <t>PIN 1st entry: 123456. Wrong confirmation PIN: 654321.</t>
  </si>
  <si>
    <t>Step 2: shows 'does not match', ONLY the confirmation field is cleared/reset, the first PIN field still retains '123456' (the customer is not forced to start over). Step 3: entering it correctly allows moving on to the Profile screen.</t>
  </si>
  <si>
    <t>The limit on consecutive wrong attempts before locking/restarting is still pending Security/Dev (OQ-03/QnA-03).</t>
  </si>
  <si>
    <t>SCR-AUT-03-SC2-TC2</t>
  </si>
  <si>
    <t>Tapping Back from the PIN confirmation screen returns to entering the PIN from scratch (the 1st entry is not retained)</t>
  </si>
  <si>
    <t>Already entered the PIN the first time (e.g. '123456'), currently on the confirmation screen (re-entering the PIN).</t>
  </si>
  <si>
    <t>1. On the PIN confirmation screen, tap the Back button instead of continuing to enter.
2. Observe the screen it returns to.
3. Check whether the first PIN field still retains the old value or requires an entirely new entry.</t>
  </si>
  <si>
    <t>First PIN entry: 123456.</t>
  </si>
  <si>
    <t>Tapping Back from the confirmation screen returns the customer to the exact FIRST PIN ENTRY screen and requires a NEW entry from scratch (the previous first-entry PIN value is cleared/not silently retained) - it does not allow just editing the confirmation PIN and then going back to reuse the old first-entry PIN without re-entering it.</t>
  </si>
  <si>
    <t>Added per review request 28/08/2026. The rule "Back must require a new PIN entry from scratch" per the review request, differs from the mismatch behavior in SC2-TC1 (only clears the confirmation field, retains the first field) - clearly distinguishes the 2 different triggers (automatic mismatch vs manual Back).</t>
  </si>
  <si>
    <t>SCR-AUT-03-SC2-TC3</t>
  </si>
  <si>
    <t>Entering the wrong confirmation PIN (mismatch) beyond the allowed number of consecutive attempts</t>
  </si>
  <si>
    <t>Currently on the PIN confirmation step, the first PIN has already been entered.</t>
  </si>
  <si>
    <t>1. Enter the WRONG confirmation PIN (different from the first PIN) N+1 times consecutively (N = the limit, pending confirmation at QnA-03).
2. Observe the system's behavior after exceeding the threshold.</t>
  </si>
  <si>
    <t>Fixed first PIN, wrong confirmation PIN repeated multiple times.</t>
  </si>
  <si>
    <t>TBD - pending QnA-03 (the limit on wrong OTP/PIN attempts and the behavior when exceeded - still Open, shared with SCR-AUT-05-SC4). The tester records the actual behavior (whether it locks/resets to the first PIN entry screen/locks the account), and does not mark Pass/Fail on their own.</t>
  </si>
  <si>
    <t>Added per review request 28/08/2026. SC2-TC1 currently only tests 1 mismatch; the case of exceeding the allowed number of attempts was not tested yet (similar pattern to SCR-AUT-05-SC4-TC1 for the login PIN, but this is the NEWLY CREATED PIN).</t>
  </si>
  <si>
    <t>SCR-AUT-03-SC3-TC1</t>
  </si>
  <si>
    <t>SCR-AUT-03-SC3</t>
  </si>
  <si>
    <t>The PIN keypad only accepts exactly 6 digits, blocking non-numeric characters</t>
  </si>
  <si>
    <t>Currently on the first PIN creation step (SCR-AUT-03).</t>
  </si>
  <si>
    <t>1. Observe the PIN input keypad - confirm it only has number buttons 0-9.
2. Enter 5 digits, try tapping the confirm/continue button, confirm it doesn't proceed until 6 digits are entered.
3. Enter the 6th digit, confirm the confirm/continue button activates immediately.
4. (If the app allows pasting into the PIN field) try pasting a string with letters, confirm it is rejected/the non-numeric characters are filtered out.</t>
  </si>
  <si>
    <t>'12345' (5 digits), '123456' (6 digits, complete), test paste string 'a1b2c3' (if pasting is possible).</t>
  </si>
  <si>
    <t>The keypad only has 0-9 so an incorrect format cannot be typed; with fewer than 6 digits, it cannot proceed; with 6 digits, it proceeds immediately; if paste is supported, non-numeric characters are filtered out or the entire paste is rejected.</t>
  </si>
  <si>
    <t>SCR-AUT-03-SC4-TC1</t>
  </si>
  <si>
    <t>SCR-AUT-03-SC4</t>
  </si>
  <si>
    <t>Does the system block PINs in the "weak" group (sequential digits, repeated digits, matching phone number)</t>
  </si>
  <si>
    <t>OTP just verified successfully, currently on the first PIN creation step.</t>
  </si>
  <si>
    <t>1. Try creating PIN '123456' (6 sequentially increasing digits), confirm it matches, observe whether the system blocks it.
2. Try creating PIN '111111' (6 identical digits), confirm it matches, observe.
3. Try creating a PIN matching the last 6 digits of the phone number currently being registered, confirm it matches, observe.</t>
  </si>
  <si>
    <t>Test phone number (to take the last 6 digits as the matching PIN), test PINs: 123456, 111111, PIN matching the phone number.</t>
  </si>
  <si>
    <t>TBD - pending QnA-72. Record the actual behavior for each sample PIN (accepted or rejected with what message), do not mark Pass/Fail on your own until there is an official rule set.</t>
  </si>
  <si>
    <t>QnA-72</t>
  </si>
  <si>
    <t>SCR-AUT-03-SC5-TC1</t>
  </si>
  <si>
    <t>SCR-AUT-03-SC5</t>
  </si>
  <si>
    <t>Force-close (kill) the app while creating a PIN (not yet complete) then reopen it</t>
  </si>
  <si>
    <t>OTP already verified successfully, currently on the first PIN entry screen or the confirmation screen, not yet complete.</t>
  </si>
  <si>
    <t>1. Kill the app while on the first PIN entry screen (nothing entered yet or partially entered).
2. Reopen the app, observe which screen it opens into.
3. Repeat but kill it on the PIN CONFIRMATION screen (the first PIN was entered, confirmation not yet completed), reopen the app, observe.</t>
  </si>
  <si>
    <t>Phone number with OTP already verified successfully in the test session.</t>
  </si>
  <si>
    <t>TBD - pending QnA-73. Record the actual behavior for both kill points (first entry screen / confirmation screen), do not mark Pass/Fail on your own.</t>
  </si>
  <si>
    <t>QnA-73</t>
  </si>
  <si>
    <t>SCR-AUT-04-SC1-TC1</t>
  </si>
  <si>
    <t>SCR-AUT-04-SC1</t>
  </si>
  <si>
    <t>SCR-AUT-04</t>
  </si>
  <si>
    <t>SU-05</t>
  </si>
  <si>
    <t>Not checking Terms &amp; Policy means the account cannot be created</t>
  </si>
  <si>
    <t>Already filled in Name/Gender/Date of Birth/Nationality/Registration Store, Terms NOT yet checked.</t>
  </si>
  <si>
    <t>1. Fill in the remaining required fields.
2. Do NOT check the 'Terms of Use &amp; Privacy Policy' checkbox.
3. Tap 'Create account'.
4. Check the Terms checkbox.
5. Tap 'Create account' again.</t>
  </si>
  <si>
    <t>Sample profile: Nguyen Van A, Female, 01/01/1995, Vietnam, LOTTE Mart Nam Sai Gon.</t>
  </si>
  <si>
    <t>Step 3: blocked (button disabled or an error requiring the Terms checkbox is shown), the account is NOT yet created. Step 5: after checking it, account creation succeeds.</t>
  </si>
  <si>
    <t>SCR-AUT-04-SC2-TC1</t>
  </si>
  <si>
    <t>SCR-AUT-04-SC2</t>
  </si>
  <si>
    <t>The default values of Gender and Registration Store are correct as finalized</t>
  </si>
  <si>
    <t>Already selected store 'LOTTE Mart Nam Sai Gon' at Onboarding.</t>
  </si>
  <si>
    <t>1. Go to the Profile screen, do NOT interact with the Gender and Registration Store fields.
2. Observe the pre-filled value.
3. Change Gender to 'Male' with a single tap, confirm it can be changed.</t>
  </si>
  <si>
    <t>Default Gender = 'Female' (QnA-02, finalized as-is); default Registration Store = 'LOTTE Mart Nam Sai Gon' but is still editable; changing Gender only takes 1 action.</t>
  </si>
  <si>
    <t>QnA-02</t>
  </si>
  <si>
    <t>SCR-AUT-04-SC3-TC1</t>
  </si>
  <si>
    <t>SCR-AUT-04-SC3</t>
  </si>
  <si>
    <t>SU-06, SU-08</t>
  </si>
  <si>
    <t>Creating an account automatically logs in and correctly resumes the product previously Added to Cart</t>
  </si>
  <si>
    <t>Guest tapped Add to Cart on SKU-A, was blocked by the login gate, chose Register and completed OTP+PIN.</t>
  </si>
  <si>
    <t>1. From the login gate (trigger: Add to Cart on SKU-A), complete the phone/OTP/PIN steps.
2. Fill in a valid Profile, check the Terms, tap Create account.
3. Check the login state.
4. Check whether SKU-A is in the cart.
5. If the Guest had previously created a local address, check that the address now appears in the account.</t>
  </si>
  <si>
    <t>SKU-A: any in-stock product. Local Guest address created before registration (if any).</t>
  </si>
  <si>
    <t>Step 3: already in a logged-in state right after Submit (no separate login screen). Step 4: SKU-A is already in the cart without needing to tap Add to Cart again. Step 5: the local address has been synced to the account and marked active.</t>
  </si>
  <si>
    <t>SCR-AUT-04-SC4-TC1</t>
  </si>
  <si>
    <t>SCR-AUT-04-SC4</t>
  </si>
  <si>
    <t>SU-07</t>
  </si>
  <si>
    <t>Declining the biometric prompt does not affect resuming the action</t>
  </si>
  <si>
    <t>Just created the account successfully, currently at the Face ID/fingerprint prompt.</t>
  </si>
  <si>
    <t>1. Observe that the biometric enablement prompt appears AFTER the account has been created.
2. Tap 'Skip' / 'No, thanks'.
3. Check that the resume action (e.g. adding a product to the cart) still proceeds normally.</t>
  </si>
  <si>
    <t>The prompt only appears after account creation (it does not block the account creation step). Declining it does not lose the PIN or block resume; PIN remains the main login method for next time.</t>
  </si>
  <si>
    <t>SCR-AUT-04-SC4-TC2</t>
  </si>
  <si>
    <t>Tapping 'Enable' on the biometric prompt when the device has NO conflicting ticket - enables successfully</t>
  </si>
  <si>
    <t>Just created the account successfully, currently at the Face ID/fingerprint prompt; the device has NO active bio ticket from another account.</t>
  </si>
  <si>
    <t>1. On the biometric prompt, tap 'Enable' (or equivalent, do NOT tap 'Skip').
2. Authenticate with Face ID/fingerprint as prompted by the OS.
3. Observe the result and the next screen.
4. Log out, try logging back in with biometrics to confirm the ticket was created.</t>
  </si>
  <si>
    <t>Newly created test account, test device has no other bio ticket.</t>
  </si>
  <si>
    <t>Steps 1-3: NO override warning appears (unlike SC5, which has a conflict); a successful biometric authentication creates the bio ticket immediately, without interrupting the original resume flow. Step 4: logging back in with biometrics succeeds (matches the behavior in SCR-AUT-05-SC1).</t>
  </si>
  <si>
    <t>Added per review request 31/08/2026. SC4 (existing) only tests the DECLINE branch; SC5 (existing) only tests the Enable branch WITH a ticket conflict; the simple Enable branch WITHOUT a conflict was still missing - this test case fills that gap.</t>
  </si>
  <si>
    <t>SCR-AUT-04-SC5-TC1</t>
  </si>
  <si>
    <t>SCR-AUT-04-SC5</t>
  </si>
  <si>
    <t>NFR-02, SU-07</t>
  </si>
  <si>
    <t>Override warning for the bio ticket when enabling Face ID/fingerprint on a device that already has another account's ticket</t>
  </si>
  <si>
    <t>The device already has an active bio ticket for Account A (Face ID/fingerprint was enabled previously).</t>
  </si>
  <si>
    <t>1. Log out of Account A (without disabling biometrics), log in/create Account B on the SAME device.
2. At the 'Sign in faster next time' step (SCR-AUT-04), tap 'Enable'.
3. Observe: whether the system shows a warning about overriding Account A's ticket before confirming.
4. Confirm Enable, then try logging Account A back in using Face ID/fingerprint on this device.</t>
  </si>
  <si>
    <t>Account A has biometrics enabled; new Account B (or another test account) on the same device.</t>
  </si>
  <si>
    <t>Step 3: the system shows a CLEAR warning before overriding (per NFR-02, as agreed in the proposal). Step 4: Account A can NO LONGER log in with biometrics on this device (the ticket has been overridden by Account B), it must use PIN/OTP.</t>
  </si>
  <si>
    <t>QnA-07, QnA-11</t>
  </si>
  <si>
    <t>Added per review request 28/08/2026 - closes the gap where LI-07 only had Integration tests (INT-06/INT-15). Placed at SCR-AUT-04 (per SRS slide 51), not SCR-AUT-05 (Login - Authenticate has no biometric enablement step).</t>
  </si>
  <si>
    <t>SCR-AUT-04-SC6-TC1</t>
  </si>
  <si>
    <t>SCR-AUT-04-SC6</t>
  </si>
  <si>
    <t>Check the default values of all fields on the Profile screen right when entering it</t>
  </si>
  <si>
    <t>Just created the PIN successfully at SCR-AUT-03, already selected store 'LOTTE Mart Nam Sai Gon' at Onboarding, the OTP channel used was Zalo.</t>
  </si>
  <si>
    <t>1. Go to the Profile screen, do NOT interact with anything.
2. Observe and record the current value of each field: Name, Gender, Date of Birth, Nationality, Registration Store, Terms checkbox, Marketing checkbox.</t>
  </si>
  <si>
    <t>N/A - observation of defaults only.</t>
  </si>
  <si>
    <t>Gender = 'Female'; Store = 'LOTTE Mart Nam Sai Gon' (finalized, see SC2). Terms checkbox = NOT checked (required); Marketing checkbox = NOT checked (optional) (finalized, see SC1). Name/Date of Birth/Nationality: TBD - pending QnA-75, record the actual behavior (left blank or pre-filled from the Zalo profile).</t>
  </si>
  <si>
    <t>QnA-75</t>
  </si>
  <si>
    <t>SCR-AUT-04-SC7-TC1</t>
  </si>
  <si>
    <t>SCR-AUT-04-SC7</t>
  </si>
  <si>
    <t>SU-06</t>
  </si>
  <si>
    <t>Confirm whether the 'Create account' button pushes through to a separate 'Account Created' confirmation screen</t>
  </si>
  <si>
    <t>Already filled in a valid profile, checked the Terms.</t>
  </si>
  <si>
    <t>1. Tap 'Create account'.
2. Observe the screen that appears RIGHT AFTER tapping - is it a separate 'Account Created' confirmation screen (different from the biometric prompt in SC4)?
3. If so, record the content/components on that screen.</t>
  </si>
  <si>
    <t>Sample valid profile.</t>
  </si>
  <si>
    <t>TBD - pending QnA-76.</t>
  </si>
  <si>
    <t>QnA-76</t>
  </si>
  <si>
    <t>SCR-AUT-04-SC7-TC2</t>
  </si>
  <si>
    <t>SU-06, SU-07, SU-08</t>
  </si>
  <si>
    <t>The correct order between the Account Created screen (if any), the biometric prompt, and cart resume after Submit</t>
  </si>
  <si>
    <t>The Signup flow is triggered from an 'Add to Cart' action blocked by the login gate (same context as SC3).</t>
  </si>
  <si>
    <t>1. From the login gate (trigger Add to Cart on SKU-A), complete phone/OTP/PIN/Profile, tap 'Create account'.
2. Fully record the ORDER of screens/events that appear: (a) the Account Created screen (if any, per SC7-TC1), (b) the biometric prompt (SC4), (c) the moment SKU-A appears in the cart.
3. Confirm none of these steps blocks/loses the others.</t>
  </si>
  <si>
    <t>SKU-A in stock.</t>
  </si>
  <si>
    <t>TBD - pending QnA-76 to confirm the exact order. Record the actual behavior, do not mark Pass/Fail on your own for the ordering until there is an official answer; separately, the requirement that SKU-A must ultimately be in the cart and the account must be in a logged-in state remains a mandatory PASS condition (finalized in SC3).</t>
  </si>
  <si>
    <t>SCR-AUT-04-SC8-TC1</t>
  </si>
  <si>
    <t>SCR-AUT-04-SC8</t>
  </si>
  <si>
    <t>Force-close (kill) the app while filling in the Profile (not yet Submitted) then reopen it</t>
  </si>
  <si>
    <t>Already created the PIN successfully, currently on SCR-AUT-04, already partially filled in a few fields (e.g. Name), Create account not yet tapped.</t>
  </si>
  <si>
    <t>1. Partially fill in Name and Date of Birth (not complete), kill the app.
2. Reopen the app, observe which screen it opens into.
3. If it returns to the correct Profile screen, check whether the partially entered data is still retained.</t>
  </si>
  <si>
    <t>Test name: 'Nguyen Van B' (partially entered, not Submitted).</t>
  </si>
  <si>
    <t>TBD - pending QnA-77. Record the actual behavior, do not mark Pass/Fail on your own.</t>
  </si>
  <si>
    <t>QnA-77</t>
  </si>
  <si>
    <t>SCR-AUT-05-SC1-TC1</t>
  </si>
  <si>
    <t>SCR-AUT-05-SC1</t>
  </si>
  <si>
    <t>SCR-AUT-05</t>
  </si>
  <si>
    <t>LI-02</t>
  </si>
  <si>
    <t>Logging in with Face ID/fingerprint when already enabled on the device</t>
  </si>
  <si>
    <t>The test account already has Face ID/fingerprint enabled on the device under test.</t>
  </si>
  <si>
    <t>1. Open the login screen ('Existing customer - Sign in').
2. The system automatically triggers the Face ID/fingerprint prompt.
3. Authenticate biometrically successfully.
4. Observe the result.</t>
  </si>
  <si>
    <t>Test account with a bio ticket already linked to the device.</t>
  </si>
  <si>
    <t>The biometric prompt is triggered AUTOMATICALLY (no need to enter a phone number first); a successful authentication logs in immediately and correctly resumes the action that triggered the gate (LI-03).</t>
  </si>
  <si>
    <t>SCR-AUT-05-SC1-TC2</t>
  </si>
  <si>
    <t>LI-02, NFR-02</t>
  </si>
  <si>
    <t>After the bio ticket is overridden by another account on the same device, logging back into the old account does NOT automatically show the biometric prompt anymore</t>
  </si>
  <si>
    <t>Already performed the exact scenario from SCR-AUT-04-SC5-TC1 (Account A had its bio ticket overridden by Account B on the same device).</t>
  </si>
  <si>
    <t>1. Log out of Account B, on the login screen re-enter Account A's phone number.
2. Observe whether the system automatically triggers the Face ID/fingerprint prompt.
3. Confirm Account A must log in with phone number + PIN (no more biometric path on this device).</t>
  </si>
  <si>
    <t>Account A (had its ticket overridden), Account B (current ticket owner).</t>
  </si>
  <si>
    <t>Step 2: does NOT automatically show the biometric prompt for Account A (since the device only holds 1 active ticket, currently belonging to Account B - per the finalized NFR-02/SCR-AUT-04-SC5). Step 3: Account A must use phone number + PIN as the normal fallback flow (SC2).</t>
  </si>
  <si>
    <t>Added per review request 31/08/2026. A direct consequence of the rule finalized at SCR-AUT-04-SC5 (ticket override) that had never been confirmed AT the Login screen (SCR-AUT-05); this test case closes the remaining consequence, no new QnA needed.</t>
  </si>
  <si>
    <t>SCR-AUT-05-SC1-TC3</t>
  </si>
  <si>
    <t>The 'Use PIN instead' button on the biometric prompt screen - skips biometrics, goes straight to entering the PIN</t>
  </si>
  <si>
    <t>The test account already has biometrics enabled on the device, currently at the automatic biometric prompt (SC1).</t>
  </si>
  <si>
    <t>1. When the biometric prompt appears, do NOT authenticate, find and tap the 'Use PIN instead' button (or an equivalent label).
2. Observe the screen it moves to.
3. Enter the correct PIN, confirm the login succeeds.</t>
  </si>
  <si>
    <t>Correct PIN of the test account.</t>
  </si>
  <si>
    <t>Tapping 'Use PIN instead' immediately cancels the biometric prompt and moves straight to the PIN entry screen (same as the SC2 flow); entering the correct PIN still logs in successfully as normal - biometrics is not mandatory even when enabled.</t>
  </si>
  <si>
    <t>Added per review request 31/08/2026. SC1/SC2 previously only tested each branch separately (with/without biometrics), the manual switch button WHILE the biometric prompt is showing was not tested.</t>
  </si>
  <si>
    <t>SCR-AUT-05-SC2-TC1</t>
  </si>
  <si>
    <t>SCR-AUT-05-SC2</t>
  </si>
  <si>
    <t>LI-01, LI-02</t>
  </si>
  <si>
    <t>Log in with phone number + PIN when biometrics is not available</t>
  </si>
  <si>
    <t>Test device does not have biometrics enabled.</t>
  </si>
  <si>
    <t>1. Enter the registered phone number.
2. The system goes straight to PIN entry (no biometric prompt shown).
3. Enter the correct 6-digit PIN.
4. Observe the result.</t>
  </si>
  <si>
    <t>Phone number: 0912345678 (registered). Correct PIN: 123456.</t>
  </si>
  <si>
    <t>No biometric prompt when the device does not have it enabled; entering the correct PIN logs in successfully and resumes the original action.</t>
  </si>
  <si>
    <t>SCR-AUT-05-SC2-TC2</t>
  </si>
  <si>
    <t>LI-01</t>
  </si>
  <si>
    <t>Entering an incorrectly formatted phone number on the Log in screen shows a clear error</t>
  </si>
  <si>
    <t>On the phone number entry screen of Log in (SCR-AUT-05).</t>
  </si>
  <si>
    <t>1. Enter an incorrectly formatted phone number, one at a time: '0912' (missing digits), '091234abcd' (contains letters), '912345678' (missing leading 0).
2. Tap Continue.
3. Observe the error message and the input field.</t>
  </si>
  <si>
    <t>Step 2: the system does NOT proceed to the PIN/OTP entry step. Step 3: a clear phone number format error message is shown right at the input field; the phone number field keeps the value just typed.</t>
  </si>
  <si>
    <t>Added per Review 25/08/2026 - previously only registered/unregistered phone numbers were tested, not typing an incorrectly formatted number from the start.</t>
  </si>
  <si>
    <t>SCR-AUT-05-SC2-TC3</t>
  </si>
  <si>
    <t>LI-05</t>
  </si>
  <si>
    <t>The 'Forget your PIN' button on the PIN entry screen navigates correctly to the Forgot PIN flow (SCR-AUT-06)</t>
  </si>
  <si>
    <t>On the log in PIN entry screen (SC2), no PIN entered yet or just entered incorrectly.</t>
  </si>
  <si>
    <t>1. On the PIN entry screen, find and tap 'Forget your PIN' (or an equivalent label, e.g. 'Quên PIN').
2. Observe the screen it navigates to.
3. Confirm this is indeed the existing SCR-AUT-06 (Forgot PIN) flow.</t>
  </si>
  <si>
    <t>Tapping 'Forget your PIN' navigates correctly to SCR-AUT-06 (identical to the 'Forgot PIN' flow already tested in SCR-AUT-06-SC1), not a different flow.</t>
  </si>
  <si>
    <t>Added per review request 31/08/2026. The existing SCR-AUT-06-SC1 tests the CONTENT of the Forgot PIN flow but has not clearly tested the ENTRY POINT, which is the 'Forget your PIN' button right on the log in PIN entry screen.</t>
  </si>
  <si>
    <t>SCR-AUT-05-SC3-TC1</t>
  </si>
  <si>
    <t>SCR-AUT-05-SC3</t>
  </si>
  <si>
    <t>LI-04</t>
  </si>
  <si>
    <t>Logging in with an unregistered phone number shows an error and switches the CTA to Sign up</t>
  </si>
  <si>
    <t>On the log in phone number entry screen.</t>
  </si>
  <si>
    <t>1. Enter a phone number that has never been registered (e.g. 0900000000).
2. Tap Continue.
3. Observe the message and the phone number input field.
4. Observe the main CTA.</t>
  </si>
  <si>
    <t>Unregistered phone number: 0900000000.</t>
  </si>
  <si>
    <t>Shows error 'number not registered'; the phone number field keeps its value; the main CTA changes to 'Sign up' with the phone number pre-filled.</t>
  </si>
  <si>
    <t>[Previous review — RESOLVED] The gap 'missing test for incorrectly formatted phone number at Log in' has been addressed with new test case SCR-AUT-05-SC2-TC2. No further changes needed for this TC1.</t>
  </si>
  <si>
    <t>SCR-AUT-05-SC4-TC1</t>
  </si>
  <si>
    <t>SCR-AUT-05-SC4</t>
  </si>
  <si>
    <t>LI-06</t>
  </si>
  <si>
    <t>Exceeding the incorrect PIN attempt limit forces re-authentication via OTP</t>
  </si>
  <si>
    <t>Test account, correct PIN is 123456.</t>
  </si>
  <si>
    <t>1. Enter an incorrect PIN (e.g. 111111) repeatedly, enough times to reach the limit (using the final configuration from Security/Dev; currently using N=5 as a placeholder value).
2. Observe the status after the last attempt that exceeds the threshold.
3. Confirm the system requires re-authentication via OTP before allowing further PIN entry.</t>
  </si>
  <si>
    <t>Correct PIN: 123456. Incorrect PIN used for testing: 111111. N (maximum attempts) = the official configured value from OQ-03 - UPDATE once confirmed.</t>
  </si>
  <si>
    <t>After exceeding N incorrect attempts, the system temporarily locks and requires OTP before allowing another PIN attempt; a clear lockout reason message is shown to the customer.</t>
  </si>
  <si>
    <t>The N value and lockout duration are placeholders; this test case MUST be updated as soon as OQ-03/QnA-03 is officially confirmed by BA/Security.</t>
  </si>
  <si>
    <t>[Previous review, still valid] N=5 is still just an illustrative placeholder, QnA-03/OQ-03 is still Open (no answer as of 25/08/2026). Reminder: the actual N value and lockout duration MUST be updated once Security/Dev responds, otherwise this test will pass/fail incorrectly based on assumed figures.</t>
  </si>
  <si>
    <t>SCR-AUT-05-SC4-TC2</t>
  </si>
  <si>
    <t>Entering the wrong OTP exactly once during re-authentication (after exceeding the PIN limit) - not locked further</t>
  </si>
  <si>
    <t>Already exceeded the incorrect PIN limit and at the step requiring re-authentication via OTP (continues from SCR-AUT-05-SC4-TC1).</t>
  </si>
  <si>
    <t>1. Receive the re-authentication OTP, enter it INCORRECTLY once.
2. Observe the error message.
3. Immediately re-enter the correct OTP.</t>
  </si>
  <si>
    <t>Correct OTP: valid code from the test environment. Incorrect OTP for testing: change the last digit.</t>
  </si>
  <si>
    <t>Step 2: shows the error 'Incorrect OTP code, please try again', NOT locked further/lockout duration NOT extended just because of one wrong OTP entry at this re-authentication step. Step 3: entering the correct OTP succeeds, and the user is allowed to set a new PIN or continue logging in normally.</t>
  </si>
  <si>
    <t>Added per Review 25/08/2026, continues from SCR-AUT-05-SC4-TC1.</t>
  </si>
  <si>
    <t>SCR-AUT-05-SC5-TC1</t>
  </si>
  <si>
    <t>SCR-AUT-05-SC5</t>
  </si>
  <si>
    <t>Confirm all known entry points lead to the Log in screen, and review other entry points not yet tested</t>
  </si>
  <si>
    <t>Guest or just logged out.</t>
  </si>
  <si>
    <t>1. Tap Add to Cart on a product, on the gate bottom sheet select 'Existing customer - Sign in', confirm it opens SCR-AUT-05 correctly.
2. Repeat with the Cart icon.
3. Perform Logout (per SCR-HOM-06-SC2), observe whether the Homepage after Logout shows any persistent 'Sign in' CTA (without needing to trigger the gate).
4. Review SRS/Figma to find other entry points.</t>
  </si>
  <si>
    <t>Steps 1-2: both entry points correctly lead to SCR-AUT-05 (already confirmed in SCR-AUT-01-SC1/SC2). Steps 3-4: TBD - pending QnA-78.</t>
  </si>
  <si>
    <t>QnA-78</t>
  </si>
  <si>
    <t>SCR-AUT-05-SC6-TC1</t>
  </si>
  <si>
    <t>SCR-AUT-05-SC6</t>
  </si>
  <si>
    <t>Log in to the same account on device B then return to device A - check whether device A's biometric ticket is still valid</t>
  </si>
  <si>
    <t>Account X has biometrics enabled on device A.</t>
  </si>
  <si>
    <t>1. On device B, log in to account X using phone number+PIN (biometrics not enabled on B).
2. Return to device A, open the app, observe whether the biometric prompt for account X still appears automatically.
3. If it does, try to authenticate to confirm the ticket is still valid.</t>
  </si>
  <si>
    <t>Account X, 2 test devices A and B.</t>
  </si>
  <si>
    <t>TBD - pending QnA-79.</t>
  </si>
  <si>
    <t>QnA-79</t>
  </si>
  <si>
    <t>SCR-AUT-06-SC1-TC1</t>
  </si>
  <si>
    <t>SCR-AUT-06-SC1</t>
  </si>
  <si>
    <t>SCR-AUT-06</t>
  </si>
  <si>
    <t>Forgot PIN - OTP verification required before allowing a new PIN to be set</t>
  </si>
  <si>
    <t>On the log in screen, tap 'Forgot PIN'.</t>
  </si>
  <si>
    <t>1. Tap 'Forgot PIN'.
2. Observe the phone number shown masked (partially hidden).
3. Select the OTP channel, enter the correct OTP code.
4. Enter the new PIN twice matching each other (different from the old PIN).
5. Tap Save.</t>
  </si>
  <si>
    <t>Old PIN: 123456. New PIN: 246810.</t>
  </si>
  <si>
    <t>The phone number is masked and cannot be edited directly here. Only after the correct OTP is entered can a new PIN be set. After Save, the old PIN ('123456') stops working immediately, the new PIN ('246810') becomes valid.</t>
  </si>
  <si>
    <t>SCR-AUT-06-SC1-TC2</t>
  </si>
  <si>
    <t>SU-03, LI-05</t>
  </si>
  <si>
    <t>Entering the wrong OTP exactly once during Forgot PIN, not yet locked</t>
  </si>
  <si>
    <t>On the Forgot PIN flow, just tapped send OTP.</t>
  </si>
  <si>
    <t>1. Receive a valid OTP but enter it INCORRECTLY once (change the last digit).
2. Observe the error message.
3. Immediately re-enter the correct OTP.
4. Continue setting a new PIN.</t>
  </si>
  <si>
    <t>Correct OTP: valid code from the test environment. Incorrect OTP: change the last digit of the correct code.</t>
  </si>
  <si>
    <t>Step 2: shows the error 'Incorrect OTP code, please try again', the Forgot PIN flow is NOT locked just because of one wrong entry. Steps 3-4: entering the correct OTP allows continuing to set a new PIN normally - behavior consistent with SCR-AUT-02-SC1-TC4 (sign up) and SCR-AUT-05-SC4-TC2 (re-authentication after exceeding PIN limit).</t>
  </si>
  <si>
    <t>Added per review request 27/08/2026 - SCR-AUT-06 previously had only 2 test cases, both Functional (happy-path), with no Negative case.</t>
  </si>
  <si>
    <t>SCR-AUT-06-SC1-TC3</t>
  </si>
  <si>
    <t>SU-04, LI-05</t>
  </si>
  <si>
    <t>Setting a new PIN identical to the old PIN - TBD pending QnA-56</t>
  </si>
  <si>
    <t>At the new PIN entry step in the Forgot PIN flow, OTP already verified successfully. Old PIN is 123456.</t>
  </si>
  <si>
    <t>1. Enter a new PIN identical to the old PIN: '123456'.
2. Re-enter '123456' in the confirmation field (matching).
3. Tap Save.
4. RECORD the actual behavior: does the system block/show an error 'New PIN must be different from the old PIN', or does it accept it normally.</t>
  </si>
  <si>
    <t>Old PIN: 123456. New PIN entered: 123456 (identical to old PIN).</t>
  </si>
  <si>
    <t>TBD - the Expected Result (whether an identical PIN is blocked or not) is pending answer QnA-56. The tester ONLY records the actual behavior, does not self-judge Pass/Fail.</t>
  </si>
  <si>
    <t>QnA-56</t>
  </si>
  <si>
    <t>SCR-AUT-06-SC1-TC4</t>
  </si>
  <si>
    <t>LI-05, SU-03</t>
  </si>
  <si>
    <t>The Zalo OTP channel no longer exists/is unavailable when performing Forgot PIN</t>
  </si>
  <si>
    <t>On the Forgot PIN flow, the test account's phone number has a Zalo account linked to it that has been locked/no longer exists.</t>
  </si>
  <si>
    <t>1. Tap 'Forgot PIN', the system shows the masked phone number.
2. Select/keep the default Zalo channel, tap send OTP.
3. Observe how the system reacts when Zalo is unavailable (shows an error, automatically suggests changing channel, or treats it as sent successfully).</t>
  </si>
  <si>
    <t>Test phone number with Zalo unavailable.</t>
  </si>
  <si>
    <t>TBD - pending QnA-80.</t>
  </si>
  <si>
    <t>QnA-80</t>
  </si>
  <si>
    <t>Added per review request 31/08/2026. Similar to QnA-69/SCR-AUT-02-SC4 but specific to the Forgot PIN flow (SCR-AUT-06), which is a different screen from SCR-AUT-02.</t>
  </si>
  <si>
    <t>SCR-AUT-06-SC1-TC5</t>
  </si>
  <si>
    <t>LI-05, SU-04</t>
  </si>
  <si>
    <t>Back to the previous step after OTP verification (new PIN not yet Saved) - logging in again with the OLD PIN still works</t>
  </si>
  <si>
    <t>OTP already verified successfully in the Forgot PIN flow, at the new PIN entry step, Save NOT tapped yet.</t>
  </si>
  <si>
    <t>1. At the new PIN entry step, tap Back to return to the log in screen (abandon the Forgot PIN flow).
2. Enter the phone number, enter the OLD PIN (the PIN before starting Forgot PIN).
3. Observe the log in result.</t>
  </si>
  <si>
    <t>Old PIN: 123456 (never changed since the new PIN was not Saved).</t>
  </si>
  <si>
    <t>Logging in with the OLD PIN still succeeds normally - because the PIN is only actually replaced AFTER Save is tapped at the final step (already confirmed in SC1: "setting a new PIN successfully fully replaces the old PIN"); abandoning the Forgot PIN flow midway (without Save) must not invalidate the old PIN.</t>
  </si>
  <si>
    <t>Added per review request 31/08/2026. A direct consequence derived from the rule already confirmed in SC1 (the old PIN only becomes invalid AFTER Save), no new QnA needed; this test case confirms that rule holds true even when the user abandons the flow midway via Back.</t>
  </si>
  <si>
    <t>SCR-AUT-06-SC2-TC1</t>
  </si>
  <si>
    <t>SCR-AUT-06-SC2</t>
  </si>
  <si>
    <t>LI-03, LI-05</t>
  </si>
  <si>
    <t>After resetting the PIN, automatically logged in, resumes the original action, and does not affect the biometric ticket</t>
  </si>
  <si>
    <t>New PIN setup completed successfully; the account previously had Face ID enabled.</t>
  </si>
  <si>
    <t>1. Observe the login status right after Saving the new PIN.
2. Check whether the resume action (e.g. opening Cart) is performed automatically.
3. Log out, log back in using Face ID to check whether the biometric ticket is still valid.</t>
  </si>
  <si>
    <t>Account had Face ID enabled before resetting the PIN.</t>
  </si>
  <si>
    <t>Step 1: already logged in with no additional steps needed. Step 2: the original action (opening Cart) is performed automatically. Step 3: Face ID still logs in successfully - resetting the PIN does NOT revoke the biometric ticket.</t>
  </si>
  <si>
    <t>SCR-AUT-06-SC3-TC1</t>
  </si>
  <si>
    <t>SCR-AUT-06-SC3</t>
  </si>
  <si>
    <t>LI-05, SU-01</t>
  </si>
  <si>
    <t>Phone number revoked and reassigned to a new user - check the possibility of taking over the old account via Forgot PIN</t>
  </si>
  <si>
    <t>Test phone number linked to Account A (a Member with existing data: address, order history); the tester simulates being the "new owner" of the phone number, only able to receive OTP, not knowing the old PIN.</t>
  </si>
  <si>
    <t>1. On the log in screen, enter Account A's phone number correctly, tap 'Forgot PIN'.
2. Receive the OTP sent to that phone number correctly (acting as the new owner of the number), enter the correct OTP.
3. Set any new PIN, tap Save.
4. Observe whether all of Account A's data (address, order history, reward points) can be accessed.</t>
  </si>
  <si>
    <t>Test phone number linked to Account A with sample data.</t>
  </si>
  <si>
    <t>TBD - pending QnA-81. Record the actual behavior (whether setting a new PIN and accessing all of Account A's data is allowed just by owning the phone number), do NOT self-judge Pass/Fail - this is a security question that requires BA/Security confirmation on whether this is ACCEPTABLE behavior before a result can be scored.</t>
  </si>
  <si>
    <t>QnA-81</t>
  </si>
  <si>
    <t>SCR-CRT-01-SC1-TC1</t>
  </si>
  <si>
    <t>SCR-CRT-01-SC1</t>
  </si>
  <si>
    <t>SCR-CRT-01</t>
  </si>
  <si>
    <t>CT-03</t>
  </si>
  <si>
    <t>The Freeship progress bar shows the correct remaining amount needed to reach the 150,000đ threshold</t>
  </si>
  <si>
    <t>Cart currently totals 117,000đ (Standard, not yet free shipping).</t>
  </si>
  <si>
    <t>1. Open Cart, Standard tab.
2. Observe the Freeship progress bar.
3. Add a 33,000đ product to the cart.
4. Observe the progress bar again.</t>
  </si>
  <si>
    <t>Initial cart: 117,000đ. Product added: 33,000đ (bringing total to 150,000đ).</t>
  </si>
  <si>
    <t>Step 2: shows '33,000đ left to get free delivery'. Step 4: after adding the full 33,000đ, the progress bar shows freeship reached, Standard delivery fee = 0đ.</t>
  </si>
  <si>
    <t>QnA-15</t>
  </si>
  <si>
    <t>The specific product suggestion list to reach the threshold is still pending the official logic (OQ-15/QnA-15).</t>
  </si>
  <si>
    <t>SCR-CRT-01-SC2-TC1</t>
  </si>
  <si>
    <t>SCR-CRT-01-SC2</t>
  </si>
  <si>
    <t>CT-04</t>
  </si>
  <si>
    <t>Combining the 60-Minute and BNPL filters gives the correct (AND) intersection result</t>
  </si>
  <si>
    <t>Cart has SKU-A (60-Minute only), SKU-B (BNPL only), SKU-C (both), SKU-D (neither).</t>
  </si>
  <si>
    <t>1. Turn on only the '60-Minute eligible' filter. Observe the remaining list.
2. Turn off the 60-Minute filter, turn on only the 'BNPL eligible' filter. Observe the list.
3. Turn on BOTH filters at the same time. Observe the list.</t>
  </si>
  <si>
    <t>SKU-A, SKU-B, SKU-C, SKU-D as described.</t>
  </si>
  <si>
    <t>Step 1: only SKU-A, SKU-C remain. Step 2: only SKU-B, SKU-C remain. Step 3: only SKU-C remains (intersection of both conditions).</t>
  </si>
  <si>
    <t>QnA-42</t>
  </si>
  <si>
    <t>Question QnA-42 (26/08/2026) was sent about whether the 60-Minute/BNPL condition is calculated per SKU or per order, currently still Open. This test keeps the 'per SKU' assumption until an official answer is given; update the Test Data/Expected Result as soon as QnA-42 is answered.</t>
  </si>
  <si>
    <t>SCR-CRT-01-SC3-TC1</t>
  </si>
  <si>
    <t>SCR-CRT-01-SC3</t>
  </si>
  <si>
    <t>CT-06</t>
  </si>
  <si>
    <t>Out-of-stock product is split into its own group, the remaining items can still Proceed to Checkout</t>
  </si>
  <si>
    <t>Cart has SKU-X (in stock), SKU-Y (in stock), SKU-Z (just went out of stock).</t>
  </si>
  <si>
    <t>1. Simulate SKU-Z changing to out-of-stock status while in Cart.
2. Refresh/observe the cart.
3. Check whether SKU-Z has a replacement suggestion or a back-in-stock notification signup.
4. Tap Proceed to Checkout.</t>
  </si>
  <si>
    <t>SKU-X, SKU-Y: in stock. SKU-Z: went out of stock midway.</t>
  </si>
  <si>
    <t>Step 2: SKU-Z moves into a separate 'unavailable' group, split from SKU-X/Y. Step 3: a replacement suggestion/back-in-stock signup is offered for SKU-Z. Step 4: Proceed to Checkout succeeds with SKU-X, SKU-Y (SKU-Z is not counted in the order).</t>
  </si>
  <si>
    <t>QnA-05</t>
  </si>
  <si>
    <t>SCR-CRT-01-SC4-TC1</t>
  </si>
  <si>
    <t>SCR-CRT-01-SC4</t>
  </si>
  <si>
    <t>TBD: check the PwP tile status after the countdown timer reaches 0</t>
  </si>
  <si>
    <t>Cart currently shows a PwP tile with a countdown of less than 1 minute remaining (simulate system time or use existing test data with a short countdown).</t>
  </si>
  <si>
    <t>1. Observe the PwP tile and countdown timer.
2. Wait for the countdown to reach 0 (or simulate the time).
3. Observe the PwP tile status right after it reaches 0.
4. Try interacting (add to cart) with that PwP offer.</t>
  </si>
  <si>
    <t>1 PwP tile with a countdown close to expiring (test data needs to be prepared separately to shorten the wait time).</t>
  </si>
  <si>
    <t>TBD - the SRS does not yet describe the behavior when the countdown expires (hidden? locked with 'Expired' label? still shown but the deal price no longer applies?). Record the actual behavior and cross-check against the QnA-28 answer before finalizing Pass/Fail.</t>
  </si>
  <si>
    <t>QnA-28</t>
  </si>
  <si>
    <t>This test case will be rewritten in more detail (specific Expected Result) as soon as QnA-28 is answered by BA/LOTTE MART.</t>
  </si>
  <si>
    <t>This test is currently marked TBD because the SRS does not clearly state what happens when the PwP countdown expires. The tester MUST NOT self-judge Pass/Fail for this test - must wait for the QnA-28 answer first.</t>
  </si>
  <si>
    <t>SCR-CRT-01-SC5-TC1</t>
  </si>
  <si>
    <t>SCR-CRT-01-SC5</t>
  </si>
  <si>
    <t>Gift item accompanying a promotion goes out of stock - TBD pending QnA-22</t>
  </si>
  <si>
    <t>Cart has 1 main product + 1 gift item given by an active promotion.</t>
  </si>
  <si>
    <t>1. Confirm the gift item is showing in the cart, linked to the currently applied promotion.
2. Simulate the gift item going out of stock.
3. Observe the status of the promotion and the gift item in the cart.
4. RECORD the actual behavior: is the promotion fully cancelled, is the gift item replaced, or is checkout blocked for the order.</t>
  </si>
  <si>
    <t>Main product: any in-stock SKU. Gift item: test SKU 'GIFT-PROMO-01' simulated as out of stock in step 2.</t>
  </si>
  <si>
    <t>TBD - SRS/BRL-34 does not yet state the rule for handling an out-of-stock gift item. The tester records the actual behavior (steps 3-4) to cross-check against the QnA-22 answer, does not self-judge Pass/Fail.</t>
  </si>
  <si>
    <t>QnA-22</t>
  </si>
  <si>
    <t>Added per Review 26/08/2026 - closes the gap 'QnA-22 not linked to any test case' from the Review - Gaps &amp; Issues.</t>
  </si>
  <si>
    <t>SCR-CRT-01-SC6-TC1</t>
  </si>
  <si>
    <t>SCR-CRT-01-SC6</t>
  </si>
  <si>
    <t>CT-02</t>
  </si>
  <si>
    <t>SKU restricted to one fulfillment method (Delivery only or Pickup only) when the customer is on the unsupported tab - TBD pending QnA-14</t>
  </si>
  <si>
    <t>Cart has 1 SKU assumed to support Delivery only (SKU-DeliveryOnly).</t>
  </si>
  <si>
    <t>1. Add SKU-DeliveryOnly to the cart while on the Delivery tab - confirm it can be added normally.
2. Switch to the Pickup tab in Cart.
3. Observe SKU-DeliveryOnly in the product list on the Pickup tab.
4. RECORD the actual behavior: is the SKU hidden, disabled with a note, or still shown normally (no restriction).</t>
  </si>
  <si>
    <t>SKU-DeliveryOnly: test SKU assumed to support Delivery only (simulated configuration, since the SRS has not confirmed this SKU type exists - QnA-14).</t>
  </si>
  <si>
    <t>TBD - if QnA-14 confirms that fulfillment-restricted SKUs DO exist, that SKU must be clearly handled (hidden/disabled/error) on the unsupported tab, the customer must not be allowed to select it by mistake and hit an error later. If QnA-14 confirms NO SKU is restricted, this test case can be closed (N/A).</t>
  </si>
  <si>
    <t>QnA-14</t>
  </si>
  <si>
    <t>Added per Review 26/08/2026 - closes the gap 'QnA-14 not linked to any test case' from the Review - Gaps &amp; Issues.</t>
  </si>
  <si>
    <t>SCR-CRT-01-SC7-TC1</t>
  </si>
  <si>
    <t>SCR-CRT-01-SC7</t>
  </si>
  <si>
    <t>Reaching the spend threshold → PwP tile switches from locked to unlocked</t>
  </si>
  <si>
    <t>Cart currently shows a PwP tile in locked status with the message 'Buy X more to unlock'.</t>
  </si>
  <si>
    <t>1. Observe the PwP tile in locked status, note the remaining spend threshold.
2. Add the exact missing product/quantity to the cart to reach the threshold.
3. Observe the PwP tile again right after adding (without reloading the page).
4. Try adding the PwP product to the cart at the deal price.</t>
  </si>
  <si>
    <t>Initial cart is exactly 1 product unit away from the PwP threshold.</t>
  </si>
  <si>
    <t>Right after step 2, the PwP tile automatically switches from locked to UNLOCKED (no reload needed), shows the deal price; step 4 successfully adds the PwP product to the cart at the exact deal price shown.</t>
  </si>
  <si>
    <t>Added per review request 28/08/2026 - tests the original CT-06 mechanism (spend milestone), different from SCR-CRT-01-SC4-TC1 (countdown expiry, QnA-28).</t>
  </si>
  <si>
    <t>SCR-CRT-01-SC8-TC1</t>
  </si>
  <si>
    <t>SCR-CRT-01-SC8</t>
  </si>
  <si>
    <t>CT-02 · CT-07</t>
  </si>
  <si>
    <t>Persistent serving store display + 'Change ›' button opens a filtered store sheet, changing to an impactful store shows a merge warning</t>
  </si>
  <si>
    <t>On SCR-CRT-01, cart has SKU-X/Y/Z from the current store 'Nam Sài Gòn', address '123 Nguyễn Thị Thập, Q.7'.</t>
  </si>
  <si>
    <t>1. Scroll the Cart screen, confirm the line 'Serving store: LOTTE Mart Nam Sài Gòn' is shown persistently (even when scrolling the product list).
2. Tap 'Change ›'.
3. Check the store list: only stores that can serve the Q.7 address; confirm 1 test store that does NOT serve this address does NOT appear.
4. Select 'LOTTE Mart Tân Bình' (assumed to lack some SKUs/not sell some SKUs and only has Standard).
5. Observe the impact warning.
6. Tap Cancel, check the store + cart remain unchanged.</t>
  </si>
  <si>
    <t>Current store: Nam Sài Gòn (2.1km, 60-Minute + Standard). Store changing to: Tân Bình (6.8km, Standard only), has SKU-Z out of stock + SKU-Y not sold. Non-serving test store: 1 store outside the coverage area.</t>
  </si>
  <si>
    <t>S1: the serving store is always shown. S3: the non-serving store is not in the list (cannot be selected). S5: shows a single merge warning clearly listing each affected SKU (out of stock / no longer sold / price change) + service (loses 60-Minute) + slot; has Cancel / Continue buttons. S6: Cancel keeps the Nam Sài Gòn store, cart does NOT change. Warning design when multiple groups are affected at once: TBD per QnA-25.</t>
  </si>
  <si>
    <t>QnA-25</t>
  </si>
  <si>
    <t>Added per review request 31/08/2026 - does not repeat the deep testing of SCR-CRT-06-SC1/SC2; this TC confirms the entry point from SCR-CRT-01 + the serving store display.</t>
  </si>
  <si>
    <t>SCR-CRT-01-SC9-TC1</t>
  </si>
  <si>
    <t>SCR-CRT-01-SC9</t>
  </si>
  <si>
    <t>Delivery block carried-from-Homepage displays correctly + 'Edit' button behavior for changing address / changing slot - TBD pending QnA-82</t>
  </si>
  <si>
    <t>On Homepage, selected address 'A' + Standard + slot 'Today 15:00-18:00', enters Cart, cart has products.</t>
  </si>
  <si>
    <t>1. Observe the delivery block: address, recipient name+phone, service, slot, 'Carried from Homepage' label.
2. Compare each field against the selections made on Homepage.
3. Tap 'Edit' next to the address - RECORD which screen opens (address list SCR-HOM-03 / create address SCR-HOM-02 / another screen).
4. Select a different address 'B' (belonging to a different store) - RECORD whether the system re-resolves the serving store + shows a merged impact warning, or changes it silently.
5. Tap 'Edit' next to service/slot - RECORD whether the slot selection screen (SCR-CRT-07) opens.</t>
  </si>
  <si>
    <t>Address A (Nam Sài Gòn store), address B (Tân Bình store), cart has SKUs with different prices/stock between the 2 stores.</t>
  </si>
  <si>
    <t>S1-2: the delivery block matches 100% the Homepage selections, the customer does not have to re-enter anything. S3-5: TBD - pending QnA-82. The tester does NOT self-judge Pass/Fail for the Edit button behavior; only records the destination screen + whether an impact warning is or isn't shown when changing the address with an existing cart.</t>
  </si>
  <si>
    <t>QnA-82</t>
  </si>
  <si>
    <t>SCR-CRT-01-SC10-TC1</t>
  </si>
  <si>
    <t>SCR-CRT-01-SC10</t>
  </si>
  <si>
    <t>Selecting BNPL when the cart has a SKU not eligible for BNPL, then Proceed to Checkout - TBD pending QnA-83</t>
  </si>
  <si>
    <t>Cart has SKU-BNPL-OK (eligible) and SKU-BNPL-NO (not eligible for BNPL).</t>
  </si>
  <si>
    <t>1. Turn on the 'BNPL eligible' filter, confirm only SKU-BNPL-OK is shown (assuming it's evaluated per SKU - QnA-42).
2. Turn off the filter, select the BNPL payment method/label for the order.
3. Tap 'Proceed to Checkout'.
4. RECORD the behavior: is it blocked, what message is shown, is BNPL pre-selected at SCR-CHK-02 / is it hidden, is the order split.</t>
  </si>
  <si>
    <t>SKU-BNPL-OK, SKU-BNPL-NO.</t>
  </si>
  <si>
    <t>S1: the filter correctly shows the eligible SKU. S3-4: TBD - pending QnA-83 (checkout behavior) &amp; QnA-42 (per-SKU or per-order condition). The tester records the actual behavior, does not self-judge Pass/Fail.</t>
  </si>
  <si>
    <t>QnA-83, QnA-42</t>
  </si>
  <si>
    <t>SCR-CRT-01-SC11-TC1</t>
  </si>
  <si>
    <t>SCR-CRT-01-SC11</t>
  </si>
  <si>
    <t>Rule for displaying products in the PwP section ('Add-on Hot Deal') - TBD pending QnA-84</t>
  </si>
  <si>
    <t>On SCR-CRT-01, store has a PwP promotion configured.</t>
  </si>
  <si>
    <t>1. With cart configuration A (e.g. contains juice), observe the PwP tiles shown: which products, how many tiles, order.
2. Switch to cart configuration B (no juice), observe the PwP section again.
3. Cross-check against the store's promotion configuration (if accessible) and the account's purchase history.
4. RECORD the inferred rule.</t>
  </si>
  <si>
    <t>Cart A (has a PwP-triggering SKU), cart B (does not), account with purchase history.</t>
  </si>
  <si>
    <t>TBD - pending QnA-84 (and OQ-17/QnA-17). Record the actual behavior, do not self-judge Pass/Fail.</t>
  </si>
  <si>
    <t>QnA-84, QnA-17</t>
  </si>
  <si>
    <t>SCR-CRT-01-SC11-TC2</t>
  </si>
  <si>
    <t>'View ›' button behavior on the PwP tile - TBD pending QnA-84</t>
  </si>
  <si>
    <t>On SCR-CRT-01, &gt;=1 PwP tile shown (locked or unlocked).</t>
  </si>
  <si>
    <t>1. Tap 'View ›' on 1 LOCKED PwP tile.
2. RECORD the screen that opens (full list of PwP products / a single deal's detail / added straight to cart / a message saying the threshold must be reached first).
3. Tap 'View ›' on 1 UNLOCKED PwP tile.
4. RECORD the screen that opens and whether a product can be added to the cart at the deal price.</t>
  </si>
  <si>
    <t>1 locked PwP tile, 1 unlocked PwP tile.</t>
  </si>
  <si>
    <t>TBD - pending QnA-84. Record the actual destination screen for both statuses, do not self-judge Pass/Fail.</t>
  </si>
  <si>
    <t>QnA-84</t>
  </si>
  <si>
    <t>Added per review request 31/08/2026 - separately answers the review question 'behavior of the View button unlocking PwP'.</t>
  </si>
  <si>
    <t>SCR-CRT-01-SC12-TC1</t>
  </si>
  <si>
    <t>SCR-CRT-01-SC12</t>
  </si>
  <si>
    <t>CT-06 · BRL-32</t>
  </si>
  <si>
    <t>Coupons apply automatically by default and are presented in 2 groups (delivery / order-product)</t>
  </si>
  <si>
    <t>Account has &gt;=1 delivery coupon and &gt;=1 order/product coupon both eligible for the current cart.</t>
  </si>
  <si>
    <t>1. Open Cart, DO NOT interact with coupons.
2. Observe the Coupon section: is any coupon auto-applied, does it show 'N applied automatically'.
3. Open the details, confirm coupons are clearly split into 2 groups: delivery coupons and order/product coupons.
4. Compare the discount amount of each group against the 'Delivery discount' / 'Product discount' lines in the provisional summary.
5. Proceed to Checkout, confirm the coupon is shown again for confirmation (BRL-32).</t>
  </si>
  <si>
    <t>Delivery coupon 'FREESHIP15' (−15,000đ), product coupon 'SALE40' (−40,000đ).</t>
  </si>
  <si>
    <t>S2: eligible coupons auto-apply without any action needed. S3: the 2 coupon groups are clearly separated. S4: the discount amounts match the provisional summary under the correct group. S5: the coupon reappears at Checkout for confirmation. Rule for choosing a coupon when multiple coupons are eligible + toggling/changing coupon: see SC12-TC2 (TBD QnA-85).</t>
  </si>
  <si>
    <t>SCR-CRT-01-SC12-TC2</t>
  </si>
  <si>
    <t>Rule for auto-selecting a coupon when multiple coupons are eligible + behavior when tapping the Coupon section - TBD pending QnA-85</t>
  </si>
  <si>
    <t>In 1 group (e.g. order/product), &gt;=2 coupons are equally eligible with different discount values.</t>
  </si>
  <si>
    <t>1. Observe which coupon the system AUTO-selects to apply in a group with multiple eligible coupons.
2. Tap the section 'Coupons · N applied automatically ›'.
3. RECORD the screen that opens: a list of coupons to toggle on/off/change/enter a code, or just a detail view.
4. Try TURNING OFF 1 auto-applied coupon / CHANGING to a different coupon in the same group.
5. RECORD whether the system allows this and how the provisional summary updates.</t>
  </si>
  <si>
    <t>Coupons 'SALE40' (−40,000đ) and 'SALE30' (−30,000đ) in the same group, both eligible.</t>
  </si>
  <si>
    <t>TBD - pending QnA-85 (coupon selection rule + whether the customer can toggle/change + destination screen when tapping the section). Record the actual behavior, do not self-judge Pass/Fail.</t>
  </si>
  <si>
    <t>QnA-85</t>
  </si>
  <si>
    <t>SCR-CRT-01-SC13-TC1</t>
  </si>
  <si>
    <t>SCR-CRT-01-SC13</t>
  </si>
  <si>
    <t>CT-03 · CT-06</t>
  </si>
  <si>
    <t>Increasing the quantity of a SKU already in the cart automatically unlocks freeship and PwP in real time</t>
  </si>
  <si>
    <t>Cart at 117,000đ (below 150,000đ), currently showing 1 locked PwP tile with the message 'buy 1 more SKU-J to unlock'; SKU-J priced at 33,000đ currently has quantity 1 in the cart.</t>
  </si>
  <si>
    <t>1. Record: the freeship bar '33,000đ left...', the PwP tile locked, the provisional total.
2. Tap '+' to increase SKU-J's quantity from 1 to 2 (adds 33,000đ, total = 150,000đ).
3. Observe IMMEDIATELY (without reloading): the freeship bar, the PwP tile, the provisional payment summary.</t>
  </si>
  <si>
    <t>SKU-J 33,000đ, initial cart 117,000đ.</t>
  </si>
  <si>
    <t>S3: the freeship bar shows the threshold reached, Standard fee = 0đ; the PwP tile switches to UNLOCKED (shows the deal price); the provisional payment summary updates in real time - all without reloading the page. Unlocking by increasing quantity gives the exact same result as adding a new SKU (SC1/SC7).</t>
  </si>
  <si>
    <t>SCR-CRT-01-SC14-TC1</t>
  </si>
  <si>
    <t>SCR-CRT-01-SC14</t>
  </si>
  <si>
    <t>Rule for displaying 'Replace' vs 'Notify when in stock' + behavior when tapping - TBD pending QnA-86</t>
  </si>
  <si>
    <t>Cart sub-state has an 'Out of stock' group with &gt;=2 out-of-stock SKUs.</t>
  </si>
  <si>
    <t>1. For each out-of-stock SKU, record which button is shown: 'Replace with a similar item ›', 'Notify me when it is back ›', or both.
2. Compare the characteristics of the 2 SKUs (category, price, brand, whether similar in-stock products exist) to infer the rule.
3. Check whether an expected restock time is shown for any SKU.
4. Tap 'Replace with a similar item ›' - RECORD the screen that opens (a list of suggestions to choose from / auto-swap).
5. Tap 'Notify me when it is back ›' - RECORD how the signup is confirmed + the channel.</t>
  </si>
  <si>
    <t>SKU 'Norwegian salmon 300g', SKU 'Imported grapes 500g' (both out of stock).</t>
  </si>
  <si>
    <t>TBD - pending QnA-86. Record the actual behavior at all steps, do not self-judge Pass/Fail.</t>
  </si>
  <si>
    <t>QnA-86, QnA-05</t>
  </si>
  <si>
    <t>SCR-CRT-01-SC15-TC1</t>
  </si>
  <si>
    <t>SCR-CRT-01-SC15</t>
  </si>
  <si>
    <t>CT-06 · CO-08 · BRL-34</t>
  </si>
  <si>
    <t>Provisional payment summary shows every line correctly and the math checks out, recomputes in real time</t>
  </si>
  <si>
    <t>Known cart: 3 SKUs totaling 486,000đ; product coupon −40,000đ; Standard service, total &gt; 150,000đ.</t>
  </si>
  <si>
    <t>1. Open the provisional payment summary, compare each line: Order value, Product discount, Delivery discount, Delivery fee, (Nylon bag / Bulky surcharge if any), Amount payable.
2. Calculate manually: Amount payable = Order value − Product discount − Delivery discount + Delivery fee + surcharges.
3. Compare the manual calculation with the number shown by the system.
4. Remove 1 SKU from the cart, observe the whole summary recalculate immediately.
5. Remove the coupon (if allowed) or switch the service to 60-Minute, observe the Delivery fee + Amount payable update.</t>
  </si>
  <si>
    <t>SKUs 196,000/78,000/112,000...; coupon 'SALE40' −40,000đ.</t>
  </si>
  <si>
    <t>S1-3: every line matches the BRL-34 rule and the math is correct; Delivery fee = 0đ (Standard, &gt;=150,000đ - BRL-19); Amount payable = the correct total. S4-5: the summary recomputes in real time, no discrepancy after the change. The 'nylon bag' line: TBD per QnA-16 (whether a packaging fee is charged or not).</t>
  </si>
  <si>
    <t>QnA-16</t>
  </si>
  <si>
    <t>SCR-CRT-01-SC16-TC1</t>
  </si>
  <si>
    <t>SCR-CRT-01-SC16</t>
  </si>
  <si>
    <t>How long an out-of-stock SKU stays in the group + behavior when the SKU is back in stock - TBD pending QnA-05 &amp; QnA-87</t>
  </si>
  <si>
    <t>Cart sub-state has an 'Out of stock' group; 1 SKU already has 'Notify me when it is back' tapped.</t>
  </si>
  <si>
    <t>1. Record the moment SKU-Z enters the out-of-stock group.
2. Track/monitor across time points (simulate if needed), record when SKU-Z is completely removed from the group/cart.
3. Simulate SKU-Z coming back in stock WHILE the customer still has Cart open - observe whether it automatically moves back to the 'Available' group + an in-place notification.
4. Simulate SKU-W (already signed up for Notify) coming back in stock when the customer does NOT have the app open - record the channel + notification content, whether it deep-links back to Cart.
5. For the SKU removed in step 2, when it comes back in stock - record whether it is automatically re-added to the cart.</t>
  </si>
  <si>
    <t>SKU-Z (out of stock, not signed up), SKU-W (out of stock, signed up for Notify).</t>
  </si>
  <si>
    <t>TBD - the retention time is pending QnA-05; the back-in-stock behavior is pending QnA-87. Record the actual behavior, do not self-judge Pass/Fail.</t>
  </si>
  <si>
    <t>QnA-05, QnA-87</t>
  </si>
  <si>
    <t>SCR-CRT-02-SC1-TC1</t>
  </si>
  <si>
    <t>SCR-CRT-02-SC1</t>
  </si>
  <si>
    <t>SCR-CRT-02</t>
  </si>
  <si>
    <t>CT-08</t>
  </si>
  <si>
    <t>The 60-Minute fee is not waived even though the cart has exceeded the 150,000đ Standard freeship threshold</t>
  </si>
  <si>
    <t>Cart totals 200,000đ (over 150,000đ), address within the 60-Minute radius.</t>
  </si>
  <si>
    <t>1. Ensure the cart is &gt;=150,000đ.
2. Select the 60-Minute service (instead of Standard).
3. Observe the delivery fee line in the payment summary.
4. (Control check) Switch back to Standard, observe the fee line again.</t>
  </si>
  <si>
    <t>Cart: 200,000đ. Service: 60-Minute vs Standard.</t>
  </si>
  <si>
    <t>Step 3: the 60-Minute fee is STILL charged (not reduced to 0) even though the cart exceeds 150,000đ. Step 4: switching back to Standard, the delivery fee returns to 0đ (freeship correctly applies to Standard).</t>
  </si>
  <si>
    <t>QnA-33</t>
  </si>
  <si>
    <t>Also cross-check against QnA-33 regarding whether the Standard fee may vary by time slot - needs monitoring for updates.</t>
  </si>
  <si>
    <t>SCR-CRT-02-SC2-TC1</t>
  </si>
  <si>
    <t>SCR-CRT-02-SC2</t>
  </si>
  <si>
    <t>The 60-Minute slot-running-low warning appears exactly when the remaining count equals the configured threshold</t>
  </si>
  <si>
    <t>Test store configured with 2 remaining 60-Minute slots for the current time slot.</t>
  </si>
  <si>
    <t>1. Observe Cart when remaining slots = 2 (above the threshold of 1, no warning yet).
2. Simulate another order taking 1 slot, remaining = 1 (equal to the threshold).
3. Refresh Cart, observe the warning.</t>
  </si>
  <si>
    <t>Configured threshold: 1 remaining slot. Initial slots: 2, then: 1.</t>
  </si>
  <si>
    <t>Step 1: no warning. Step 3: the warning appears as soon as remaining = 1, clearly stating 1 slot left.</t>
  </si>
  <si>
    <t>SCR-CRT-02-SC3-TC1</t>
  </si>
  <si>
    <t>SCR-CRT-02-SC3</t>
  </si>
  <si>
    <t>Selecting 60-Minute succeeds when slots are healthy, completes Proceed to Checkout</t>
  </si>
  <si>
    <t>Address within a 3-5km radius of the store, cart has only 60-Minute-eligible products, store still has plenty of slots (above the warning threshold).</t>
  </si>
  <si>
    <t>1. Go to Cart, switch to the Delivery tab, select the '60-Minute' service.
2. Observe: the expected delivery time ('Arrives by...'), remaining slots, 25,000đ fee.
3. Confirm the product list only contains 60-Minute-eligible items.
4. Tap 'Proceed to Checkout'.</t>
  </si>
  <si>
    <t>Address 4km from the store (within the 60-Minute radius); cart contains 2 SKUs both labeled 60-Minute eligible.</t>
  </si>
  <si>
    <t>60-Minute is selected successfully, shows the correct delivery time/fee/remaining slots; Proceed to Checkout moves to SCR-CHK-01 with the 60-Minute service selected, no warning shown (since slots are healthy).</t>
  </si>
  <si>
    <t>SCR-CRT-02-SC4-TC1</t>
  </si>
  <si>
    <t>SCR-CRT-02-SC4</t>
  </si>
  <si>
    <t>60-Minute is fully out of slots (Closed) at SCR-CRT-02 - TBD pending QnA-65</t>
  </si>
  <si>
    <t>Store configured with 0 60-Minute slots for the current time slot.</t>
  </si>
  <si>
    <t>1. Go to Cart, switch to the Delivery tab, try to select the '60-Minute' service.
2. RECORD: is the 60-Minute service hidden/disabled from the start, or still selectable and only then shows an error.
3. If still selectable, try tapping 'Proceed to Checkout', record the message/behavior.
4. Confirm what service is ultimately applied to the order (Standard automatically, or the customer is forced to select again).</t>
  </si>
  <si>
    <t>Test store configured with 0 60-Minute slots (used up for the day).</t>
  </si>
  <si>
    <t>TBD - pending the QnA-65 answer. The tester does NOT self-judge Pass/Fail - only records the actual behavior in steps 2-4.</t>
  </si>
  <si>
    <t>QnA-65</t>
  </si>
  <si>
    <t>Added per review request 28/08/2026 - different from SCR-CRT-07-SC4/QnA-57 (the detailed slot selection screen).</t>
  </si>
  <si>
    <t>SCR-CRT-02-SC5-TC1</t>
  </si>
  <si>
    <t>SCR-CRT-02-SC5</t>
  </si>
  <si>
    <t>CT-07 · CT-08</t>
  </si>
  <si>
    <t>Changing the serving store while 60-Minute is selected - how does the delivery service change</t>
  </si>
  <si>
    <t>On SCR-CRT-02 State A, 60-Minute already selected, address in Q.7 has &gt;=2 stores in the filtered list (1 Standard-only store, 1 store still offering 60-Minute).</t>
  </si>
  <si>
    <t>1. Tap 'Change ›', select the Standard-only store (e.g. Tân Bình 6.8km).
2. Observe the merged impact warning (SCR-CRT-06), tap Continue.
3. Return to SCR-CRT-02, observe the 'Delivery service' section: is 60-Minute still there, what service is currently selected, what are the slot/fee.
4. Repeat: change to another store still within the 60-Minute radius, observe whether 60-Minute is retained / automatically re-selected, the slot+expected delivery time+remaining slots.</t>
  </si>
  <si>
    <t>Store Nam Sài Gòn (60-Minute+Standard), Tân Bình (Standard only), a 3rd store still offering 60-Minute.</t>
  </si>
  <si>
    <t>S2-3: after Continue, 60-Minute disappears from the choices at the Standard-only store, the service automatically falls back to Standard, slot re-suggested per BRL-25..27, fee updated (Standard free once the threshold is met); the customer is notified the service has changed (BRL-08/BRL-24). S4: at a store that still has 60-Minute → 60-Minute becomes available again; whether it is AUTOMATICALLY reselected or Standard is kept: TBD pending QnA-63; slot/delivery time/remaining slots calculated based on the new store.</t>
  </si>
  <si>
    <t>QnA-25, QnA-63</t>
  </si>
  <si>
    <t>SCR-CRT-02-SC6-TC1</t>
  </si>
  <si>
    <t>SCR-CRT-02-SC6</t>
  </si>
  <si>
    <t>CT-08 · BRL-18</t>
  </si>
  <si>
    <t>A delivery coupon that fully covers the 60-Minute fee waives it; one that partially covers it still charges the remainder</t>
  </si>
  <si>
    <t>On SCR-CRT-02, 60-Minute already selected (fixed fee 25,000đ).</t>
  </si>
  <si>
    <t>1. Apply delivery coupon 'SHIP25' worth 25,000đ (enough to fully cover the fee).
2. Observe the 60-Minute fee line + Delivery discount + Amount payable in the provisional summary.
3. Remove the coupon, apply delivery coupon 'SHIP15' worth 15,000đ.
4. Observe the fee lines again.</t>
  </si>
  <si>
    <t>Coupon SHIP25 (−25,000đ, delivery), SHIP15 (−15,000đ, delivery), 60-Minute fee 25,000đ.</t>
  </si>
  <si>
    <t>S2: the 60-Minute fee becomes 0đ / 'Free' (BRL-18 - only a delivery coupon that fully covers the fee waives it, never waived based on order value). S4: the base fee is still 25,000đ, Delivery discount −15,000đ, 10,000đ still charged; the fee is NOT reduced to 0 when the coupon only covers part of it.</t>
  </si>
  <si>
    <t>Added per review request 31/08/2026 - the inverse case of SCR-CRT-02-SC1.</t>
  </si>
  <si>
    <t>SCR-CRT-02-SC7-TC1</t>
  </si>
  <si>
    <t>SCR-CRT-02-SC7</t>
  </si>
  <si>
    <t>CT-08 · BRL-20</t>
  </si>
  <si>
    <t>Selecting 60-Minute with 1 slot left, the slot is taken before Proceed to Checkout - TBD pending QnA-88</t>
  </si>
  <si>
    <t>On SCR-CRT-02 State B (already showing 'Only 1 slot left'), 60-Minute already selected.</t>
  </si>
  <si>
    <t>1. Confirm currently in State B, warning shows 1 slot left.
2. Simulate another order taking the last 60-Minute slot (remaining = 0).
3. Tap 'Proceed to Checkout'.
4. RECORD: does the system block at Cart and force selecting Standard / automatically switch to Standard with a confirmation / let the customer through to Checkout and then show an error; how the fee-slot-delivery time is recalculated.</t>
  </si>
  <si>
    <t>60-Minute slot goes from 1 → 0.</t>
  </si>
  <si>
    <t>TBD - pending QnA-88. The tester records the actual behavior in step 4, does NOT self-judge Pass/Fail; minimum requirement: do not let the customer proceed into Checkout with an out-of-slot 60-Minute without handling it.</t>
  </si>
  <si>
    <t>QnA-88</t>
  </si>
  <si>
    <t>Added per review request 31/08/2026 - a race condition, different from SCR-CRT-02-SC4 (0 slots from the start, QnA-65).</t>
  </si>
  <si>
    <t>SCR-CRT-02-SC8-TC1</t>
  </si>
  <si>
    <t>SCR-CRT-02-SC8</t>
  </si>
  <si>
    <t>CT-08 · BRL-21</t>
  </si>
  <si>
    <t>A Closed 60-Minute slot automatically reopens when capacity is freed up</t>
  </si>
  <si>
    <t>On SCR-CRT-02, the 60-Minute slot is currently Closed (no capacity), Cart is open.</t>
  </si>
  <si>
    <t>1. Confirm 60-Minute is currently Closed / not selectable, without reloading the page.
2. Simulate the backend marking another 60-Minute order as 'ready for delivery' (freeing up 1 slot).
3. Observe the 'Delivery service' section in Cart WITHOUT tapping refresh.
4. Try selecting 60-Minute.</t>
  </si>
  <si>
    <t>60-Minute slot = 0 → +1 after 1 order becomes 'ready for delivery'.</t>
  </si>
  <si>
    <t>S3: the 60-Minute slot automatically becomes available in Cart, the remaining slot count / status (1 left / Healthy) updates correctly, WITHOUT the customer refreshing (BRL-21). S4: 60-Minute can be selected normally.</t>
  </si>
  <si>
    <t>SCR-CRT-02-SC9-TC1</t>
  </si>
  <si>
    <t>SCR-CRT-02-SC9</t>
  </si>
  <si>
    <t>CT-04 · CT-08</t>
  </si>
  <si>
    <t>Selecting 60-Minute when the cart has a SKU not eligible for 60-Minute - TBD pending QnA-89</t>
  </si>
  <si>
    <t>Address within a 3-5km radius; cart has SKU-60M-OK and SKU-60M-NO.</t>
  </si>
  <si>
    <t>1. Confirm the 60-Minute selection control is located in the 'Delivery service' section of SCR-CRT-02 and only shows when the address is within the radius (no separate config screen).
2. Select '60-Minute'.
3. RECORD what happens to SKU-60M-NO: removed from the order / split into a separate Standard order / just hidden from the list / the system blocks selecting 60-Minute.
4. RECORD whether a warning is shown before the customer loses SKU-60M-NO.
5. Tap Proceed to Checkout, confirm which SKUs are in the final order.</t>
  </si>
  <si>
    <t>SKU-60M-OK (eligible), SKU-60M-NO (not eligible).</t>
  </si>
  <si>
    <t>S1: confirm the control's location. S3-5: TBD - pending QnA-89 &amp; QnA-42. Record the actual behavior, do not self-judge Pass/Fail; minimum requirement: do not silently drop a SKU from the order without a warning.</t>
  </si>
  <si>
    <t>QnA-89, QnA-42</t>
  </si>
  <si>
    <t>SCR-CRT-03-SC1-TC1</t>
  </si>
  <si>
    <t>SCR-CRT-03-SC1</t>
  </si>
  <si>
    <t>SCR-CRT-03</t>
  </si>
  <si>
    <t>Next-day address only shows a date picker, no time slot</t>
  </si>
  <si>
    <t>Test address is outside the Standard radius, within a configured Next-day area.</t>
  </si>
  <si>
    <t>1. Go to Cart, select the service corresponding to the Next-day address.
2. Observe the delivery time selection UI.
3. Select a valid date from the list.</t>
  </si>
  <si>
    <t>Test address: belongs to a configured Next-day area (e.g. outside Ho Chi Minh City, subject to Next-day).</t>
  </si>
  <si>
    <t>The UI ONLY shows a DATE grid (no time slot at all); unavailable dates are shown greyed out (disabled), not hidden; selecting a valid date is confirmed.</t>
  </si>
  <si>
    <t>QnA-09</t>
  </si>
  <si>
    <t>SCR-CRT-03-SC1-TC2</t>
  </si>
  <si>
    <t>An address NOT under Next-day (Standard) does NOT show the 'Date, not slot' section</t>
  </si>
  <si>
    <t>Test address is in a Standard area (within the standard delivery radius, with normal time slots), NOT under a Next-day area.</t>
  </si>
  <si>
    <t>1. Go to Cart, select the delivery service with a Standard address.
2. Observe the delivery time selection UI.
3. Check whether the 'Date, not slot' section (date only, no time slot) appears.</t>
  </si>
  <si>
    <t>Test address: in a Standard area (e.g. inner city, not subject to Next-day).</t>
  </si>
  <si>
    <t>The 'Date, not slot' section does NOT appear; instead the UI shows the full DATE + time slot grid as in the normal standard delivery flow.</t>
  </si>
  <si>
    <t>SCR-CRT-03-SC2-TC1</t>
  </si>
  <si>
    <t>SCR-CRT-03-SC2</t>
  </si>
  <si>
    <t>Cart total weight &gt;15kg (with no SKU labeled bulky) pushes the delivery date from T+2 to T+4 and adds a surcharge</t>
  </si>
  <si>
    <t>Cart total weight is &gt;15kg, with NO SKU labeled 'bulky' (trigger entirely from total weight).</t>
  </si>
  <si>
    <t>1. Add regular SKUs (not labeled bulky) to the cart so the total weight = 16kg.
2. Open the delivery date selection step.
3. Observe the disabled dates (before T+4).
4. Observe the surcharge line in the payment summary.</t>
  </si>
  <si>
    <t>Multiple regular SKUs, cart total weight = 16kg (no SKU labeled 'bulky').</t>
  </si>
  <si>
    <t>All dates before T+4 are disabled (the earliest selectable date is T+4); the 'Bulky order surcharge' line appears added to the service fee, not waived by freeship.</t>
  </si>
  <si>
    <t>SCR-CRT-03-SC2-TC2</t>
  </si>
  <si>
    <t>A SKU labeled 'bulky' (even with total weight &lt;15kg) pushes the delivery date from T+2 to T+4 and adds a surcharge</t>
  </si>
  <si>
    <t>Cart has 1 SKU labeled 'bulky', cart total weight &lt;15kg (trigger entirely from the label, not the weight).</t>
  </si>
  <si>
    <t>1. Add 1 SKU labeled 'bulky' (light weight) to the cart, cart total weight = 5kg.
2. Open the delivery date selection step.
3. Observe the disabled dates (before T+4).
4. Observe the note stating which SKU causes the bulky status.
5. Observe the surcharge line in the payment summary.</t>
  </si>
  <si>
    <t>SKU-Bulky: labeled 'bulky', cart total weight = 5kg.</t>
  </si>
  <si>
    <t>All dates before T+4 are disabled even though the total weight is only 5kg (below the 15kg threshold) - confirming the 'bulky' label alone is enough to trigger it, independent of weight; the screen clearly states the SKU causing the bulky status; the 'Bulky order surcharge' line appears added to the service fee.</t>
  </si>
  <si>
    <t>SCR-CRT-03-SC2-TC3</t>
  </si>
  <si>
    <t>Bulky trigger from total weight &gt;15kg (no SKU labeled) - check the display of contributing SKUs</t>
  </si>
  <si>
    <t>Cart total weight is &gt;15kg from multiple regular SKUs adding up, no SKU labeled 'bulky'.</t>
  </si>
  <si>
    <t>1. Add multiple regular SKUs to the cart so the total weight = 16kg (e.g. 4 SKUs x 4kg).
2. Open the delivery date selection step, view the note explaining why it's pushed to T+4.
3. Check whether the note lists ('contributing items') the SKUs contributing to the total weight, or just shows a generic message without naming specific SKUs.</t>
  </si>
  <si>
    <t>4 regular SKUs, 4kg each, total = 16kg.</t>
  </si>
  <si>
    <t>[NEEDS CONFIRMATION - see QnA-94] The note should clearly state the SKUs contributing to the weight exceeding the threshold (similar to how SC2-TC2 names the SKU labeled 'bulky'), so the customer understands why the order is pushed back; it should not just show a generic message without a clear reason.</t>
  </si>
  <si>
    <t>QnA-94</t>
  </si>
  <si>
    <t>SCR-CRT-03-SC3-TC1</t>
  </si>
  <si>
    <t>SCR-CRT-03-SC3</t>
  </si>
  <si>
    <t>Removing the only bulky SKU brings the order back to T+2 immediately</t>
  </si>
  <si>
    <t>Order is currently in bulky status (T+4) solely due to 1 SKU labeled bulky, other SKUs are normal.</t>
  </si>
  <si>
    <t>1. Confirm the order is currently T+4 due to SKU-Bulky.
2. Remove SKU-Bulky from the cart.
3. Reopen the delivery date selection step, observe the earliest available date.</t>
  </si>
  <si>
    <t>SKU-Bulky is the only SKU causing bulky status in the cart.</t>
  </si>
  <si>
    <t>After removing SKU-Bulky, the earliest selectable date returns to T+2 (re-evaluated immediately, with no additional action needed).</t>
  </si>
  <si>
    <t>SCR-CRT-03-SC3-TC2</t>
  </si>
  <si>
    <t>Removing the only bulky SKU - the bulky surcharge is also removed/recalculated (not just the delivery date)</t>
  </si>
  <si>
    <t>Order is currently in bulky status (T+4) solely due to 1 SKU labeled bulky (not due to weight), the bulky surcharge is currently shown in the payment summary.</t>
  </si>
  <si>
    <t>1. Confirm the order is currently T+4 due to SKU-Bulky and has a 'Bulky order surcharge' line in the payment summary.
2. Remove SKU-Bulky from the cart.
3. Observe the payment summary again, check the bulky surcharge line.
4. Check the final payable amount.</t>
  </si>
  <si>
    <t>SKU-Bulky is the only SKU causing bulky status in the cart, the remaining SKUs do not trigger bulky.</t>
  </si>
  <si>
    <t>After removing SKU-Bulky, the 'Bulky order surcharge' line disappears from the payment summary (recalculated, no longer applied); the payable total decreases by exactly the surcharge amount removed; the earliest delivery date also returns to T+2 at the same time (in sync with SCR-CRT-03-SC3-TC1).</t>
  </si>
  <si>
    <t>SCR-CRT-04-SC1-TC1</t>
  </si>
  <si>
    <t>SCR-CRT-04-SC1</t>
  </si>
  <si>
    <t>SCR-CRT-04</t>
  </si>
  <si>
    <t>CT-02, CT-09</t>
  </si>
  <si>
    <t>Pickup recipient information is independent of the logged-in account's profile</t>
  </si>
  <si>
    <t>Logged-in account: Nguyễn Văn A / 0911111111. Pickup tab selected.</t>
  </si>
  <si>
    <t>1. Go to the 'Pickup' tab.
2. Enter recipient name 'Trần Thị B', phone '0922222222' (different from the account).
3. Continue to the Pickup store/slot selection step.
4. Check that the recipient information is saved exactly as entered (not overwritten by the account profile).</t>
  </si>
  <si>
    <t>Account: Nguyễn Văn A/0911111111. Recipient entered: Trần Thị B/0922222222.</t>
  </si>
  <si>
    <t>The system accepts a recipient name/phone completely different from the account owner, without an error, without automatically overwriting it with the profile information.</t>
  </si>
  <si>
    <t>SCR-CRT-04-SC1-TC2</t>
  </si>
  <si>
    <t>Leaving the recipient Name/Phone blank on the Pickup tab blocks continuing</t>
  </si>
  <si>
    <t>On the Pickup tab in Cart, about to enter recipient information.</t>
  </si>
  <si>
    <t>1. Leave the Recipient Name field blank, fill in a valid phone number.
2. Try tapping Continue / moving to the Pickup store-slot selection step.
3. Fill in the Recipient Name again, leave the phone blank, repeat step 2.
4. Fill in both fields, tap Continue.</t>
  </si>
  <si>
    <t>Recipient name and phone number, tried blank one at a time.</t>
  </si>
  <si>
    <t>Steps 2 and 3: the system BLOCKS continuing (disabled button or required-field error) when either field is missing - consistent with the required validation for Members at SCR-HOM-02-SC2. Step 4: with both fields filled, continuing works normally.</t>
  </si>
  <si>
    <t>Added per review request 27/08/2026 - SCR-CRT-04-SC1 previously only tested entering FULL information different from the account owner, validation for blank fields was not tested.</t>
  </si>
  <si>
    <t>SCR-CRT-04-SC1-TC3</t>
  </si>
  <si>
    <t>Default value of the Pickup recipient Name/Phone fields before any edit</t>
  </si>
  <si>
    <t>Logged-in account: Nguyễn Văn A / 0911111111. Never placed a Pickup order before (no previously saved value).</t>
  </si>
  <si>
    <t>1. Log in to account A, go to the 'Pickup' tab for the FIRST TIME.
2. Observe the recipient Name and Phone fields RIGHT WHEN OPENED (before typing anything).
3. Record the displayed value (completely blank / has a greyed placeholder / pre-filled with a value).</t>
  </si>
  <si>
    <t>Account: Nguyễn Văn A / 0911111111, no Pickup history.</t>
  </si>
  <si>
    <t>[NEEDS CONFIRMATION - see QnA-95] Clearly record the actual default value: either (a) the field is left BLANK, requiring the customer to enter it, or (b) it is PRE-FILLED with the logged-in account's name/phone (Nguyễn Văn A/0911111111) - SC1-TC1 only confirms the field is INDEPENDENT of the account when the customer enters a different value, it has not confirmed the initial value.</t>
  </si>
  <si>
    <t>QnA-95</t>
  </si>
  <si>
    <t>SCR-CRT-04-SC2-TC1</t>
  </si>
  <si>
    <t>SCR-CRT-04-SC2</t>
  </si>
  <si>
    <t>CT-09</t>
  </si>
  <si>
    <t>Cash payment option for Pickup IS SHOWN for a Platinum-tier account</t>
  </si>
  <si>
    <t>Test account: Platinum tier.</t>
  </si>
  <si>
    <t>1. Log in to a Platinum account, go to Cart Pickup tab.
2. View the list of in-store payment methods.</t>
  </si>
  <si>
    <t>Account: Platinum tier.</t>
  </si>
  <si>
    <t>The 'Cash payment' option is shown in the list and can be selected (per BRL-29).</t>
  </si>
  <si>
    <t>SCR-CRT-04-SC2-TC2</t>
  </si>
  <si>
    <t>Cash payment option for Pickup IS SHOWN for a Diamond-tier account</t>
  </si>
  <si>
    <t>Test account: Diamond tier.</t>
  </si>
  <si>
    <t>1. Log in to a Diamond account, go to Cart Pickup tab.
2. View the list of in-store payment methods.</t>
  </si>
  <si>
    <t>Account: Diamond tier.</t>
  </si>
  <si>
    <t>The 'Cash payment' option is shown in the list and can be selected, identical to the Platinum account (BRL-29 applies to both Platinum and Diamond).</t>
  </si>
  <si>
    <t>SCR-CRT-04-SC2-TC3</t>
  </si>
  <si>
    <t>Cash payment option for Pickup is NOT shown for a regular-tier account</t>
  </si>
  <si>
    <t>Test account: no tier/regular tier (not Platinum, not Diamond).</t>
  </si>
  <si>
    <t>1. Log in to a regular-tier account, go to Cart Pickup tab.
2. View the list of in-store payment methods.</t>
  </si>
  <si>
    <t>Account: no special tier.</t>
  </si>
  <si>
    <t>The 'Cash payment' option does NOT appear in the list (fully hidden, not greyed out/disabled).</t>
  </si>
  <si>
    <t>SCR-CRT-04-SC3-TC1</t>
  </si>
  <si>
    <t>SCR-CRT-04-SC3</t>
  </si>
  <si>
    <t>CT-10</t>
  </si>
  <si>
    <t>Correctly distinguishes the information shown between a near-home locker (Delivery) and an in-store locker (Pickup)</t>
  </si>
  <si>
    <t>In Cart, cart is eligible for both the Delivery and Pickup branches.</t>
  </si>
  <si>
    <t>1. On the Delivery tab, select the near-home locker option. Record the information shown.
2. Switch to the Pickup tab, select the in-store locker option. Record the information shown.
3. Compare the two sets of information.</t>
  </si>
  <si>
    <t>N/A (checking displayed content, no official locker operational data yet).</t>
  </si>
  <si>
    <t>The near-home locker (step 1) shows: expected pickup time, locker name/address near the customer's address. The in-store locker (step 2) shows: expected time, locker location within the store. The two sets of information cannot be confused/identical.</t>
  </si>
  <si>
    <t>QnA-23, QnA-31</t>
  </si>
  <si>
    <t>The full operational rules (price, holding time, no-show) are still pending OQ-23/QnA-23; QnA-31 also needs confirmation before treating this as an official test case for the first release.</t>
  </si>
  <si>
    <t>SCR-CRT-04-SC4-TC1</t>
  </si>
  <si>
    <t>SCR-CRT-04-SC4</t>
  </si>
  <si>
    <t>3 Pickup slot statuses (Open/Closing soon/Closed) display correctly based on capacity (BRL-28)</t>
  </si>
  <si>
    <t>On the Pickup tab in Cart, slot selection screen open.</t>
  </si>
  <si>
    <t>1. Observe Slot A (plenty of capacity left) - confirm Open status, selectable.
2. Observe Slot B (remaining = warning threshold) - confirm Closing soon status with a warning, STILL selectable.
3. Observe Slot C (no capacity left) - confirm Closed status, NOT selectable (disabled).
4. Try tapping Slot C, confirm no selection reaction occurs.</t>
  </si>
  <si>
    <t>Slot A: 5/5 capacity left. Slot B: 1/5 capacity left (equal to the warning threshold). Slot C: 0/5 capacity left.</t>
  </si>
  <si>
    <t>The 3 statuses Open/Closing soon/Closed correctly display for each slot, mutually exclusive; Slot C cannot be selected; the Closing soon warning threshold matches the configured threshold (similar to BRL-20 on the Delivery side).</t>
  </si>
  <si>
    <t>Added per Review 26/08/2026 - closes the gap 'missing test for Pickup slot status per BRL-28' from the Review - Gaps &amp; Issues.</t>
  </si>
  <si>
    <t>SCR-CRT-05-SC1-TC1</t>
  </si>
  <si>
    <t>SCR-CRT-05-SC1</t>
  </si>
  <si>
    <t>SCR-CRT-05</t>
  </si>
  <si>
    <t>CT-05</t>
  </si>
  <si>
    <t>Swiping left to remove a product must go through a confirmation dialog, only Confirm actually deletes it</t>
  </si>
  <si>
    <t>Cart has product SKU-A.</t>
  </si>
  <si>
    <t>1. Swipe left on the SKU-A row, tap the Delete button that appears.
2. Observe the confirmation dialog that appears.
3. Tap 'No', check that SKU-A remains in the cart.
4. Repeat steps 1-2, this time tap 'Confirm'.
5. Check that SKU-A has been removed.</t>
  </si>
  <si>
    <t>SKU-A: any product in the cart.</t>
  </si>
  <si>
    <t>Step 2: the dialog reads exactly 'Are you sure you want to remove this product?' with 2 buttons No/Confirm. Step 3: tapping No means SKU-A is NOT removed. Step 5: tapping Confirm means SKU-A is removed from the cart.</t>
  </si>
  <si>
    <t>SCR-CRT-05-SC2-TC1</t>
  </si>
  <si>
    <t>SCR-CRT-05-SC2</t>
  </si>
  <si>
    <t>Decreasing quantity to 0 triggers the same confirmation dialog as swipe; No restores it to 1</t>
  </si>
  <si>
    <t>SKU-B in the cart currently has quantity = 1.</t>
  </si>
  <si>
    <t>1. Tap the decrease-quantity button for SKU-B from 1 down to 0.
2. Observe the confirmation dialog that appears (identical content to SC1).
3. Tap 'No'.
4. Check the SKU-B quantity.</t>
  </si>
  <si>
    <t>SKU-B: initial quantity = 1.</t>
  </si>
  <si>
    <t>Step 2: the dialog is identical to the swipe-left case (same wording, same No/Confirm). Step 4: after tapping No, SKU-B's quantity is RESTORED to 1 (not kept at 0 and not removed).</t>
  </si>
  <si>
    <t>SCR-CRT-05-SC3-TC1</t>
  </si>
  <si>
    <t>SCR-CRT-05-SC3</t>
  </si>
  <si>
    <t>Selecting 31 products (over the 30-item limit) blocks Proceed to Checkout with an error message</t>
  </si>
  <si>
    <t>Cart already has 35 selectable products (using 35-SKU test data).</t>
  </si>
  <si>
    <t>1. Tap 'Select all (35 items)'.
2. Observe the error message and the quantity/limit counter.
3. Try tapping 'Checkout'.
4. Deselect items until exactly 30 products remain.
5. Tap 'Checkout' again.</t>
  </si>
  <si>
    <t>35 test SKUs already in the cart.</t>
  </si>
  <si>
    <t>Step 2: shows the error 'Cart has exceeded the maximum limit of 30 products per order.'; the counter shows '35/30' (or equivalent). Step 3: the Checkout button cannot be executed (disabled/blocked). Step 5: once &lt;=30 remain, Checkout works normally.</t>
  </si>
  <si>
    <t>[Previous review — RESOLVED] The gap 'missing test for exactly 30 products' has been addressed with new test case SCR-CRT-05-SC3-TC2 (added per Review 25/08/2026). No further changes needed for this TC1.</t>
  </si>
  <si>
    <t>SCR-CRT-05-SC3-TC2</t>
  </si>
  <si>
    <t>CT-05, BRL-31</t>
  </si>
  <si>
    <t>A cart with exactly 30 products (no more, no less) can still checkout normally</t>
  </si>
  <si>
    <t>Cart currently has exactly 30 valid products.</t>
  </si>
  <si>
    <t>1. Open a Cart that has exactly 30 products.
2. Observe the quantity/limit counter.
3. Tap 'Checkout'.</t>
  </si>
  <si>
    <t>Cart: exactly 30 SKUs (no more, no less).</t>
  </si>
  <si>
    <t>Step 2: the counter shows '30/30' (or equivalent), NO limit-exceeded error is shown. Step 3: the Checkout button works normally (not disabled/blocked), moves to the Checkout screen exactly as with fewer than 30 products.</t>
  </si>
  <si>
    <t>Added per Review 25/08/2026 - adds the missing "exactly 30" boundary case, alongside SCR-CRT-05-SC3-TC1 (31 items over the limit) and SCR-CRT-05-SC2 (reducing below 30).</t>
  </si>
  <si>
    <t>SCR-CRT-05-SC4-TC1</t>
  </si>
  <si>
    <t>SCR-CRT-05-SC4</t>
  </si>
  <si>
    <t>Tapping the product quantity input field directly (not using the +/- buttons)</t>
  </si>
  <si>
    <t>Cart has SKU-C, current quantity = 3.</t>
  </si>
  <si>
    <t>1. Tap directly on the field showing SKU-C's quantity (not the +/- buttons).
2. Observe the UI reaction (does a number keyboard open, is the current value highlighted/selected for overtyping).
3. Enter a new number (e.g. 7) then confirm (Done/Enter or tap outside the field).
4. Check SKU-C's quantity after confirming.
5. Repeat, this time entering an INVALID value (0, negative, or exceeding stock/the 30-product limit) then confirm, observe the reaction.</t>
  </si>
  <si>
    <t>SKU-C: initial quantity = 3, stock large enough to test a valid value (7) and a value exceeding stock.</t>
  </si>
  <si>
    <t>[NEEDS CONFIRMATION - see QnA-99, the UI behavior is not specified] The quantity field allows tapping to open a number keyboard and enter a value directly (not just incrementing/decrementing one unit at a time via +/- buttons); a valid value (7) is updated immediately after confirming; an invalid value (0/negative/over the limit) is blocked while typing or shows an error/is rounded to the nearest limit after confirming, and must not be silently accepted.</t>
  </si>
  <si>
    <t>QnA-99</t>
  </si>
  <si>
    <t>SCR-CRT-06-SC1-TC1</t>
  </si>
  <si>
    <t>SCR-CRT-06-SC1</t>
  </si>
  <si>
    <t>SCR-CRT-06</t>
  </si>
  <si>
    <t>CT-07</t>
  </si>
  <si>
    <t>Changing store with no impact applies immediately, no warning dialog shown</t>
  </si>
  <si>
    <t>Selecting store B ensures no SKU changes price/goes out of stock and the service/slot remains validly unchanged.</t>
  </si>
  <si>
    <t>1. Open the change-store sheet in Cart (list already filtered by address).
2. Select store B (no impact).
3. Observe whether a warning dialog appears.
4. Check the cart after the change.</t>
  </si>
  <si>
    <t>Store B: causes no change to price/stock/service/slot for the current cart.</t>
  </si>
  <si>
    <t>The store changes IMMEDIATELY, no confirmation dialog appears at all; all products/services/slots remain unchanged.</t>
  </si>
  <si>
    <t>SCR-CRT-06-SC2-TC1</t>
  </si>
  <si>
    <t>SCR-CRT-06-SC2</t>
  </si>
  <si>
    <t>Changing store causing impact on both products and service/slot shows a single merged warning, Continue applies all changes</t>
  </si>
  <si>
    <t>Selecting store C: 1 SKU out of stock at C, 1 SKU changes price at C, the 60-Minute service is no longer available at C.</t>
  </si>
  <si>
    <t>1. Open the change-store sheet, select store C.
2. Observe the warning dialog - count the number of affected groups listed.
3. Tap Continue.
4. Check the cart: out-of-stock SKU, price-changed SKU, new service/slot.</t>
  </si>
  <si>
    <t>Store C causes impact on 2 groups simultaneously: products (1 out of stock + 1 price change) and service/slot (loses 60-Minute).</t>
  </si>
  <si>
    <t>Step 2: ONLY 1 single dialog, listing both affected groups (not split into 2 separate dialogs). Step 4: the out-of-stock SKU moves to a separate group, the price-changed SKU updates to store C's new price, the service/slot is re-suggested per BRL-25...27.</t>
  </si>
  <si>
    <t>QnA-25, QnA-64</t>
  </si>
  <si>
    <t>The detailed UI layout of the merged warning is still pending confirmation (OQ-25/QnA-25) - this test verifies the LOGICAL behavior, not the final UI layout. | Also see QnA-64 (added 28/08/2026): conflicts with the store-change rule on Homepage (SCR-HOM-04), which does not require confirmation.</t>
  </si>
  <si>
    <t>SCR-CRT-06-SC3-TC1</t>
  </si>
  <si>
    <t>SCR-CRT-06-SC3</t>
  </si>
  <si>
    <t>Tapping Cancel on the store-change warning keeps the old cart state 100% unchanged</t>
  </si>
  <si>
    <t>The merged warning dialog is already open as in SC2 (Continue not tapped yet).</t>
  </si>
  <si>
    <t>1. From the store C change warning dialog, tap 'Cancel'.
2. Check the current store (must be the old store).
3. Check all products/services/slots in the cart.</t>
  </si>
  <si>
    <t>Cart state before opening the dialog: recorded as a baseline for comparison.</t>
  </si>
  <si>
    <t>The store remains the OLD store (unchanged); all products, prices, services, slots are IDENTICAL to before the dialog opened - no partial change was applied.</t>
  </si>
  <si>
    <t>SCR-CRT-06-SC4-TC1</t>
  </si>
  <si>
    <t>SCR-CRT-06-SC4</t>
  </si>
  <si>
    <t>Closing the app while the store-change warning dialog is open, reopening still keeps the old store (Continue not tapped)</t>
  </si>
  <si>
    <t>The merged store-change warning dialog is already open as in SC2 (Continue/Cancel not tapped yet).</t>
  </si>
  <si>
    <t>1. From the store C change warning dialog, fully close the app (kill the app, not just background it).
2. Reopen the app.
3. Check the current store.
4. Check all products/services/slots in the cart.</t>
  </si>
  <si>
    <t>Cart state before opening the dialog: recorded as a baseline for comparison (same as SC3).</t>
  </si>
  <si>
    <t>The store remains the OLD store (the change is treated as cancelled since Continue was not tapped, equivalent to the Cancel behavior in SC3); all products, prices, services, slots are IDENTICAL to before the dialog opened - no partial change was left applied.</t>
  </si>
  <si>
    <t>SCR-CRT-07-SC1-TC1</t>
  </si>
  <si>
    <t>SCR-CRT-07-SC1</t>
  </si>
  <si>
    <t>SCR-CRT-07</t>
  </si>
  <si>
    <t>Slot suggestion follows the correct priority order when the customer has never actively changed slot</t>
  </si>
  <si>
    <t>Customer goes straight into Cart from Homepage, has never tapped to change slot on Homepage.</t>
  </si>
  <si>
    <t>1. Open the delivery slot selection sheet.
2. Record the first suggested/highlighted slot.
3. Check the labels of each slot (earliest/familiar/points-earning).</t>
  </si>
  <si>
    <t>Test order history: has data to identify a 'familiar' slot different from the earliest slot.</t>
  </si>
  <si>
    <t>The first suggested slot = the EARLIEST slot at the store (BRL-25); the display order of slots follows: familiar &gt; earliest &gt; points-earning (BRL-27).</t>
  </si>
  <si>
    <t>SCR-CRT-07-SC2-TC1</t>
  </si>
  <si>
    <t>SCR-CRT-07-SC2</t>
  </si>
  <si>
    <t>After actively changing slot on Homepage, the familiar slot is suggested before the earliest slot</t>
  </si>
  <si>
    <t>On Homepage, the customer has actively selected a slot different from the default suggested slot, then enters Cart.</t>
  </si>
  <si>
    <t>1. On Homepage, actively change to a slot different from the default suggested slot.
2. Go to Cart, open the slot selection sheet.
3. Record the first suggested/highlighted slot.</t>
  </si>
  <si>
    <t>The test account's last 2 months of history has 1 slot with the highest share (the 'familiar' slot).</t>
  </si>
  <si>
    <t>The 'familiar' slot is suggested in the FIRST position (different from the scenario where slot was not changed in SC1, where the earliest slot was prioritized first).</t>
  </si>
  <si>
    <t>SCR-CRT-07-SC3-TC1</t>
  </si>
  <si>
    <t>SCR-CRT-07-SC3</t>
  </si>
  <si>
    <t>New customer with no order history - no 'familiar' slot, falls back to earliest</t>
  </si>
  <si>
    <t>Newly created account, has never placed any order.</t>
  </si>
  <si>
    <t>1. Log in to a new account (0 order history).
2. Go to Cart, open the slot selection sheet.
3. Observe whether any 'familiar' label appears.
4. Record the first suggested/highlighted slot.</t>
  </si>
  <si>
    <t>Test account: newly created, 0 order history.</t>
  </si>
  <si>
    <t>Step 3: NO 'familiar' label appears (not enough data to compute). Step 4: the first suggested slot = the EARLIEST slot at the store, same behavior as SCR-CRT-07-SC1 - no error, no blank screen.</t>
  </si>
  <si>
    <t>SCR-CRT-07-SC4-TC1</t>
  </si>
  <si>
    <t>SCR-CRT-07-SC4</t>
  </si>
  <si>
    <t>All slots for today are fully booked - TBD pending QnA-57</t>
  </si>
  <si>
    <t>Test store configured so all delivery slots for today are Closed (0 capacity).</t>
  </si>
  <si>
    <t>1. Open the delivery slot selection sheet when all of today's slots are already Closed.
2. RECORD what is shown: automatically switches to the next day, a fully-booked message, or just a disabled list with no guidance.
3. If the next day is shown, try selecting a slot from that day.</t>
  </si>
  <si>
    <t>All of today's slots: Closed (0/0 capacity each).</t>
  </si>
  <si>
    <t>TBD - the Expected Result is pending the QnA-57 answer. The tester ONLY records the actual behavior, does not self-judge Pass/Fail - but MUST flag if the screen leaves the customer stuck with no guidance at all (this clear UX issue should be flagged without waiting for QnA-57).</t>
  </si>
  <si>
    <t>QnA-57</t>
  </si>
  <si>
    <t>SCR-CHK-01-SC1-TC1</t>
  </si>
  <si>
    <t>SCR-CHK-01-SC1</t>
  </si>
  <si>
    <t>SCR-CHK-01</t>
  </si>
  <si>
    <t>CO-01, CT-11</t>
  </si>
  <si>
    <t>Tapping a locked block opens an explanatory popup, choosing 'Stay' keeps the user at Checkout</t>
  </si>
  <si>
    <t>On SCR-CHK-01 with an order that has address, store, slot, and 3 selected products.</t>
  </si>
  <si>
    <t>1. Tap the address/store/slot information block (locked) or a product row.
2. A popup explaining the rule (cannot be edited at Checkout) appears with 2 options 'Stay' and 'Back to Cart'.
3. Tap 'Stay'.
4. Check the current screen.</t>
  </si>
  <si>
    <t>Sample order: address X, store Y, slot Z, 3 selected SKUs.</t>
  </si>
  <si>
    <t>The popup closes, the customer STAYS on the Checkout screen (SCR-CHK-01), no navigation occurs; all order information remains unchanged.</t>
  </si>
  <si>
    <t>SCR-CHK-01-SC1-TC2</t>
  </si>
  <si>
    <t>An empty cart (0 products) cannot enter the Checkout screen</t>
  </si>
  <si>
    <t>Cart was just emptied, 0 products remain.</t>
  </si>
  <si>
    <t>1. From Cart, remove all remaining products.
2. Try tapping 'Checkout' / navigating to Checkout.</t>
  </si>
  <si>
    <t>Cart: 0 products (just emptied).</t>
  </si>
  <si>
    <t>RECORD the actual behavior (whether the Checkout button is hidden/disabled, whether Checkout can be entered, or whether the customer stays on Cart with some message) to cross-check against the official QnA-38 answer - do NOT assert a fixed result in this test case until BA confirms.</t>
  </si>
  <si>
    <t>QnA-38</t>
  </si>
  <si>
    <t>Added per Review 25/08/2026.</t>
  </si>
  <si>
    <t>SCR-CHK-01-SC1-TC3</t>
  </si>
  <si>
    <t>Tapping a locked block opens the popup, choosing 'Back to Cart' returns to Cart, keeping the same selections</t>
  </si>
  <si>
    <t>1. Tap the address/store/slot information block (locked) or a product row.
2. The explanatory popup appears with 2 options 'Stay' and 'Back to Cart'.
3. Tap 'Back to Cart'.
4. Check that the 3 products and the previous selections (address/store/slot) are still intact in Cart.</t>
  </si>
  <si>
    <t>The customer is navigated back to Cart; the address/store/slot/3 SKUs remain exactly as before entering Checkout - no data is lost.</t>
  </si>
  <si>
    <t>SCR-CHK-01-SC2-TC1</t>
  </si>
  <si>
    <t>SCR-CHK-01-SC2</t>
  </si>
  <si>
    <t>CO-01</t>
  </si>
  <si>
    <t>The Detail/Compact toggle only changes the display, not the order content</t>
  </si>
  <si>
    <t>Order has 12 SKUs, currently in Detail mode.</t>
  </si>
  <si>
    <t>1. Record the list of 12 SKUs in Detail mode (name, price, quantity per row).
2. Tap the toggle to switch to Compact.
3. Observe the grid layout.
4. Tap the toggle back to Detail, compare against the record from step 1.</t>
  </si>
  <si>
    <t>Sample order: 12 SKUs.</t>
  </si>
  <si>
    <t>Step 3: the layout switches to a compact grid (image + quantity). Step 4: back in Detail, the 12 SKUs' data (name/price/quantity) is identical to step 1 - no data lost/changed across the 2 toggles.</t>
  </si>
  <si>
    <t>SCR-CHK-01-SC3-TC1</t>
  </si>
  <si>
    <t>SCR-CHK-01-SC3</t>
  </si>
  <si>
    <t>CO-02</t>
  </si>
  <si>
    <t>Entering an order note and selecting an out-of-stock handling option is saved correctly</t>
  </si>
  <si>
    <t>On SCR-CHK-01.</t>
  </si>
  <si>
    <t>1. Enter the note 'Deliver during business hours, call 10 minutes ahead' in the order note field.
2. Select 1 out-of-stock handling preference (e.g. 'Call to confirm').
3. Continue to SCR-CHK-02 then go back to check.</t>
  </si>
  <si>
    <t>Note: 'Deliver during business hours, call 10 minutes ahead'. Out-of-stock option: 'Call to confirm'.</t>
  </si>
  <si>
    <t>Both values are saved correctly and remain intact when returning to the screen (not reset).</t>
  </si>
  <si>
    <t>SCR-CHK-01-SC4-TC1</t>
  </si>
  <si>
    <t>SCR-CHK-01-SC4</t>
  </si>
  <si>
    <t>CO-03</t>
  </si>
  <si>
    <t>Turning on carton packaging is recorded on the order, the fee shows in the summary (value TBD)</t>
  </si>
  <si>
    <t>On SCR-CHK-01, the carton packaging option is currently off.</t>
  </si>
  <si>
    <t>1. Turn on the 'Carton packaging' option.
2. Go to SCR-CHK-02, observe the related fee line in the payment summary (if any).
3. Record the actual displayed value.</t>
  </si>
  <si>
    <t>The option is recorded as 'packaging requested'; IF there is a separate fee line, record the actual displayed value to cross-check against the official OQ-16/QnA-16 answer later - do NOT assert a fixed amount in this test case.</t>
  </si>
  <si>
    <t>Update the Expected Result with the exact amount as soon as OQ-16/QnA-16 is confirmed by LOTTE MART.</t>
  </si>
  <si>
    <t>SCR-CHK-02-SC1-TC1</t>
  </si>
  <si>
    <t>SCR-CHK-02-SC1</t>
  </si>
  <si>
    <t>SCR-CHK-02</t>
  </si>
  <si>
    <t>CO-04</t>
  </si>
  <si>
    <t>Entering a valid GotIt/gift card code correctly deducts from the total</t>
  </si>
  <si>
    <t>Order totals 500,000đ, gift card not yet applied.</t>
  </si>
  <si>
    <t>1. Enter a valid gift card code worth 50,000đ.
2. Tap apply.
3. Observe the gift card line and the payable total in the summary.</t>
  </si>
  <si>
    <t>Test gift card code: GIFT50K, worth 50,000đ.</t>
  </si>
  <si>
    <t>The 'Gift card/GotIt' line shows -50,000đ; the payable total decreases by exactly 50,000đ compared to before applying.</t>
  </si>
  <si>
    <t>SCR-CHK-02-SC1-TC2</t>
  </si>
  <si>
    <t>An invalid GotIt/gift card code (wrong code/expired/already used) is clearly rejected</t>
  </si>
  <si>
    <t>1. Enter a NON-EXISTENT gift card code (e.g. 'INVALIDCODE123'), tap apply.
2. Observe the error message.
3. Enter an EXPIRED gift card code (if available in the test environment), tap apply.
4. Enter a gift card code that has ALREADY BEEN FULLY USED, tap apply.
5. For each case, confirm the payable total is NOT deducted incorrectly.</t>
  </si>
  <si>
    <t>Non-existent code: 'INVALIDCODE123'. Expired code and fully-used code: use existing test data (if the environment has it), otherwise mark as N/A and test only the non-existent code.</t>
  </si>
  <si>
    <t>Each case shows a CLEAR error message with the CORRECT reason (code does not exist / expired / already used - not a single generic error message for all 3 cases, if the system can distinguish them); the payable total does not change compared to before entering the erroneous code.</t>
  </si>
  <si>
    <t>Added per review request 27/08/2026 - SCR-CHK-02-SC1 previously only tested a valid code.</t>
  </si>
  <si>
    <t>SCR-CHK-02-SC2-TC1</t>
  </si>
  <si>
    <t>SCR-CHK-02-SC2</t>
  </si>
  <si>
    <t>CO-05</t>
  </si>
  <si>
    <t>Delivery coupons and product coupons show as 2 separate groups at Checkout</t>
  </si>
  <si>
    <t>1 delivery coupon (15,000đ off delivery fee) and 1 product coupon (10% off 1 SKU) already applied from Cart.</t>
  </si>
  <si>
    <t>1. Go to SCR-CHK-02, scroll to the Coupon section.
2. Observe how the groups are displayed.
3. Compare the discount amount of each group against the values applied in Cart.</t>
  </si>
  <si>
    <t>Delivery coupon: -15,000đ off delivery fee. Product coupon: -10% off a specific SKU.</t>
  </si>
  <si>
    <t>The 2 groups display SEPARATELY and clearly (the 'Delivery coupon' group and the 'Order/product coupon' group), each with the correct amount applied from Cart, with no coupon mixed up or lost.</t>
  </si>
  <si>
    <t>QnA-17</t>
  </si>
  <si>
    <t>SCR-CHK-02-SC2-TC2</t>
  </si>
  <si>
    <t>An expired/ineligible coupon is rejected and not counted toward the total</t>
  </si>
  <si>
    <t>1 test coupon available that is either expired or ineligible (e.g. requires a higher minimum order value than the current order).</t>
  </si>
  <si>
    <t>1. Enter the expired coupon code, tap apply.
2. Observe the error message.
3. Enter a coupon code that is still valid but the current order does not meet the minimum requirement, tap apply.
4. Observe the error message and the total.</t>
  </si>
  <si>
    <t>Expired coupon: existing test code (if the environment has one). Coupon with a minimum requirement: current order lower than the coupon's required threshold.</t>
  </si>
  <si>
    <t>Both cases are rejected with an error message clearly stating the reason (expired / minimum requirement not met); the coupon is NOT added to the applied list, the total does not change.</t>
  </si>
  <si>
    <t>SCR-CHK-02-SC2-TC3</t>
  </si>
  <si>
    <t>Scanning a coupon code by camera but the code is invalid/does not exist</t>
  </si>
  <si>
    <t>In the Coupon section at SCR-CHK-02, a scan option is available (camera/QR/barcode).</t>
  </si>
  <si>
    <t>1. Tap the coupon scan icon.
2. Scan an INVALID/non-existent code (or any QR that is not a coupon code).
3. Observe the error message.
4. Confirm the total is not affected.</t>
  </si>
  <si>
    <t>Test scan code: a random QR code not present in the coupon system.</t>
  </si>
  <si>
    <t>Shows a clear error message (code invalid/not found), no crash, no discount is applied incorrectly; the total remains unchanged.</t>
  </si>
  <si>
    <t>SCR-CHK-02-SC3-TC1</t>
  </si>
  <si>
    <t>SCR-CHK-02-SC3</t>
  </si>
  <si>
    <t>Applying all reward points in 1 tap exactly matches the current balance</t>
  </si>
  <si>
    <t>Account has 20,000 available points (assume 1 point = 1đ for testing - actual conversion rate needs confirmation).</t>
  </si>
  <si>
    <t>1. Observe the available points shown (20,000 points).
2. Tap 'Use all points'.
3. Observe the points applied and the amount deducted in the summary.</t>
  </si>
  <si>
    <t>Points balance: 20,000 points.</t>
  </si>
  <si>
    <t>All 20,000 points are applied in 1 tap, the total decreases by exactly the correct amount per the conversion rate.</t>
  </si>
  <si>
    <t>QnA-20</t>
  </si>
  <si>
    <t>SCR-CHK-02-SC3-TC2</t>
  </si>
  <si>
    <t>Manually entering a points value exceeding the available balance is blocked/adjusted to the correct balance</t>
  </si>
  <si>
    <t>Account has 20,000 available points.</t>
  </si>
  <si>
    <t>1. In the manual points entry field, enter a value EXCEEDING the balance (e.g. 25,000 points).
2. Tap apply / confirm.
3. RECORD the actual behavior: does the system block applying it, automatically adjust to exactly 20,000 (the maximum balance), or incorrectly accept and deduct more than the balance.</t>
  </si>
  <si>
    <t>Points balance: 20,000. Points manually entered for testing: 25,000 (exceeding the balance by 5,000 points).</t>
  </si>
  <si>
    <t>The system must NOT allow applying more than the actual balance (25,000) - it must block the entry or automatically adjust to exactly 20,000; the account must never end up with negative points or points deducted beyond the balance.</t>
  </si>
  <si>
    <t>Added per review request 27/08/2026 - SCR-CHK-02-SC3 previously only tested using the full balance and entering less, not entering MORE than the balance - this is a high risk of incorrect billing if there is no validation.</t>
  </si>
  <si>
    <t>SCR-CHK-02-SC3-TC3</t>
  </si>
  <si>
    <t>Manually entering a valid points value (less than the balance) is applied correctly per the conversion rate</t>
  </si>
  <si>
    <t>1. Deselect 'Use all points' (if currently on).
2. In the manual entry field, enter a valid value less than the balance (e.g. 5,000 points).
3. Tap apply.
4. Observe the amount deducted in the summary.</t>
  </si>
  <si>
    <t>Points balance: 20,000. Points manually entered: 5,000 (valid).</t>
  </si>
  <si>
    <t>5,000 points are accepted and applied, the deducted amount is correct per the current conversion rate.</t>
  </si>
  <si>
    <t>SCR-CHK-02-SC3-TC4</t>
  </si>
  <si>
    <t>Entering a points value below the minimum threshold or an invalid increment is rejected/adjusted</t>
  </si>
  <si>
    <t>1. In the manual entry field, enter a VERY SMALL value (e.g. 3 points, if the system has a higher minimum threshold).
2. Tap apply, record the reaction.
3. Enter a value with an INVALID increment not matching the required multiple (e.g. 1,234 points if the system only allows multiples of 100/1,000).
4. Tap apply, record the reaction.</t>
  </si>
  <si>
    <t>3 points (assumed below threshold); 1,234 points (assumed invalid increment not matching the multiple).</t>
  </si>
  <si>
    <t>[NEEDS CONFIRMATION - see QnA-117, the official minimum threshold and increment rule are unclear] Record the actual behavior: does the system block/show an error for a value below the minimum threshold, does it round an invalid increment to the nearest valid multiple, or reject it entirely.</t>
  </si>
  <si>
    <t>QnA-117</t>
  </si>
  <si>
    <t>SCR-CHK-02-SC4-TC1</t>
  </si>
  <si>
    <t>SCR-CHK-02-SC4</t>
  </si>
  <si>
    <t>CO-06</t>
  </si>
  <si>
    <t>BNPL is pre-selected at Checkout if it was selected in Cart, and shows its own promotion badge</t>
  </si>
  <si>
    <t>BNPL already selected as the payment method in Cart, BNPL currently has a promotion badge.</t>
  </si>
  <si>
    <t>1. From Cart (BNPL already selected), tap Proceed to Checkout.
2. Observe the Payment method section at SCR-CHK-02.
3. Check the promotion badge attached to BNPL.
4. Try switching to MoMo, check MoMo's badge (if any) is different from the BNPL badge.</t>
  </si>
  <si>
    <t>Method already selected: BNPL. Other methods: MoMo, ZaloPay, Card.</t>
  </si>
  <si>
    <t>Step 2: BNPL is already pre-selected (not chosen again from scratch). Steps 3-4: each method carries its own promotion badge, not sharing 1 common badge.</t>
  </si>
  <si>
    <t>QnA-35</t>
  </si>
  <si>
    <t>SCR-CHK-02-SC5-TC1</t>
  </si>
  <si>
    <t>SCR-CHK-02-SC5</t>
  </si>
  <si>
    <t>CO-08, CO-10</t>
  </si>
  <si>
    <t>The payment summary shows every line (including 0-value lines) and Place order succeeds</t>
  </si>
  <si>
    <t>Valid order: no bulky surcharge, no carton packaging, no gift card, has 1 product discount coupon.</t>
  </si>
  <si>
    <t>1. Scroll through the entire final payment summary.
2. Compare each line: order value, nylon bag fee, delivery fee, bulky surcharge, product discount, delivery discount, amount payable, expected points.
3. Tap 'Place order'.
4. Observe the result.</t>
  </si>
  <si>
    <t>Sample order with no bulky/carton/gift card surcharges, only 1 product coupon.</t>
  </si>
  <si>
    <t>Step 2: ALL lines are shown, including those = 0đ (bulky surcharge = 0đ, carton fee = 0đ, gift card = 0đ) - no line is hidden. Step 4: the order is placed successfully, a confirmation screen/order number is shown.</t>
  </si>
  <si>
    <t>[Previous review — PARTIALLY RESOLVED] The gap 'empty cart cannot enter Checkout' has been addressed with new test case SCR-CHK-01-SC1-TC2. However, this TC5's Expected Result still does NOT explicitly name the 'nylon bag' line that BRL-34 clearly lists as a required line in the payment summary — it should be updated to explicitly confirm this line appears (even when = 0đ), the same way the test does for the bulky/carton/gift card surcharges.</t>
  </si>
  <si>
    <t>SCR-CHK-02-SC5-TC2</t>
  </si>
  <si>
    <t>Payment is declined (card/wallet failure) when tapping Place order - the cart is kept, another method can be chosen</t>
  </si>
  <si>
    <t>Valid order, a payment method already selected that is simulated to return an error/declined transaction.</t>
  </si>
  <si>
    <t>1. Select a payment method simulated to fail (e.g. an expired test card / insufficient wallet balance).
2. Tap 'Place order'.
3. Observe the error message.
4. Check whether the order/cart is still intact.
5. Switch to a different valid payment method, tap 'Place order' again.</t>
  </si>
  <si>
    <t>Payment method simulated to fail: declined test card / insufficient wallet balance.</t>
  </si>
  <si>
    <t>Step 3: a clear payment error message, NO order-confirmed success screen is shown. Step 4: the entire order (products, coupon, points applied, address/slot) REMAINS INTACT, not lost/reset to an empty cart. Step 5: switching to another method and placing the order again succeeds normally.</t>
  </si>
  <si>
    <t>Added per review request 27/08/2026 - SCR-CHK-02-SC5 previously only tested the SUCCESSFUL order placement flow, not a declined payment - high risk if order data is lost on a payment error.</t>
  </si>
  <si>
    <t>SCR-CHK-02-SC6-TC1</t>
  </si>
  <si>
    <t>SCR-CHK-02-SC6</t>
  </si>
  <si>
    <t>CO-09</t>
  </si>
  <si>
    <t>The 3 policy links at Checkout are shown and open correctly</t>
  </si>
  <si>
    <t>On the Checkout screen (SCR-CHK-02), valid order.</t>
  </si>
  <si>
    <t>1. Tap the 'Return/Exchange Policy' link, confirm it opens correctly (a new page/screen appears, no 404/blank).
2. Return to Checkout, tap the 'Purchase Policy' link, confirm it opens correctly.
3. Return to Checkout, tap the 'Privacy Policy' link, confirm it opens correctly.</t>
  </si>
  <si>
    <t>N/A (checking the link exists and opens, not checking detailed content yet since it's pending Legal confirmation - QnA-21).</t>
  </si>
  <si>
    <t>All 3 links are present at Checkout and open correctly when tapped, no link is broken or blank. This test does NOT yet confirm the final policy content (QnA-21 is still Open) - it only confirms the link mechanism works.</t>
  </si>
  <si>
    <t>QnA-21</t>
  </si>
  <si>
    <t>Added per Review 26/08/2026 - closes the gap 'CO-09 has no test case' from the Review - Gaps &amp; Issues.</t>
  </si>
  <si>
    <t>SCR-CHK-02-SC7-TC1</t>
  </si>
  <si>
    <t>SCR-CHK-02-SC7</t>
  </si>
  <si>
    <t>CO-07</t>
  </si>
  <si>
    <t>Turning on the VAT invoice request, entering full valid information</t>
  </si>
  <si>
    <t>On SCR-CHK-02 step 2 (VAT invoice, final summary), the VAT toggle is currently off (default).</t>
  </si>
  <si>
    <t>1. Turn on the 'VAT invoice' toggle.
2. Observe the 3 fields that appear: Company, Tax code, Company address.
3. Enter complete valid information into all 3 fields.
4. Scroll down to check the Payment Summary is unchanged, tap 'Place order'.</t>
  </si>
  <si>
    <t>Company='Công ty TNHH ABC', Tax code='0312345678', Company address='123 Nguyễn Huệ, Q.1, TP.HCM'.</t>
  </si>
  <si>
    <t>Turning on the toggle shows exactly the 3 fields; entering complete information causes no error; the Payment Summary remains unchanged; the order is placed successfully, the invoice information is correctly attached to the order (per INT-11).</t>
  </si>
  <si>
    <t>Added per review request 28/08/2026 - closes the gap CO-07 which previously only had an Integration test (INT-11), no Functional/UI test.</t>
  </si>
  <si>
    <t>SCR-CHK-02-SC8-TC1</t>
  </si>
  <si>
    <t>SCR-CHK-02-SC8</t>
  </si>
  <si>
    <t>Turning on the invoice request but leaving Tax code blank/incorrectly formatted - TBD pending QnA-19</t>
  </si>
  <si>
    <t>On SCR-CHK-02, the VAT invoice toggle is currently on.</t>
  </si>
  <si>
    <t>1. Turn on the 'VAT invoice' toggle, leave the Tax code field blank, fill in Company and Company address.
2. Try tapping 'Place order', record whether it's blocked, what message is shown.
3. Enter an incorrectly formatted Tax code (e.g. containing letters 'ABC123'), try tapping 'Place order' again.
4. Record which field (Company/Tax code/Company address) is actually required.</t>
  </si>
  <si>
    <t>Tax code left blank, then 'ABC123' (incorrectly formatted).</t>
  </si>
  <si>
    <t>TBD - the SRS has not confirmed the required fields/valid format (OQ-19/QnA-19). The tester does NOT self-judge Pass/Fail - only records the actual behavior.</t>
  </si>
  <si>
    <t>QnA-19</t>
  </si>
  <si>
    <t>SCR-CHK-02-SC9-TC1</t>
  </si>
  <si>
    <t>SCR-CHK-02-SC9</t>
  </si>
  <si>
    <t>CO-05, CO-08</t>
  </si>
  <si>
    <t>Going back to Cart after applying a voucher/points at Checkout - no usage is deducted since no order was placed</t>
  </si>
  <si>
    <t>At SCR-CHK-02, 1 coupon and 1 amount of reward points already applied to the order (Place order not tapped).</t>
  </si>
  <si>
    <t>1. Record the applied coupon + points used + the coupon's remaining usage count/the account's available points (baseline).
2. Tap back to Cart (without placing the order).
3. Recheck the coupon's remaining usage count and the account's available points.</t>
  </si>
  <si>
    <t>Test coupon with a limited usage count (e.g. 1 use left); reward points: 20,000 available points.</t>
  </si>
  <si>
    <t>Since the order has NOT been placed (Place order not tapped), the coupon's usage count and the account's available points are NOT deducted/counted as used - they remain the same as before entering Checkout.</t>
  </si>
  <si>
    <t>SCR-CHK-02-SC10-TC1</t>
  </si>
  <si>
    <t>SCR-CHK-02-SC10</t>
  </si>
  <si>
    <t>CO-08</t>
  </si>
  <si>
    <t>The 'Points to be earned from this order' section displays correctly at Checkout</t>
  </si>
  <si>
    <t>Valid order, value sufficient to earn points per the current rule.</t>
  </si>
  <si>
    <t>1. Scroll through the payment summary at SCR-CHK-02, find the expected points section.
2. Compare the displayed points against the known point-earning formula (if any).
3. Change the order value (add/remove SKUs) and check whether the expected points update accordingly.</t>
  </si>
  <si>
    <t>Sample order, value sufficient to be eligible for points.</t>
  </si>
  <si>
    <t>[NEEDS CONFIRMATION - see QnA-20, currently Open] The section clearly shows the expected points to be earned, updating dynamically when the order value changes (adding/removing SKUs, applying/removing a coupon).</t>
  </si>
  <si>
    <t>SCR-CHK-03-SC1-TC1</t>
  </si>
  <si>
    <t>SCR-CHK-03-SC1</t>
  </si>
  <si>
    <t>SCR-CHK-03</t>
  </si>
  <si>
    <t>The Pickup variant does not show a delivery fee line in the payment summary</t>
  </si>
  <si>
    <t>Order created from the Pickup branch, order value below the freeship threshold (to rule out the freeship threshold being met).</t>
  </si>
  <si>
    <t>1. Go to SCR-CHK-03 for a Pickup order.
2. Observe the information block (store/address/distance/time slot).
3. Scroll through the payment summary, look for a delivery fee line.</t>
  </si>
  <si>
    <t>Pickup order, value below 150,000đ.</t>
  </si>
  <si>
    <t>The information block shows all necessary information in locked (read-only) state. The payment summary has NO delivery fee line at all (unlike a Delivery order, which shows this line, possibly 0đ or with a value).</t>
  </si>
  <si>
    <t>SCR-CHK-03-SC1-TC2</t>
  </si>
  <si>
    <t>The information shown at SCR-CHK-03 matches exactly the selections made/entered in previous steps</t>
  </si>
  <si>
    <t>Order has completed selecting address/store/slot, payment method, coupon, points in previous steps.</t>
  </si>
  <si>
    <t>1. Record all values selected in the previous Cart/Checkout steps (address, store, slot, payment method, coupon, points, total).
2. Go to SCR-CHK-03 (locked information block + final summary).
3. Compare each displayed value against the record from step 1.</t>
  </si>
  <si>
    <t>The full set of values recorded from the previous steps as a comparison baseline.</t>
  </si>
  <si>
    <t>ALL information shown at SCR-CHK-03 matches EXACTLY 100% with the previously made selections - no value is off, rounded differently, or shows incorrect default data.</t>
  </si>
  <si>
    <t>SCR-CHK-03-SC2-TC1</t>
  </si>
  <si>
    <t>SCR-CHK-03-SC2</t>
  </si>
  <si>
    <t>CO-01, CT-09</t>
  </si>
  <si>
    <t>Consistent with Cart: cash for Pickup only shows for eligible-tier accounts</t>
  </si>
  <si>
    <t>Pickup order, 2 accounts: A (Platinum), B (regular tier) - the cash option in Cart has already been determined in test SCR-CRT-04-SC2-TC1.</t>
  </si>
  <si>
    <t>1. With account A, go to SCR-CHK-03, check the list of payment methods.
2. With account B, repeat.
3. Compare the result against the behavior already recorded in Cart (SCR-CRT-04).</t>
  </si>
  <si>
    <t>Account A: Platinum. Account B: regular tier.</t>
  </si>
  <si>
    <t>The result at Checkout must be CONSISTENT with Cart: account A sees the cash option, account B does not; there must be no case where Cart allows it but Checkout blocks it, or vice versa.</t>
  </si>
  <si>
    <t>SCR-CHK-03-SC3-TC1</t>
  </si>
  <si>
    <t>SCR-CHK-03-SC3</t>
  </si>
  <si>
    <t>The 'Order placed successfully' screen shows a complete and correct order summary</t>
  </si>
  <si>
    <t>Just placed an order successfully from SCR-CHK-03.</t>
  </si>
  <si>
    <t>1. Observe the entire content of the 'Order placed successfully' screen.
2. Compare the order number, total amount, SKU count, payment method, address/store/slot against the order just placed.</t>
  </si>
  <si>
    <t>Sample order just placed successfully.</t>
  </si>
  <si>
    <t>The screen fully and accurately shows: order number, total amount paid, product summary (SKU count), the selected payment method, delivery/receiving information (address/store/slot) - matching 100% the order just placed.</t>
  </si>
  <si>
    <t>SCR-CHK-03-SC3-TC2</t>
  </si>
  <si>
    <t>The 2 buttons 'Track order' and 'Continue shopping' navigate correctly</t>
  </si>
  <si>
    <t>On the 'Order placed successfully' screen.</t>
  </si>
  <si>
    <t>1. Tap 'Track order', observe the screen that opens.
2. Go back (or place a new order), tap 'Continue shopping', observe the screen that opens.</t>
  </si>
  <si>
    <t>'Track order' opens the correct detail/status screen for the EXACT order just placed (not a generic list); 'Continue shopping' takes the customer back to the Homepage/product browsing screen, and the cart at this point must be EMPTY (does not retain the products just ordered).</t>
  </si>
  <si>
    <t>SCR-CHK-03-SC3-TC3</t>
  </si>
  <si>
    <t>Behavior of the Back button (system navigation) on the 'Order placed successfully' screen</t>
  </si>
  <si>
    <t>On the 'Order placed successfully' screen after just placing an order.</t>
  </si>
  <si>
    <t>1. Tap the Back button (device hardware button or back gesture).
2. Observe the next screen.</t>
  </si>
  <si>
    <t>[NEEDS CONFIRMATION - see QnA-119] Record the actual behavior: is it possible to go back to the Checkout screen (SCR-CHK-03) after the order has already been placed (risk of a duplicate order if the user can go back and tap Place order again), does the system BLOCK the Back button (going straight to Homepage/Order tracking) or not.</t>
  </si>
  <si>
    <t>QnA-119</t>
  </si>
  <si>
    <t>MART VN ONLINE RENEWAL 2026 PROJECT</t>
  </si>
  <si>
    <t xml:space="preserve">Simplify Checkout — Functional &amp; System Integration Test Suite </t>
  </si>
  <si>
    <t>Document</t>
  </si>
  <si>
    <t xml:space="preserve">MART-SimplifyCheckout Combined Test Suite </t>
  </si>
  <si>
    <t>Prepared for</t>
  </si>
  <si>
    <t>Mart Online Division</t>
  </si>
  <si>
    <t>Prepared by</t>
  </si>
  <si>
    <t>Hien Nguyen</t>
  </si>
  <si>
    <t>Date</t>
  </si>
  <si>
    <t>25 August 2026</t>
  </si>
  <si>
    <t>Source - REQ</t>
  </si>
  <si>
    <t>Structure</t>
  </si>
  <si>
    <t>Cover / Functional Test Scenarios / Functional Test Cases / Integration Test Scenarios / Integration Test Cases / E2E Checkout Test Cases / Summary / Integration Points.</t>
  </si>
  <si>
    <t>File QnA</t>
  </si>
  <si>
    <t xml:space="preserve">MART_SimplifyCheckout_QnA_Log.xlsx </t>
  </si>
  <si>
    <t>Legend</t>
  </si>
  <si>
    <t>Functional Scenario/Test Case Type</t>
  </si>
  <si>
    <t>Normal, Functional, Validation, Negative, Boundary, Edge, Regression</t>
  </si>
  <si>
    <t>Integration Test Case Type</t>
  </si>
  <si>
    <t>Functional, Boundary, Negative, Exception, Security, Integration</t>
  </si>
  <si>
    <t>Test Result (Summary sheet)</t>
  </si>
  <si>
    <t>Pass / Fail / Blocked / N/A / Not Run</t>
  </si>
  <si>
    <t>Yellow-filled column</t>
  </si>
  <si>
    <t>Execution-tracking fields for QC to fill in (Actual Result, Pass/Fail Status, Tester, Test Date)</t>
  </si>
  <si>
    <t>Green-filled column (Review comment)</t>
  </si>
  <si>
    <t>Reviewer's comments</t>
  </si>
  <si>
    <t>Cot QnA Ref</t>
  </si>
  <si>
    <t>Reference code pointing to the QnA Log file</t>
  </si>
  <si>
    <t>Change History</t>
  </si>
  <si>
    <t>Version</t>
  </si>
  <si>
    <t>Author</t>
  </si>
  <si>
    <t>Change</t>
  </si>
  <si>
    <t>v1.0</t>
  </si>
  <si>
    <t>First version created from SRS v0.1, cross-checked against Figma.</t>
  </si>
  <si>
    <t>Simplify Checkout — Functional Test Scenario Register</t>
  </si>
  <si>
    <t>No</t>
  </si>
  <si>
    <t>Scenario ID</t>
  </si>
  <si>
    <t>Capability Area</t>
  </si>
  <si>
    <t>Scenario Type</t>
  </si>
  <si>
    <t>User Action</t>
  </si>
  <si>
    <t>Input</t>
  </si>
  <si>
    <t>Expected Output</t>
  </si>
  <si>
    <t>Acceptance Criteria</t>
  </si>
  <si>
    <t>ONB - Onboarding</t>
  </si>
  <si>
    <t>Select 1 of the 3 languages (Tiếng Việt / English / 한국어) on the first language selection screen.</t>
  </si>
  <si>
    <t>Select in turn: Tiếng Việt, English, 한국어</t>
  </si>
  <si>
    <t>Open the app for the first time (no app data yet / data just cleared).</t>
  </si>
  <si>
    <t>All labels on the screen (the Continue button, the note about changing the language later) change immediately to match the selected language, before tapping Continue. Exactly 1 option is always selected (no empty state).</t>
  </si>
  <si>
    <t>All 3 options are selectable, the UI re-renders instantly, and the Continue button is always enabled.</t>
  </si>
  <si>
    <t>ONB-01: the default is inferred from the device locale; if the locale does not match any of the 3 languages, the default is Tiếng Việt.</t>
  </si>
  <si>
    <t>Check that the language selection screen does NOT show again on the next app launch, and that the language can be changed in Settings.</t>
  </si>
  <si>
    <t>Reopen the app after completing Onboarding; then go to Settings to change the language.</t>
  </si>
  <si>
    <t>Onboarding has been completed at least once before (app data not cleared).</t>
  </si>
  <si>
    <t>Screen SCR-ONB-01 does not appear again on the next app launch; the language can still be changed from Settings and affects all number/currency/date formats for the session.</t>
  </si>
  <si>
    <t>The screen shows only once per app install/data clear.</t>
  </si>
  <si>
    <t>Tap Allow on all 3 system permission dialogs in turn: activity tracking, notifications, location.</t>
  </si>
  <si>
    <t>Allow / Allow / Allow While Using App</t>
  </si>
  <si>
    <t>Language has been selected at SCR-ONB-01.</t>
  </si>
  <si>
    <t>All 3 dialogs are OS dialogs (LOTTE MART cannot change the content/buttons other than the purpose string), shown one after another and do not block the flow whether Allow or Deny is tapped. After going through all 3, the app moves to SCR-ONB-03 with location = Allowed.</t>
  </si>
  <si>
    <t>With location = Allowed, SCR-ONB-03 pre-selects the nearest store by GPS (BRL-02).</t>
  </si>
  <si>
    <t>Tap Deny on all 3 system permission dialogs in turn.</t>
  </si>
  <si>
    <t>Don't Allow / Don't Allow / Don't Allow</t>
  </si>
  <si>
    <t>Denying all 3 permissions does NOT block the flow - the customer still proceeds to SCR-ONB-03, but no store is pre-selected (BRL-02) and order notifications fall back to in-app/Zalo/SMS instead of push notification.</t>
  </si>
  <si>
    <t>Denying any permission only loses 1 convenience, never loses 1 function.</t>
  </si>
  <si>
    <t>For location: Deny is the case that leads to SCR-ONB-03 State B (manual store selection, no default).</t>
  </si>
  <si>
    <t>Choose a DIFFERENT combination of Allow/Deny for each permission dialog (not all Allow or all Deny).</t>
  </si>
  <si>
    <t>Allow location, but Deny tracking and Deny notification.</t>
  </si>
  <si>
    <t>Only the result of the LOCATION permission affects the next step (SCR-ONB-03 pre-selects a store by GPS); denying tracking/notification does not block or change the behavior of the next step.</t>
  </si>
  <si>
    <t>A mixed combination must produce the exact same result as considering only the location permission alone, independent of the other 2 permissions.</t>
  </si>
  <si>
    <t>Added per Review 26/08/2026 - previously only had all-Allow (SC1) and all-Deny (SC2) tests, missing a mixed combination.</t>
  </si>
  <si>
    <t>Deny the tracking permission (Activity tracking / ATT), then verify whether LOTTE MART's backend tracking system records the customer's events.</t>
  </si>
  <si>
    <t>Ask App Not to Track (Deny) on the Activity tracking dialog; Allow the other 2 dialogs to avoid mixing variables.</t>
  </si>
  <si>
    <t>Language has been selected at SCR-ONB-01; a tool is available to observe events sent to the tracking system (network log / debug console of the analytics SDK).</t>
  </si>
  <si>
    <t>TBD - the SRS (ONB-02) only confirms that Deny does NOT block the app flow, but has NOT yet confirmed the data recording behavior on the backend tracking system (for example, whether app-open, view-screen events are still recorded internally, or only cross-sharing to other apps/web is blocked as per the ATT scope). QnA-44 must be answered before finalizing the Expected Output.</t>
  </si>
  <si>
    <t>TBD - pending QnA-44 to confirm the scope of impact of Deny on the backend tracking system.</t>
  </si>
  <si>
    <t>Added per review request 26/08/2026 - REQ ONB-02 currently only describes the UX aspect (does not block the flow), there is no REQ yet describing the backend tracking system aspect.</t>
  </si>
  <si>
    <t>Force-close the app (kill app) right while 1 of the 3 system permission dialogs is showing, then reopen the app.</t>
  </si>
  <si>
    <t>Kill the app while the Location dialog is showing (before tapping Allow/Deny); reopen the app from the icon.</t>
  </si>
  <si>
    <t>Language has been selected at SCR-ONB-01, in the middle of the sequence of 3 permission dialogs (tracking already Allowed, notification already Allowed, Location dialog currently showing).</t>
  </si>
  <si>
    <t>TBD - the SRS does not describe this behavior. The actual behavior needs to be recorded: does the app resume exactly at the pending dialog, restart from the first dialog, or restart from SCR-ONB-01. Cross-check with the QnA-47 answer once available.</t>
  </si>
  <si>
    <t>TBD - pending QnA-47.</t>
  </si>
  <si>
    <t>Location already Allowed: confirm the nearest store is pre-selected and tap Continue.</t>
  </si>
  <si>
    <t>Take no further action, use the pre-selected store.</t>
  </si>
  <si>
    <t>Location permission = Allowed from SCR-ONB-02.</t>
  </si>
  <si>
    <t>The nearest store by GPS is pre-selected and labeled 'Nearest'; the Continue button is enabled immediately; tapping Continue moves to SCR-ONB-04.</t>
  </si>
  <si>
    <t>The default store is correct based on actual GPS distance; the Continue button is enabled from the start of this screen.</t>
  </si>
  <si>
    <t>Location already Denied: no store is pre-selected, tap Continue without selecting any store.</t>
  </si>
  <si>
    <t>Select no store, tap Continue directly.</t>
  </si>
  <si>
    <t>Location permission = Denied from SCR-ONB-02.</t>
  </si>
  <si>
    <t>No store is marked as default, no distance is shown; a yellow banner suggests enabling location; the Continue button is DISABLED until the customer selects a specific store (enforcement of BRL-01).</t>
  </si>
  <si>
    <t>The Continue button must be disabled when no store is selected in State B; there is no Back/Skip that can bypass this step.</t>
  </si>
  <si>
    <t>BRL-01: selecting a store is the only mandatory step before the Homepage, with no Back/Skip.</t>
  </si>
  <si>
    <t>Use the store search box by name or district/city to filter the list.</t>
  </si>
  <si>
    <t>Enter 'Tân Bình' into the store search box.</t>
  </si>
  <si>
    <t>On the store selection screen (both State A/B).</t>
  </si>
  <si>
    <t>The store list is filtered to only stores matching the name/district; this does not remove the mandatory status of the store selection step.</t>
  </si>
  <si>
    <t>The filter results are correct and do not affect the mandatory nature of the selection step.</t>
  </si>
  <si>
    <t>Type a search keyword that matches NO store (0 results).</t>
  </si>
  <si>
    <t>Enter 'Vũng Tàu' (no matching LOTTE MART store) into the search box.</t>
  </si>
  <si>
    <t>TBD - the SRS does not yet describe the 0-result state (a completely empty screen, or a message 'No matching store found'?). Record the actual behavior and cross-check with the QnA-40 answer once available.</t>
  </si>
  <si>
    <t>TBD - the QnA-40 answer is needed before finalizing the Acceptance Criteria.</t>
  </si>
  <si>
    <t>Added per Review 26/08/2026 - closes a gap recorded from a previous review (old Review (QC) note on SCR-ONB-03-SC3-TC1).</t>
  </si>
  <si>
    <t>Location Allowed, GPS simulates a location with 2 equidistant stores (equal distance or both rounding to the same number).</t>
  </si>
  <si>
    <t>Simulated GPS coordinates equidistant from LOTTE Mart Nam Sài Gòn and another store (for example both 2.1 km).</t>
  </si>
  <si>
    <t>Location permission = Allowed; test data has at least 2 stores at the same distance from the simulated location.</t>
  </si>
  <si>
    <t>TBD - the SRS/BRL-02 only says "nearest store... pre-selected", with no tie-break rule when distances are equal. Record which store is actually pre-selected and cross-check with the QnA-45 answer.</t>
  </si>
  <si>
    <t>TBD - pending QnA-45 to confirm the official tie-break rule.</t>
  </si>
  <si>
    <t>Added per review request 26/08/2026 - clarifies the question "how is GPS determined to be nearest, which store is prioritized when distances are equal".</t>
  </si>
  <si>
    <t>Use the store search box by district name, and observe the boundary label shown on the store list (including the store pre-selected by GPS).</t>
  </si>
  <si>
    <t>Enter a district name using the OLD boundaries (for example 'Thủ Đức' or a merged district name) into the search box.</t>
  </si>
  <si>
    <t>On the store selection screen (State A or B); backend store data is already configured (not yet clear whether it uses old or new boundaries).</t>
  </si>
  <si>
    <t>TBD - the SRS/Figma currently uses old-style boundary labels ("Q.7", "Q.11"...) as a demo, and has not confirmed whether the actual backend data uses OLD or NEW administrative boundaries (after the 2025 province/city merger). Record the actual behavior of the search/displayed labels, cross-check QnA-46.</t>
  </si>
  <si>
    <t>TBD - pending QnA-46 to confirm the administrative boundary data source used for GPS/store search.</t>
  </si>
  <si>
    <t>Force-close the app while on the mandatory store selection screen but BEFORE tapping Continue, then reopen the app.</t>
  </si>
  <si>
    <t>Kill the app while on SCR-ONB-03 (with or without a manually selected store); reopen the app from the icon.</t>
  </si>
  <si>
    <t>Already passed the permission request step (SCR-ONB-02), currently on SCR-ONB-03, Continue not yet tapped.</t>
  </si>
  <si>
    <t>TBD - the SRS does not describe this. Need to record: does the app keep the selected store (if any) when reopened, restart from the beginning of Onboarding, or stay exactly on screen SCR-ONB-03 but lose the selection made. Cross-check QnA-47.</t>
  </si>
  <si>
    <t>Added per review request 26/08/2026 - same question QnA-47 as SCR-ONB-02-SC5 (killing the app mid-Onboarding) but at the store selection step.</t>
  </si>
  <si>
    <t>Go through the 3 intro screens by swipe or by tapping Next, and check that the progress dot updates correctly.</t>
  </si>
  <si>
    <t>Swipe left repeatedly from screen 1 to screen 3.</t>
  </si>
  <si>
    <t>The mandatory store selection at SCR-ONB-03 has been completed.</t>
  </si>
  <si>
    <t>The 3 progress dots show the correct current position (the active dot is elongated); swiping left/right moves in both directions; screen 3 changes the main button to 'Start shopping'.</t>
  </si>
  <si>
    <t>Carousel navigation is smooth and follows the correct order of the 3 screens.</t>
  </si>
  <si>
    <t>The content/artwork of the 3 screens is currently a BA proposal, not yet confirmed by LOTTE MART (QnA-06).</t>
  </si>
  <si>
    <t>Tap Skip right from the first intro screen.</t>
  </si>
  <si>
    <t>Tap Skip on screen 1/3.</t>
  </si>
  <si>
    <t>On SCR-ONB-04 screen 1.</t>
  </si>
  <si>
    <t>The system skips all remaining screens and goes directly to the Homepage (SCR-HOM-01) in Guest state, displayed according to the store selected at SCR-ONB-03 (ONB-07, BR-03).</t>
  </si>
  <si>
    <t>Skip always goes directly to the Homepage regardless of which of the 3 screens is currently shown.</t>
  </si>
  <si>
    <t>The carousel is never a mandatory step (unlike the store selection step).</t>
  </si>
  <si>
    <t>Force-close the app while in the middle of the intro carousel (screen 2/3), then reopen the app.</t>
  </si>
  <si>
    <t>Kill the app on carousel screen 2/3; reopen the app from the icon.</t>
  </si>
  <si>
    <t>The mandatory store selection at SCR-ONB-03 has been completed, currently on carousel screen 2/3.</t>
  </si>
  <si>
    <t>TBD - the SRS only says the carousel is "shown on first launch only", without clearly defining whether, if the app is killed midway, the next launch counts as the next "first launch" or not. Record the actual behavior (resume the pending carousel / go directly to the Homepage / restart the carousel from the beginning), cross-check QnA-48.</t>
  </si>
  <si>
    <t>TBD - pending QnA-48.</t>
  </si>
  <si>
    <t>HP - Homepage &amp; Login Gate</t>
  </si>
  <si>
    <t>View the Homepage when the Guest does NOT have an address yet (State A).</t>
  </si>
  <si>
    <t>Do not enter an address.</t>
  </si>
  <si>
    <t>The Guest has just completed Onboarding and has not created an address.</t>
  </si>
  <si>
    <t>The header shows 'Choose delivery address', the delivery estimate shows Standard + the earliest slot of the selected store (estimated by store, not by address); the category/price/promotion shown matches the store selected at Onboarding (BRL-01); no login is required to browse (BR-04).</t>
  </si>
  <si>
    <t>The Guest can browse the entire Homepage without being blocked by address or login.</t>
  </si>
  <si>
    <t>View the Homepage when the Guest ALREADY has an address within the 60-Minute zone (State B).</t>
  </si>
  <si>
    <t>The saved address is within a 3-5km radius of the store.</t>
  </si>
  <si>
    <t>The Guest has created 1 address via SCR-HOM-02, and the address is within the 60-Minute radius of the current store.</t>
  </si>
  <si>
    <t>The header shows the correct saved address, the estimate changes to 'Standard - today HH:MM-HH:MM' with a banner '60-Minute delivery is available for this address'; Standard remains the default option, 60-Minute is only a suggestion (BRL-10).</t>
  </si>
  <si>
    <t>The 60-Minute banner only appears when the coverage allows it, and does not automatically switch to 60-Minute.</t>
  </si>
  <si>
    <t>Check the dual pricing (Guest/Member) display on featured products while in Guest state.</t>
  </si>
  <si>
    <t>View the 'Best sellers at this store' list.</t>
  </si>
  <si>
    <t>On the Homepage, in Guest state, with products that have both price levels.</t>
  </si>
  <si>
    <t>For an SKU with both price levels, both the Guest price and the Member price are shown at the same time, demonstrating the benefit of logging in before signing up (BR-06).</t>
  </si>
  <si>
    <t>Both price levels are shown simultaneously, with neither price hidden.</t>
  </si>
  <si>
    <t>Guest creates a new delivery address using GPS pre-fill then manually adds the house number/floor/building.</t>
  </si>
  <si>
    <t>Tap 'Use my location', add the house number/floor, save.</t>
  </si>
  <si>
    <t>The Guest has no address yet, currently on SCR-HOM-02 (the form has no recipient field).</t>
  </si>
  <si>
    <t>GPS only pre-fills a suggested address; the customer MUST review and add details GPS cannot know (house number, floor, block) before Save (HP-02, BRL-03). The Guest form does NOT have a recipient name/phone number field.</t>
  </si>
  <si>
    <t>The address is not auto-accepted from GPS and must go through the customer's confirmation.</t>
  </si>
  <si>
    <t>Member creates an address: the recipient name and phone number fields are mandatory, defaulted from the account.</t>
  </si>
  <si>
    <t>Clear the recipient name field, try to Save.</t>
  </si>
  <si>
    <t>Logged in (Member), currently on SCR-HOM-02 State B.</t>
  </si>
  <si>
    <t>The recipient name and phone number are pre-filled by default from the account but can be edited; these are mandatory fields for a Member (unlike Guest); Save is blocked if the name or phone number is left empty.</t>
  </si>
  <si>
    <t>Mandatory validation is correct for the name/phone number fields when a Member; a Guest is not required to fill these 2 fields.</t>
  </si>
  <si>
    <t>After saving the address, the delivery estimate on the header is recalculated immediately.</t>
  </si>
  <si>
    <t>Save 1 valid address that is outside all service zones.</t>
  </si>
  <si>
    <t>On SCR-HOM-02, entering an address outside the Standard radius and outside all Next-day zones.</t>
  </si>
  <si>
    <t>After Save, the header switches to a 'not served' state: no delivery date/time is shown, only a message + 'Change address' CTA; browsing and Pickup still work normally.</t>
  </si>
  <si>
    <t>The system must detect and correctly show the 'not served' state right after saving the address (SCR-HOM-05 state D).</t>
  </si>
  <si>
    <t>Select another saved address that the current store CAN STILL serve.</t>
  </si>
  <si>
    <t>Select the 'Office' address (still served by Nam Sài Gòn).</t>
  </si>
  <si>
    <t>The account has &gt;=2 saved addresses, and the newly selected address still falls within the service zone of the current store.</t>
  </si>
  <si>
    <t>The store is KEPT UNCHANGED, only the address and delivery estimate are refreshed; there is NO confirmation dialog (the change applies immediately, BRL-09).</t>
  </si>
  <si>
    <t>Changing address within the same store never requires confirmation.</t>
  </si>
  <si>
    <t>Select a saved address that the current store can NO LONGER serve (for example, an address in Hà Nội).</t>
  </si>
  <si>
    <t>Select the 'Parents' address (Hà Nội, within the Next-day zone of another store).</t>
  </si>
  <si>
    <t>The account has an address in a different province/city from the current store.</t>
  </si>
  <si>
    <t>The system AUTOMATICALLY switches to a store that can serve that address WITHOUT asking for confirmation (if only 1 store fits, switch directly; if multiple stores fit, choose the nearest one); a toast shows 'Store changed to [store name]'; the delivery estimate is recalculated based on the new store-address pair.</t>
  </si>
  <si>
    <t>Automatic store switching on the Homepage does not need Confirm/Cancel (unlike in the Cart - SCR-CRT-06).</t>
  </si>
  <si>
    <t>If the just-selected address becomes invalid again (for example, deleted) after switching to another store, the priority order for selecting a replacement address is still OQ-01/QnA-01, currently a temporary BA proposal. | Note (added 28/08/2026): the service tier after switching stores is RECALCULATED based on the actual distance (BRL-10..12) of the NEW store-address pair, NOT defaulted to Next-day - in this test it is Next-day only because the sample address happens to fall within the Next-day zone. See also SCR-HOM-03-SC2-TC2 (address in a different province but still within the Standard radius).</t>
  </si>
  <si>
    <t>Change store from the Homepage header, while the current address is still within the service zone of the new store.</t>
  </si>
  <si>
    <t>Select 'LOTTE Mart Tân Bình' while the address is still within the Standard radius of the new store.</t>
  </si>
  <si>
    <t>Currently has a 'Standard only' address that fits both stores.</t>
  </si>
  <si>
    <t>The store changes immediately, with NO confirmation dialog (completely different from the location in the Cart); the category/price/stock re-render based on the new store.</t>
  </si>
  <si>
    <t>Changing the store on the Homepage always applies immediately without needing Confirm (BRL-08).</t>
  </si>
  <si>
    <t>Change store from the Homepage header causing the service to downgrade (for example, losing 60-Minute, only Standard left).</t>
  </si>
  <si>
    <t>Select a new store where the current address falls only within the Standard radius (losing 60-Minute).</t>
  </si>
  <si>
    <t>The current address is currently in the 60-Minute zone of the old store.</t>
  </si>
  <si>
    <t>The system automatically falls back the service (dropping from 60-Minute+Standard down to only Standard) AND shows a clear message to let the customer know which service is lost/added (BRL-08) - it must not change silently.</t>
  </si>
  <si>
    <t>The service fallback notification is mandatory; the customer must not be left to discover it on their own.</t>
  </si>
  <si>
    <t>A store that cannot deliver to the current address can still be selected for browsing/Pickup.</t>
  </si>
  <si>
    <t>Select 'LOTTE Mart Long Biên' while the address is in TP.HCM.</t>
  </si>
  <si>
    <t>The current address (TP.HCM) is outside the service zone of the Hà Nội store.</t>
  </si>
  <si>
    <t>The store can still be switched (selection is not blocked); only Delivery for the current address switches to a 'not served' state, while browsing and Pickup are still valid as normal at the new store.</t>
  </si>
  <si>
    <t>A store that cannot serve is still a valid option in the list - it only affects Delivery.</t>
  </si>
  <si>
    <t>Check all 4 mutually exclusive states of the delivery estimate based on address-store distance.</t>
  </si>
  <si>
    <t>4 sample addresses: within 3-5km / 10-15km / within Next-day / outside all zones.</t>
  </si>
  <si>
    <t>4 test addresses have been prepared matching exactly the 4 distance thresholds BRL-10/11/12.</t>
  </si>
  <si>
    <t>60-Minute radius (3-5km): shows 60-Minute+Standard. Within Standard (10-15km): Standard only. Within Next-day: only a delivery date, no time slot. Outside all zones: no date/time, only a message + change-address CTA.</t>
  </si>
  <si>
    <t>Exactly 4 states, non-overlapping, matching the configured thresholds of each store.</t>
  </si>
  <si>
    <t>Log in successfully, the Member price becomes the primary price (instead of the Guest price).</t>
  </si>
  <si>
    <t>Log in with a Member account that has tier/points/coupon data.</t>
  </si>
  <si>
    <t>Just logged in successfully.</t>
  </si>
  <si>
    <t>The Member info strip (name, tier, points, coupon) appears; the Member price is shown as the primary price, the Guest price is dimmed/shrunk (the opposite of the Guest state).</t>
  </si>
  <si>
    <t>Switching between Guest and Member must correctly change the displayed price priority order.</t>
  </si>
  <si>
    <t>Log out: the store is kept, the address is cleared.</t>
  </si>
  <si>
    <t>Tap Logout, confirm in the dialog.</t>
  </si>
  <si>
    <t>Currently logged in, with a saved and selected address.</t>
  </si>
  <si>
    <t>After confirming logout: return to SCR-HOM-01 State A - the SAME STORE is kept unchanged (it is not personal data, and is always needed for browsing - NFR-03), the address is CLEARED from the screen (so it is not exposed to the next user on a shared device); the Cart icon is still shown.</t>
  </si>
  <si>
    <t>Logout must keep the store and clear the address - it must not do the opposite.</t>
  </si>
  <si>
    <t>Which address will be active when logging back in (same account or a different account) is still OQ-26/QnA-26 - the current temporary proposal is to not activate any address, letting the customer choose.</t>
  </si>
  <si>
    <t>Guest taps 'Add to Cart', blocked by the login gate; once logged in successfully, the product is added automatically.</t>
  </si>
  <si>
    <t>Tap Add to Cart on a product, log in successfully.</t>
  </si>
  <si>
    <t>The Guest is not logged in, currently viewing a product that can be added to the cart.</t>
  </si>
  <si>
    <t>The system blocks the Add to Cart action BEFORE adding, opens the login/sign-up bottom sheet; after successful authentication, the product is AUTOMATICALLY added to the cart (no need to tap Add to Cart again), a confirmation toast is shown, and the local Guest address (if any) is synced to the account.</t>
  </si>
  <si>
    <t>Resumes exactly the product intended to be added, without requiring the action to be repeated (BRL-07).</t>
  </si>
  <si>
    <t>Guest taps the Cart icon, blocked by the login gate; once logged in successfully, the Cart opens directly.</t>
  </si>
  <si>
    <t>Tap the Cart icon, log in successfully.</t>
  </si>
  <si>
    <t>The Guest is not logged in.</t>
  </si>
  <si>
    <t>The system blocks and opens the login/sign-up bottom sheet with content specific to the Cart-opening context; after successful authentication, the Cart OPENS DIRECTLY (not adding a product); the address, service, and time slot selected on the Homepage are carried over into the Cart.</t>
  </si>
  <si>
    <t>The Cart icon is NEVER hidden/disabled for a Guest (BRL-06); tapping it always opens the gate instead of an error.</t>
  </si>
  <si>
    <t>Guest cancels the login bottom sheet - the browsing context is not lost.</t>
  </si>
  <si>
    <t>Tap Cancel/close the login sheet from both entry points (Add to Cart and Cart icon).</t>
  </si>
  <si>
    <t>The login gate is open from one of the 2 triggers.</t>
  </si>
  <si>
    <t>Return to the previous page with the browsing context intact; the product is NOT added (Add to Cart case), the Cart does NOT open (Cart icon case); no data currently being viewed is lost.</t>
  </si>
  <si>
    <t>Canceling login must be non-destructive - BRL-08.</t>
  </si>
  <si>
    <t>SU - Signup</t>
  </si>
  <si>
    <t>Enter phone number, select the Zalo OTP channel (default), enter the correct OTP.</t>
  </si>
  <si>
    <t>Valid phone number, keep the default Zalo channel, correct OTP code.</t>
  </si>
  <si>
    <t>Select 'New customer - Register' from the login gate.</t>
  </si>
  <si>
    <t>Zalo is marked 'Recommended' and pre-selected (BRL-13); after the OTP is sent, the Resend button is disabled during the countdown (BRL-15); entering the correct OTP moves to SCR-AUT-03 (create PIN).</t>
  </si>
  <si>
    <t>The default channel is Zalo; the successful flow leads to the create-PIN screen.</t>
  </si>
  <si>
    <t>The Resend countdown ends, manually switch the channel to SMS.</t>
  </si>
  <si>
    <t>Wait for the Resend countdown to finish, tap 'change channel' and select SMS.</t>
  </si>
  <si>
    <t>OTP has been sent via Zalo, currently on the OTP entry screen.</t>
  </si>
  <si>
    <t>The Resend button only becomes active again AFTER the countdown ends; the system does NOT automatically fall back to SMS - the customer must actively tap Resend or change the channel (BRL-14); after changing the channel, a new OTP is sent via SMS.</t>
  </si>
  <si>
    <t>There is no automatic fallback from Zalo to SMS under any circumstance.</t>
  </si>
  <si>
    <t>Technical confirmation of the actual behavior when Zalo fails to send a message is still open - OQ-08/QnA-08.</t>
  </si>
  <si>
    <t>Sign up with a phone number that already exists in the system.</t>
  </si>
  <si>
    <t>Enter a phone number that already has a Member account.</t>
  </si>
  <si>
    <t>On the phone number entry step of Signup.</t>
  </si>
  <si>
    <t>An error message is shown (the number is already registered), the phone number is STILL kept in the input field (not cleared), the main CTA changes to 'Sign in' so the customer does not need to re-type the number.</t>
  </si>
  <si>
    <t>The phone number is not lost, the CTA correctly redirects to login.</t>
  </si>
  <si>
    <t>Create a 6-digit PIN and confirm it matches.</t>
  </si>
  <si>
    <t>Enter the PIN '123456' twice, matching.</t>
  </si>
  <si>
    <t>OTP has just been verified successfully.</t>
  </si>
  <si>
    <t>The app's own numeric keypad (not the system keyboard) is used for input; after entering matching values twice, it moves to SCR-AUT-04 (profile).</t>
  </si>
  <si>
    <t>The PIN is only created after the OTP has been verified, and is never created on an unverified number.</t>
  </si>
  <si>
    <t>Enter a confirmation PIN that does NOT match the PIN created the first time.</t>
  </si>
  <si>
    <t>1st time: '123456'. 2nd time (confirmation): '654321'.</t>
  </si>
  <si>
    <t>On the re-entry step to confirm the PIN.</t>
  </si>
  <si>
    <t>The system reports a mismatch and ONLY clears the confirmation field (not the first PIN field) so the customer does not have to re-type from the start.</t>
  </si>
  <si>
    <t>Only reset the confirmation field on a mismatch, not both fields.</t>
  </si>
  <si>
    <t>QnA-03: the number of allowed failed PIN attempts before lockout/restarting the step is still pending Security/Dev confirmation (OQ-03).</t>
  </si>
  <si>
    <t>Fill in the mandatory profile, the Terms checkbox is a condition blocking Submit.</t>
  </si>
  <si>
    <t>Fill in the name/gender/date of birth/nationality/store fully, without ticking the Terms of Use checkbox.</t>
  </si>
  <si>
    <t>A PIN has just been created successfully at SCR-AUT-03.</t>
  </si>
  <si>
    <t>The Create account button is BLOCKED (disabled or shows an error) when the Terms &amp; Policy checkbox has not been ticked; the Marketing checkbox is optional, unticked by default, and does not block submit.</t>
  </si>
  <si>
    <t>The Terms checkbox is the only mandatory condition among the checkboxes.</t>
  </si>
  <si>
    <t>Check that the default gender is pre-selected as 'Ms' and the registration store is pre-filled from Onboarding.</t>
  </si>
  <si>
    <t>Do not change the default values, observe these 2 fields.</t>
  </si>
  <si>
    <t>Store 'LOTTE Mart Nam Sài Gòn' was selected at Onboarding, currently on the profile step.</t>
  </si>
  <si>
    <t>The default gender is 'Ms' (can be changed with 1 tap - QnA-02 has confirmed keeping this default); the registration store is pre-filled = the store selected at Onboarding but is still editable.</t>
  </si>
  <si>
    <t>Both default values must match exactly what the SRS has confirmed (QnA-02).</t>
  </si>
  <si>
    <t>Submit to create the account successfully, automatically log in and resume the original Add to Cart action.</t>
  </si>
  <si>
    <t>Fill in a complete valid profile, tick Terms, tap Create account.</t>
  </si>
  <si>
    <t>This Signup flow was triggered from an 'Add to Cart' action blocked by the login gate.</t>
  </si>
  <si>
    <t>The account is created and AUTOMATICALLY logged in (no separate login step); the product previously intended to be added is automatically added to the cart; the local Guest address (if any) is synced to the new account.</t>
  </si>
  <si>
    <t>The entire resume chain (create account -&gt; log in -&gt; add product -&gt; sync address) must happen without any further action from the customer.</t>
  </si>
  <si>
    <t>The prompt to enable Face ID/fingerprint is optional, declining does not affect the PIN.</t>
  </si>
  <si>
    <t>Tap 'Skip'/'No, thanks' on the biometric prompt.</t>
  </si>
  <si>
    <t>The account has just been created successfully.</t>
  </si>
  <si>
    <t>The prompt only appears AFTER the account has been created (not before); declining loses nothing - the PIN remains the primary method; each device keeps only 1 active bio ticket (NFR-02).</t>
  </si>
  <si>
    <t>Declining to enable Face ID/fingerprint does not interrupt the resume flow.</t>
  </si>
  <si>
    <t>LI - Login</t>
  </si>
  <si>
    <t>Log in with Face ID/fingerprint when the device already has biometrics enabled.</t>
  </si>
  <si>
    <t>Authenticate with Face ID/fingerprint successfully.</t>
  </si>
  <si>
    <t>The account has biometrics enabled on this device, currently on the login screen.</t>
  </si>
  <si>
    <t>The system automatically uses Face ID/fingerprint FIRST (no phone number/PIN entry required); on success, logs in immediately and resumes the original action (LI-03).</t>
  </si>
  <si>
    <t>Biometrics is the highest priority in the authentication order (LI-02).</t>
  </si>
  <si>
    <t>Log in with phone number + PIN when biometrics is not available.</t>
  </si>
  <si>
    <t>Enter phone number, enter the correct 6-digit PIN.</t>
  </si>
  <si>
    <t>The device does not support/does not have biometrics enabled.</t>
  </si>
  <si>
    <t>PIN is the fallback when biometrics is unavailable; entering the correct PIN logs in successfully and resumes the original action.</t>
  </si>
  <si>
    <t>PIN is the 2nd method in the priority order.</t>
  </si>
  <si>
    <t>Log in with a phone number that has never been registered.</t>
  </si>
  <si>
    <t>Enter a phone number without an account.</t>
  </si>
  <si>
    <t>On the phone number entry screen for login.</t>
  </si>
  <si>
    <t>An error 'number not registered' is shown, the phone number stays in the input field, the main CTA changes to 'Sign up' (symmetric with SU-09).</t>
  </si>
  <si>
    <t>The deviation is symmetric with the Signup flow (SU-09).</t>
  </si>
  <si>
    <t>Enter the wrong PIN repeatedly in a row - triggering the attempt limit.</t>
  </si>
  <si>
    <t>Enter the wrong PIN N+1 times in a row (N = the limit, pending confirmation).</t>
  </si>
  <si>
    <t>On the login PIN entry step.</t>
  </si>
  <si>
    <t>After exceeding the limit threshold, the account/device is temporarily locked and re-authentication via OTP is required (BRL-16, NFR-01); the customer is clearly notified of the lockout reason and how to unlock.</t>
  </si>
  <si>
    <t>The failed-attempt limit must be enforced on both OTP and PIN (BR-11).</t>
  </si>
  <si>
    <t>The exact value of N and the lockout duration are still pending Security/Dev (OQ-03/QnA-03) - this test uses a placeholder N and will be updated once the official value is available.</t>
  </si>
  <si>
    <t>Forgot PIN: re-authenticate via OTP then set a new PIN.</t>
  </si>
  <si>
    <t>Tap 'Forgot PIN', verify OTP correctly, set a new PIN different from the old one.</t>
  </si>
  <si>
    <t>On the login screen, selecting 'Forgot PIN'.</t>
  </si>
  <si>
    <t>The phone number is shown masked because it has already been identified from the previous step; correct OTP verification is a mandatory condition BEFORE allowing a new PIN to be set (a change to authentication information is not allowed from an unverified device); successfully setting the new PIN completely replaces the old PIN.</t>
  </si>
  <si>
    <t>Changing the PIN must go through OTP verification, with no other shortcut.</t>
  </si>
  <si>
    <t>After successfully resetting the PIN, automatically log in and resume the action; the bio ticket is not affected.</t>
  </si>
  <si>
    <t>Complete setting the new PIN, check the login and biometrics state.</t>
  </si>
  <si>
    <t>OTP verification and setting the new PIN have been completed.</t>
  </si>
  <si>
    <t>The customer is logged in immediately without any additional step; the original action (adding a product/opening the Cart) is resumed automatically; biometrics previously enabled (if any) is NOT revoked by changing the PIN.</t>
  </si>
  <si>
    <t>Resetting the PIN does not lose the already-set bio ticket state.</t>
  </si>
  <si>
    <t>CT - Cart</t>
  </si>
  <si>
    <t>View the Freeship (Standard) progress and add products to reach the threshold.</t>
  </si>
  <si>
    <t>The cart is currently at 117,000đ, short 33,000đ to reach 150,000đ.</t>
  </si>
  <si>
    <t>On the Cart, Delivery/Standard tab, the cart has not yet reached the freeship threshold.</t>
  </si>
  <si>
    <t>The progress bar clearly shows the remaining amount ('33,000đ more to get free delivery' - BRL-19); a list of suggested products to add is shown.</t>
  </si>
  <si>
    <t>The freeship progress is calculated correctly per BRL-19 (150,000đ threshold).</t>
  </si>
  <si>
    <t>The logic for selecting which products to suggest is still OQ-15/QnA-15, with no official rule yet.</t>
  </si>
  <si>
    <t>Filter the product list in the Cart using 2 independent filters: 60-Minute eligible and BNPL eligible.</t>
  </si>
  <si>
    <t>Turn on the 60-Minute filter alone, then also turn on the BNPL filter.</t>
  </si>
  <si>
    <t>The cart has products eligible for 60-Minute only, BNPL only, and both.</t>
  </si>
  <si>
    <t>The 2 filters work independently and CAN COMBINE with each other (AND); the list updates correctly for each on/off combination.</t>
  </si>
  <si>
    <t>The filter result is correct for all 4 combinations (none on, 60-Minute only, BNPL only, both).</t>
  </si>
  <si>
    <t>Out-of-stock products are separated into an 'unavailable' group, the rest can still be checked out.</t>
  </si>
  <si>
    <t>1 of 3 products in the cart goes out of stock.</t>
  </si>
  <si>
    <t>The cart has at least 1 SKU that goes out of stock midway.</t>
  </si>
  <si>
    <t>The out-of-stock SKU is MOVED to a separate group (no longer alongside the remaining products), with a suggested replacement product or a notify-when-in-stock option; the remaining products can STILL be checked out normally.</t>
  </si>
  <si>
    <t>Separating the group does not interrupt checkout for the rest.</t>
  </si>
  <si>
    <t>The duration for keeping an out-of-stock SKU in the separate group before it is fully removed is still OQ-05/QnA-05.</t>
  </si>
  <si>
    <t>The PwP offer ('Add-on Hot Deal') expires after the countdown shown on Figma.</t>
  </si>
  <si>
    <t>Wait for the countdown of 1 PwP tile to reach 0.</t>
  </si>
  <si>
    <t>The cart is currently showing 1 PwP tile with a countdown (for example 30 minutes left).</t>
  </si>
  <si>
    <t>After the countdown reaches 0, that PwP offer CAN NO LONGER be applied/disappears from the Cart (the exact behavior is pending BA confirmation - QnA-28, the SRS CT-06/BRL-32 does not yet describe this countdown mechanism).</t>
  </si>
  <si>
    <t>TBD - BA confirmation of the exact behavior when the countdown ends is needed before finalizing the Expected Result.</t>
  </si>
  <si>
    <t>The entire PwP countdown mechanism is NOT yet in the SRS - this test case is marked TBD until QnA-28 is answered.</t>
  </si>
  <si>
    <t>A gift item bundled with a promotion goes out of stock.</t>
  </si>
  <si>
    <t>1 gift item attached to a promotion (CTKM) in the cart goes out of stock.</t>
  </si>
  <si>
    <t>The cart has 1 main product with 1 gift item from a promotion, and the gift item goes out of stock midway.</t>
  </si>
  <si>
    <t>TBD - the SRS/BRL-34 does not clearly state the rule for when a gift item is out of stock (cancel the whole promotion? drop the gift item but keep other promotions? show an error blocking checkout?). Record the actual behavior, cross-check QnA-22 once answered.</t>
  </si>
  <si>
    <t>TBD - the QnA-22 answer is needed before finalizing the Acceptance Criteria.</t>
  </si>
  <si>
    <t>Added per Review 26/08/2026 - found from the Review - Gaps &amp; Issues (QnA-22 not yet linked to any test case).</t>
  </si>
  <si>
    <t>An SKU that supports only 1 of the 2 fulfillment methods (Delivery only OR Pickup only) appears in the cart while the customer is on the other method.</t>
  </si>
  <si>
    <t>SKU-DeliveryOnly is added to the cart, then the customer switches to the Pickup tab.</t>
  </si>
  <si>
    <t>The cart has at least 1 SKU configured to support only 1 method (per the QnA-14 assumption).</t>
  </si>
  <si>
    <t>TBD - the SRS does not confirm whether a fulfillment-restricted SKU exists (QnA-14 is Open). If it does, record the behavior: is the SKU hidden/disabled/showing an error when on the unsupported tab. Cross-check again once QnA-14 is answered.</t>
  </si>
  <si>
    <t>TBD - the QnA-14 answer is needed before finalizing the Acceptance Criteria; if the answer is 'no SKU is restricted', this test case can be closed/removed.</t>
  </si>
  <si>
    <t>Added per Review 26/08/2026 - found from the Review - Gaps &amp; Issues.</t>
  </si>
  <si>
    <t>The 60-Minute fee is a fixed fee, and is NOT waived based on order value.</t>
  </si>
  <si>
    <t>The cart reaches &gt;=150,000đ but the 60-Minute service is selected.</t>
  </si>
  <si>
    <t>The address is within the 60-Minute radius (3-5km), the cart is &gt;=150,000đ.</t>
  </si>
  <si>
    <t>The 60-Minute fee is STILL charged even though the order has exceeded the Standard freeship threshold (150,000đ is only free for Standard - BRL-18/19); only a delivery coupon that covers the full fee can waive it.</t>
  </si>
  <si>
    <t>The Standard freeship threshold does NOT apply to 60-Minute.</t>
  </si>
  <si>
    <t>The time slot selection screens on Figma show that the delivery fee can vary by each Standard time slot, a potential conflict with BRL-19 - see QnA-33.</t>
  </si>
  <si>
    <t>A warning appears when the remaining 60-Minute slots hit the configured threshold (currently 1).</t>
  </si>
  <si>
    <t>Remaining 60-Minute slots = 1 (equal to the threshold).</t>
  </si>
  <si>
    <t>The store has exactly 1 remaining 60-Minute slot for the selected time slot.</t>
  </si>
  <si>
    <t>A warning is shown IMMEDIATELY in the Cart when the remaining count &lt;= the threshold (currently 1 - BRL-20), clearly stating the consequence (for example 'only 1 slot left'); this threshold is a configuration parameter and can be increased (for example to 5) without changing the flow.</t>
  </si>
  <si>
    <t>The warning must appear at exactly the moment the threshold is hit, neither earlier nor later.</t>
  </si>
  <si>
    <t>An address within the Next-day zone can only select a delivery DATE (no time slot).</t>
  </si>
  <si>
    <t>Select a valid delivery date from the list.</t>
  </si>
  <si>
    <t>The address is outside the Standard radius, within a configured Next-day zone.</t>
  </si>
  <si>
    <t>The screen only shows a DATE picker (no time slot); unavailable dates are shown as disabled (not hidden) so the customer understands why.</t>
  </si>
  <si>
    <t>Next-day is always date-selection, never time-selection.</t>
  </si>
  <si>
    <t>Whether the Next-day coverage covers all of Vietnam or not is still OQ-09/QnA-09.</t>
  </si>
  <si>
    <t>A bulky order (weighing &gt;15kg OR containing a product tagged as bulky) pushes the delivery date from T+2 to T+4 and adds an extra fee.</t>
  </si>
  <si>
    <t>The cart has a total weight &gt;15kg (or has 1 'bulky' SKU).</t>
  </si>
  <si>
    <t>Selecting a delivery date for an order identified as bulky.</t>
  </si>
  <si>
    <t>Dates before T+4 are disabled (instead of T+2 for a normal order); the screen clearly states which SKU makes the order bulky; the bulky surcharge is ADDED on top of the selected service fee and is NOT waived by the freeship threshold (BRL-22/23).</t>
  </si>
  <si>
    <t>The bulky determination is calculated on the COMBINATION of selected products, not on each individual SKU.</t>
  </si>
  <si>
    <t>Removing the 'bulky' product from the cart makes the order revert to T+2 (automatic re-evaluation).</t>
  </si>
  <si>
    <t>Delete the only 'bulky' SKU from the cart.</t>
  </si>
  <si>
    <t>The order is currently in a bulky state (T+4) due to 1 SKU tagged as bulky.</t>
  </si>
  <si>
    <t>The earliest selectable date reverts to T+2 IMMEDIATELY after deleting that SKU (the bulky rule is re-evaluated every time the product selection changes, not fixed once).</t>
  </si>
  <si>
    <t>The bulky re-evaluation is real-time based on the current selection.</t>
  </si>
  <si>
    <t>Enter Pickup recipient information different from the account owner.</t>
  </si>
  <si>
    <t>Enter a recipient name/phone number different from the logged-in account's name/phone number.</t>
  </si>
  <si>
    <t>On the 'Pickup' tab in the Cart.</t>
  </si>
  <si>
    <t>The recipient name and phone number are entered SEPARATELY, independent of the account profile (BRL-30) - not overwritten or validated to match the profile.</t>
  </si>
  <si>
    <t>The recipient can be completely different from the account owner.</t>
  </si>
  <si>
    <t>Cash payment for Pickup is ONLY available for Platinum/Diamond tier.</t>
  </si>
  <si>
    <t>A Platinum tier account tries to select cash; a regular tier account tries to select cash.</t>
  </si>
  <si>
    <t>2 test accounts: 1 Platinum, 1 regular tier (for example Silver/no tier).</t>
  </si>
  <si>
    <t>For a Platinum/Diamond account: the cash option is shown and selectable. For a regular tier account: the cash option is NOT shown (completely hidden, not just grayed out/disabled) - this is a change from As-Is (BRL-29).</t>
  </si>
  <si>
    <t>The tier eligibility check must be accurate, not exposing the option to an ineligible tier.</t>
  </si>
  <si>
    <t>Check 2 different locker journeys: a locker near home (under Delivery) and a locker at the store (under Pickup).</t>
  </si>
  <si>
    <t>Select a locker near home from the Delivery tab; separately select a locker at the store from the Pickup tab.</t>
  </si>
  <si>
    <t>On the Cart, both the Delivery and Pickup tabs have a locker option.</t>
  </si>
  <si>
    <t>The locker near home shows: estimated time, the name/address of the locker near the customer; the locker at the store shows: estimated time, the locker's location within the store. The 2 flows do not mix with each other.</t>
  </si>
  <si>
    <t>Correctly distinguishes the 2 locker types according to the correct Delivery/Pickup branch.</t>
  </si>
  <si>
    <t>OQ-23/QnA-23: the full rule (selection, holding time, fee, handling for no-show) is still open. QnA-31: Figma already has a fairly complete locker UI, needs confirmation on whether this is the official version.</t>
  </si>
  <si>
    <t>Check the 3 display states of a Pickup slot: Open / Closing soon / Closed.</t>
  </si>
  <si>
    <t>3 sample slots: slot A has plenty of room, slot B is nearly full (hits the warning threshold), slot C is full.</t>
  </si>
  <si>
    <t>On the Pickup tab in the Cart, on the slot selection screen.</t>
  </si>
  <si>
    <t>Slot A shows Open (selectable); Slot B shows Closing soon with a warning (still selectable); Slot C shows Closed (not selectable, disabled). The 3 states are mutually exclusive, per BRL-28.</t>
  </si>
  <si>
    <t>Exactly 3 Pickup slot states based on capacity, with no mixing between states.</t>
  </si>
  <si>
    <t>Added per Review 26/08/2026 - the Delivery side already has a similar test for 60-Minute (SCR-CRT-02-SC2) but the Pickup side (BRL-28) does not, this is a gap recorded in the Review - Gaps &amp; Issues.</t>
  </si>
  <si>
    <t>Swipe a product to the left to delete - must go through a confirmation screen.</t>
  </si>
  <si>
    <t>Swipe left on 1 product row, tap Confirm on the dialog.</t>
  </si>
  <si>
    <t>The cart has at least 1 product.</t>
  </si>
  <si>
    <t>Swiping left shows a Delete button but does NOT delete immediately; tapping Delete opens a confirmation dialog 'Are you sure you want to remove this product?' with No/Confirm; only Confirm actually deletes.</t>
  </si>
  <si>
    <t>There is no instant delete action that bypasses the confirmation dialog.</t>
  </si>
  <si>
    <t>Reducing the quantity to 0 triggers the SAME delete confirmation dialog as swipe.</t>
  </si>
  <si>
    <t>Reduce the product quantity from 1 to 0.</t>
  </si>
  <si>
    <t>The product currently has quantity = 1.</t>
  </si>
  <si>
    <t>The confirmation dialog is identical to the swipe case (same content, same No/Confirm); tapping No RESTORES the quantity to 1 (not kept at 0).</t>
  </si>
  <si>
    <t>The 2 trigger mechanisms (swipe, reducing to 0) must lead to the same confirmation behavior.</t>
  </si>
  <si>
    <t>Selecting more than 30 products for a single checkout is blocked with an error and cannot Proceed.</t>
  </si>
  <si>
    <t>Select 35 products (Select all), try to tap Checkout.</t>
  </si>
  <si>
    <t>The cart has &gt;30 selectable products.</t>
  </si>
  <si>
    <t>An error 'The cart has exceeded the maximum limit of 30 products per order' is shown, taking the customer back to the selection step; a counter of selected quantity/limit is clearly shown (for example 35/30); the Proceed to Checkout button is locked until it is reduced to &lt;=30.</t>
  </si>
  <si>
    <t>The limit of 30 is a configuration parameter (BRL-31), not hard-coded but must be correctly enforced.</t>
  </si>
  <si>
    <t>Confirmed via the actual Figma screen that this exact error message exists - used as reference test data.</t>
  </si>
  <si>
    <t>Changing the store in the Cart has NO impact (no product/service affected) - changes immediately without confirmation.</t>
  </si>
  <si>
    <t>Select a new store where all products/services/slots remain valid unchanged.</t>
  </si>
  <si>
    <t>The store list in the Cart has been filtered to only stores that can serve the current address.</t>
  </si>
  <si>
    <t>Since there is no impact on either group (products, service/slot), the store IS CHANGED IMMEDIATELY, with no warning dialog shown.</t>
  </si>
  <si>
    <t>Confirmation is only needed when there is an impact - in this case there is no impact so the change is direct.</t>
  </si>
  <si>
    <t>Changing the store affects both groups (price change/out of stock AND service/slot change) - a single combined warning is shown for both, Continue applies the changes.</t>
  </si>
  <si>
    <t>Select a new store that makes 1 SKU out of stock, 1 SKU change price, AND changes the service zone.</t>
  </si>
  <si>
    <t>The new store simultaneously affects both the products and the service/slot of the current cart.</t>
  </si>
  <si>
    <t>Only 1 COMBINED warning dialog is shown listing all impacts (not split into 2 separate dialogs); tapping Continue: products no longer sellable/out of stock move to a separate group, products with a price change are updated to the new price, service/slot is re-suggested per the standard rule (BRL-25...27).</t>
  </si>
  <si>
    <t>The warning must combine all impacts into a single confirmation.</t>
  </si>
  <si>
    <t>The detailed layout of the warning when multiple impact groups occur at the same time is still OQ-25/QnA-25 - this is the last item still blocking the Cart screen set.</t>
  </si>
  <si>
    <t>Tapping Cancel on the store-change warning keeps the old store unchanged and makes NO changes in the cart.</t>
  </si>
  <si>
    <t>Tap Cancel on the combined warning dialog.</t>
  </si>
  <si>
    <t>The store-change warning dialog is currently showing (from SC2).</t>
  </si>
  <si>
    <t>The old store is KEPT UNCHANGED, and all products/services/slots in the cart are NOT changed even by 1 small detail.</t>
  </si>
  <si>
    <t>Cancel must be a complete rollback, applying no partial change.</t>
  </si>
  <si>
    <t>The customer has NOT actively changed the slot on the Homepage: the system suggests slots in the order earliest &gt; familiar &gt; points-earning.</t>
  </si>
  <si>
    <t>Open the slot selection sheet without ever having changed the slot on the Homepage.</t>
  </si>
  <si>
    <t>The customer has never actively selected a different slot on the Homepage for this session.</t>
  </si>
  <si>
    <t>The EARLIEST slot at the store is suggested first (BRL-25); other slots are ordered as: familiar slot &gt; earliest slot &gt; points-earning slot (BRL-27).</t>
  </si>
  <si>
    <t>Correct priority order when the customer has not actively changed the slot.</t>
  </si>
  <si>
    <t>Customer has ALREADY actively selected a slot on the Homepage: the 'usual' slot is suggested first instead of the earliest slot.</t>
  </si>
  <si>
    <t>Open the slot selection sheet after having previously actively changed the slot on the Homepage.</t>
  </si>
  <si>
    <t>The customer has actively selected a different slot on the Homepage before entering Cart.</t>
  </si>
  <si>
    <t>The 'usual' slot (the time slot with the highest share over the last 2 months, calculated per address, across all stores) is suggested FIRST, followed by the earliest slot (BRL-26/27).</t>
  </si>
  <si>
    <t>The priority order must be reversed compared to SC1 when the customer has previously made an active selection.</t>
  </si>
  <si>
    <t>CO - Checkout</t>
  </si>
  <si>
    <t>All delivery information and the product list are READ-ONLY; any change must go back to Cart.</t>
  </si>
  <si>
    <t>Try tapping the address/store/slot block and the product list.</t>
  </si>
  <si>
    <t>Just tapped Proceed to Checkout from Cart with a valid order.</t>
  </si>
  <si>
    <t>There is no direct edit control on the delivery block/product list; tapping a locked element explains the rule and returns to Cart, KEEPING all previous selections unchanged when returning (BRL-31).</t>
  </si>
  <si>
    <t>The order must truly be non-editable at Checkout (BR-09) - every change must go back to Cart.</t>
  </si>
  <si>
    <t>Switch Detail/Compact for the product list of a large order - display only, does not change the order.</t>
  </si>
  <si>
    <t>Tap the toggle from Detail to Compact and back.</t>
  </si>
  <si>
    <t>Order has many products (e.g. &gt;=10 SKUs).</t>
  </si>
  <si>
    <t>Compact shows a grid of 1 row/multiple products per row (image and quantity only); Detail shows full image/price/quantity; switching back and forth does NOT change the order content.</t>
  </si>
  <si>
    <t>The toggle is display only, it must not affect the order data in any way.</t>
  </si>
  <si>
    <t>Enter an order note and select an out-of-stock handling option.</t>
  </si>
  <si>
    <t>Enter a free-text note, select 1 out-of-stock handling option.</t>
  </si>
  <si>
    <t>Free-text note is at the ORDER level (not per product); the preferred out-of-stock handling option (e.g. call to confirm / auto-substitute / cancel that product) is saved with the order.</t>
  </si>
  <si>
    <t>Both fields are valid, optional inputs.</t>
  </si>
  <si>
    <t>Select carton packaging - the applicable fee (if any) has not yet been officially confirmed.</t>
  </si>
  <si>
    <t>Turn on the carton packaging option.</t>
  </si>
  <si>
    <t>The carton packaging option is recorded on the order; the corresponding fee (if any) shows in the payment summary on SCR-CHK-02, but the EXACT value is pending confirmation from LOTTE MART (OQ-16).</t>
  </si>
  <si>
    <t>TBD on the specific fee value - only confirm that the option is recorded correctly, do not assert a fixed amount.</t>
  </si>
  <si>
    <t>Enter a valid GotIt/gift card code and apply it to the order total.</t>
  </si>
  <si>
    <t>Enter a valid gift code (manual entry or scan the code).</t>
  </si>
  <si>
    <t>On SCR-CHK-02, no gift card applied to the order yet.</t>
  </si>
  <si>
    <t>The card value is DEDUCTED from the amount payable, shown as a separate line in the payment summary; manual entry and code scanning give the same result for the same valid code.</t>
  </si>
  <si>
    <t>Gift card is applied correctly, correctly reflected in the final total.</t>
  </si>
  <si>
    <t>Coupons already applied in Cart are shown again at Checkout, split into 2 separate groups for confirmation.</t>
  </si>
  <si>
    <t>Review the coupon list at Checkout.</t>
  </si>
  <si>
    <t>A delivery coupon AND a product coupon have already been auto-applied from Cart.</t>
  </si>
  <si>
    <t>2 groups shown SEPARATELY: the delivery coupon group and the order/product coupon group, each stating the discount amount and reason; this is only a CONFIRMATION screen (coupons cannot be removed here).</t>
  </si>
  <si>
    <t>Grouping is correct per BRL-32, the 2 coupon types are not mixed together.</t>
  </si>
  <si>
    <t>The full list of promotion types that need to be shown is still OQ-17/QnA-17.</t>
  </si>
  <si>
    <t>Use reward points: enter a specific amount, or apply all points in a single tap.</t>
  </si>
  <si>
    <t>Enter an arbitrary points value; then retry with the 'Use all points' button.</t>
  </si>
  <si>
    <t>Account has enough available reward points.</t>
  </si>
  <si>
    <t>Manually entering a valid value (&lt;= current points) is accepted and deducted from the total; the 'apply all points in one tap' button correctly applies the entire current balance without manual entry.</t>
  </si>
  <si>
    <t>Both ways of entering points must result in an accurate deduction.</t>
  </si>
  <si>
    <t>Whether the points that WILL be earned after the order is displayed is still OQ-20/QnA-20.</t>
  </si>
  <si>
    <t>BNPL selected in Cart is carried over to Checkout, each payment method carries its own promotion badge.</t>
  </si>
  <si>
    <t>View the payment method list at Checkout.</t>
  </si>
  <si>
    <t>BNPL was selected as the payment method in Cart.</t>
  </si>
  <si>
    <t>BNPL is already PRE-SELECTED when entering Checkout (no need to select again); each method (MoMo/ZaloPay/card/BNPL) can carry its own promotion badge (BRL-33).</t>
  </si>
  <si>
    <t>Correctly carries over the method selected in Cart.</t>
  </si>
  <si>
    <t>The official commercial name of BNPL (e.g. 'Lotte Flex' shown on Figma) has not been confirmed in the SRS - QnA-35.</t>
  </si>
  <si>
    <t>The final payment summary lists ALL lines in FULL (including 0-value lines) and Place order succeeds.</t>
  </si>
  <si>
    <t>View the payment summary then tap Place order.</t>
  </si>
  <si>
    <t>Valid order, all required information complete (address/store/slot, payment).</t>
  </si>
  <si>
    <t>Summary shows in full: order value, nylon fee, delivery fee, bulky surcharge (if any), product discount, delivery discount, amount payable, expected points to be earned - EVERY line shows even when it equals 0 (for reconciliation purposes); tapping Place order commits the order successfully and ends the scope of this document (CO-10).</t>
  </si>
  <si>
    <t>All items must be calculated and shown, no line hidden even when the value = 0.</t>
  </si>
  <si>
    <t>Check that all 3 policy links (return/exchange, purchase, privacy) are shown and open correctly at Checkout.</t>
  </si>
  <si>
    <t>Tap each policy link one by one.</t>
  </si>
  <si>
    <t>All 3 links (Return/Exchange Policy, Purchase Policy, Privacy Policy) are shown and open correctly (although the final detailed content is still pending Legal confirmation per QnA-21) - this test only confirms the links EXIST and OPEN CORRECTLY, it does not confirm the content.</t>
  </si>
  <si>
    <t>All 3 links are present and open correctly, no broken link (404/blank).</t>
  </si>
  <si>
    <t>Added per the review on 26/08/2026 - CO-09 previously had no test case at all (Review - Gaps &amp; Issues).</t>
  </si>
  <si>
    <t>Pickup variant: the collection block replaces the delivery block, no delivery fee.</t>
  </si>
  <si>
    <t>View SCR-CHK-03 for a Pickup order.</t>
  </si>
  <si>
    <t>Order was created from the Pickup branch in Cart.</t>
  </si>
  <si>
    <t>The 'collection' block shows: store, address, distance, pickup time slot (locked read-only like every other field elsewhere); there is NO delivery fee line in the summary (the freeship threshold and delivery coupon do not apply); bulky surcharge (if any) still applies.</t>
  </si>
  <si>
    <t>Pickup must completely remove the delivery fee from the summary, not show 0đ but hide that line entirely.</t>
  </si>
  <si>
    <t>The cash option for Pickup only shows for accounts eligible for the tier (Platinum/Diamond).</t>
  </si>
  <si>
    <t>Check the payment method list for 2 accounts of different tiers.</t>
  </si>
  <si>
    <t>Pickup order, 2 test accounts: 1 Platinum, 1 regular tier.</t>
  </si>
  <si>
    <t>For the Platinum account: cash shows and can be selected. For the regular tier account: cash does NOT show in the method list.</t>
  </si>
  <si>
    <t>Consistent with the behavior already checked in SCR-CRT-04-SC2 (Cart) - Checkout must be consistent with Cart.</t>
  </si>
  <si>
    <t>View the Homepage with an address that is only eligible for Standard (not eligible for 60-Minute).</t>
  </si>
  <si>
    <t>Saved address 12km from the store (State B per SCR-HOM-05).</t>
  </si>
  <si>
    <t>Guest/Member has saved an address outside the 60-Minute radius but still within the store's Standard radius.</t>
  </si>
  <si>
    <t>Header shows the correct saved address; the estimate shows ONLY Standard, NO 60-Minute suggestion banner (unlike SC2); the specific time slot is shown - TBD whether it changes per address within the same tier or uses a shared store slot, pending QnA-49.</t>
  </si>
  <si>
    <t>The 60-Minute banner must NOT be allowed to appear when coverage does not support it, even though the address is still valid for Standard.</t>
  </si>
  <si>
    <t>Added per the review request on 27/08/2026 - closes 2 gaps: the banner not showing when beyond 60 minutes, and whether the time slot changes per address within the same tier.</t>
  </si>
  <si>
    <t>Check that the Cart icon is always present on the Homepage tab bar.</t>
  </si>
  <si>
    <t>Observe the tab bar in various states: Guest/Member, empty/non-empty cart.</t>
  </si>
  <si>
    <t>On the Homepage, test at least 2 states: Guest &amp; Member, empty cart &amp; cart with products.</t>
  </si>
  <si>
    <t>The Cart icon is always present on the tab bar regardless of login state or number of products in the cart; when the cart has products, the icon shows the correct quantity badge.</t>
  </si>
  <si>
    <t>The Cart icon must not disappear/hide in any tested state combination.</t>
  </si>
  <si>
    <t>Added per the review request on 27/08/2026.</t>
  </si>
  <si>
    <t>TBD: behavior of the what3words field on the address creation screen.</t>
  </si>
  <si>
    <t>Observe/interact with the what3words field (if any) when creating an address.</t>
  </si>
  <si>
    <t>On SCR-HOM-02, not yet clear whether what3words is an input or just a display - pending QnA-51.</t>
  </si>
  <si>
    <t>TBD - Expected Output cannot be described until QnA-51 confirms the role of this field.</t>
  </si>
  <si>
    <t>Record the actual behavior for reference, do not assume a fixed behavior.</t>
  </si>
  <si>
    <t>Added per the review request on 27/08/2026 - QC found the term 'what3words' needs clarification before writing the test.</t>
  </si>
  <si>
    <t>Enter the address creation screen while location permission is denied/off.</t>
  </si>
  <si>
    <t>Open SCR-HOM-02 with location permission = Denied, tap 'Use my location'.</t>
  </si>
  <si>
    <t>Location permission = Denied, Guest/Member has no address yet, on SCR-HOM-02.</t>
  </si>
  <si>
    <t>TBD - need to determine: the map display when permission is Denied, the initial content of the address field, and the reaction when tapping 'Use my location' while Denied - pending QnA-52.</t>
  </si>
  <si>
    <t>SCR-HOM-02-SC1 currently only tests the Allow path - need to add the Denied path as it is a common real-world scenario.</t>
  </si>
  <si>
    <t>Check the 2-way sync between the map section and the text address field.</t>
  </si>
  <si>
    <t>Edit the address by typing manually; drag/drop the pin on the map to a different location.</t>
  </si>
  <si>
    <t>On SCR-HOM-02, both the map section and the text address field are shown together.</t>
  </si>
  <si>
    <t>TBD - need to determine whether typing the address auto-moves the map pin, and whether dragging the pin auto-updates the text address field - pending QnA-53.</t>
  </si>
  <si>
    <t>The 2 displays must stay consistent with each other, must not let the customer save an address mismatched between the map and the text.</t>
  </si>
  <si>
    <t>Check whether a newly saved address enters the address book, the option to set it as default, and the rule for which address loads in the next session.</t>
  </si>
  <si>
    <t>Save a new address for a Member who already has 1-2 other addresses.</t>
  </si>
  <si>
    <t>Logged-in Member, already has at least 1 old address in the address book, creating 1 additional new address.</t>
  </si>
  <si>
    <t>TBD - need to determine: whether the new address goes into the SCR-HOM-03 list, whether there is a set-as-default option, which address loads first when there are multiple addresses, and which address loads on the next app open - pending QnA-54.</t>
  </si>
  <si>
    <t>Behavior must be consistent, must not lose or misstate the customer's default address between sessions.</t>
  </si>
  <si>
    <t>Check the address type label (Home/Company/Other) when saving an address, especially the 'Other' case.</t>
  </si>
  <si>
    <t>Select each label type when saving an address; for 'Other' specifically try entering a custom name (if any).</t>
  </si>
  <si>
    <t>On SCR-HOM-02, the save-address step has a label type selection.</t>
  </si>
  <si>
    <t>TBD - need to determine the list of available labels, and the display/input rule when 'Other' is selected - pending QnA-55.</t>
  </si>
  <si>
    <t>Address label shows correctly and consistently between SCR-HOM-02 (when saving) and SCR-HOM-03 (list).</t>
  </si>
  <si>
    <t>A new customer (no order history) opens the slot selection sheet - no 'usual' slot to suggest.</t>
  </si>
  <si>
    <t>Newly created account, has never placed an order, opens the slot selection sheet for the first time.</t>
  </si>
  <si>
    <t>Test account with no order history (newly signed up or has never purchased).</t>
  </si>
  <si>
    <t>No 'usual' label appears (since there is no history data); the system falls back to suggesting the EARLIEST slot as the default, the same behavior as SCR-CRT-07-SC1 (customer has not actively changed the slot).</t>
  </si>
  <si>
    <t>Missing history data must not cause an error/blank screen - there must be a reasonable fallback.</t>
  </si>
  <si>
    <t>Added per the review request on 27/08/2026 - SCR-CRT-07 previously only tested 2 cases that both assumed prior history/action, missing the case of a completely new customer.</t>
  </si>
  <si>
    <t>All delivery slots for the current day are fully booked (all Closed).</t>
  </si>
  <si>
    <t>Simulate every slot for the day being Closed (0 capacity).</t>
  </si>
  <si>
    <t>Test store is configured so that all slots for today are fully booked.</t>
  </si>
  <si>
    <t>TBD - need to determine whether the system auto-switches to the next day, shows a fully-booked notice, or just shows a fully disabled list with no guidance - pending QnA-57.</t>
  </si>
  <si>
    <t>The customer must not be left stuck on a screen with no available option and no guidance.</t>
  </si>
  <si>
    <t>Member has a saved delivery address, logs out, then reopens the app (without logging back in).</t>
  </si>
  <si>
    <t>Log out, then reopen the app as a Guest.</t>
  </si>
  <si>
    <t>Currently logged in as Member, already has an active delivery address on the Homepage.</t>
  </si>
  <si>
    <t>After logout, the Homepage returns to State A (address is cleared, store is kept - as in SCR-HOM-06-SC2). When reopening the app as a Guest (not logged back in), the Homepage stays in State A - shows 'Choose delivery address', does NOT automatically restore the address the Member had previously used (per NFR-03).</t>
  </si>
  <si>
    <t>The Member's address must not be automatically restored when just reopening the app without logging back in - this is DEFINITE behavior, different from QnA-26 (which address is active AFTER logging back IN).</t>
  </si>
  <si>
    <t>Added per the review request on 28/08/2026 - clearly distinguished from QnA-26: this case is 'reopening the app WITHOUT logging back in'.</t>
  </si>
  <si>
    <t>Check that SCR-HOM-02 can only be opened in Add-new (create) mode, there is no Edit flow for a saved address.</t>
  </si>
  <si>
    <t>From SCR-HOM-01 (already has an address, State B) tap the address; from SCR-HOM-03 look for an Edit button on each saved address.</t>
  </si>
  <si>
    <t>Account already has at least 1 saved address.</t>
  </si>
  <si>
    <t>TBD - tapping the address in State B on the Homepage opens SCR-HOM-03 (the list) rather than opening SCR-HOM-02 directly; in SCR-HOM-03 and SCR-HOM-02 there is NO Edit button found for a saved address, only '+ Add new address' - QC needs to confirm whether this is intentional or a documentation gap.</t>
  </si>
  <si>
    <t>Clearly record whether an Edit button exists, whether a Delete button exists, cross-check against the QnA-58 answer.</t>
  </si>
  <si>
    <t>Added per the review request on 28/08/2026 - QC found that the SRS/Figma does not describe an Edit/Delete flow for a saved address.</t>
  </si>
  <si>
    <t>Tap the '+ Add new address' button from the saved address list.</t>
  </si>
  <si>
    <t>Tap '+ Add new address' at the bottom of the address list.</t>
  </si>
  <si>
    <t>Saved address list is open (SCR-HOM-03), account already has &gt;=1 address.</t>
  </si>
  <si>
    <t>Correctly opens SCR-HOM-02 in Add-new mode (empty form, no pre-filled data from any old address). Tapping back/Cancel from SCR-HOM-02 correctly returns to the address list (SCR-HOM-03), not directly back to the Homepage.</t>
  </si>
  <si>
    <t>Always opens an empty form (create mode); Cancel returns to the correct previous screen (address list).</t>
  </si>
  <si>
    <t>Added per the review request on 28/08/2026. The Cancel-returns-to-correct-screen behavior is a reasonable inference based on standard navigation - if it differs in reality, it needs to be recorded.</t>
  </si>
  <si>
    <t>Check that the 'Served by [store]' suggestion on each address row matches the store actually loaded on the header after selection.</t>
  </si>
  <si>
    <t>For each address (Home, Office, Parents...), cross-check the 'Served by X' text against the actual store shown on the header after selecting it.</t>
  </si>
  <si>
    <t>Account has &gt;=3 saved addresses, each with a different suggested store (at least 1 matching the current store, 1 different store).</t>
  </si>
  <si>
    <t>For EVERY address, the store shown on the header RIGHT AFTER selection must match 100% with the 'Served by X' text previously shown on that same address row - no mismatch in any case.</t>
  </si>
  <si>
    <t>The store suggestion in the list and the actual store loaded on the header are always consistent, no data mismatch.</t>
  </si>
  <si>
    <t>Added per the review request on 28/08/2026 - checks data consistency between the displayed suggestion and the actual result.</t>
  </si>
  <si>
    <t>Check the sort order of addresses in the list when there are multiple addresses, some served by the current store and some by other stores.</t>
  </si>
  <si>
    <t>Account has &gt;=4 addresses: 2 also served by the current store (Nam Sai Gon), 2 only served by other stores.</t>
  </si>
  <si>
    <t>Currently at the Nam Sai Gon store, the 4 addresses above are already set up, address list is open.</t>
  </si>
  <si>
    <t>TBD - not yet clear whether the list prioritizes pushing addresses also served by the current store to the top, or sorts by another criterion (most recently created, alphabetical...) - pending QnA-59.</t>
  </si>
  <si>
    <t>Correctly record the actual displayed order, cross-check against the QnA-59 answer when available.</t>
  </si>
  <si>
    <t>Added per the review request on 28/08/2026.</t>
  </si>
  <si>
    <t>Select a saved address that falls OUTSIDE the service area of ALL stores (0 stores can serve it).</t>
  </si>
  <si>
    <t>Select an address in an area with no store configured to serve it.</t>
  </si>
  <si>
    <t>Account has 1 saved address outside the service area of every existing store.</t>
  </si>
  <si>
    <t>TBD - (1) how the store suggestion is shown for this address row (blank/its own message/hidden suggestion row); (2) after selection, whether the current store stays unchanged or is handled differently, since rule HP-09/BRL-09 currently only describes 3 out of 4 cases (the 0-eligible-store case is missing) - pending QnA-60.</t>
  </si>
  <si>
    <t>The customer must not be left stuck on an error screen or get no response at all when selecting this address.</t>
  </si>
  <si>
    <t>Added per the review request on 28/08/2026 - found that rule HP-09 is missing 1 handling branch.</t>
  </si>
  <si>
    <t>Turn off location permission (location = Denied/Off) then select a saved address to check whether automatic store switching still works correctly.</t>
  </si>
  <si>
    <t>Turn off the device's location permission, open the address list, select an address served by a different store.</t>
  </si>
  <si>
    <t>Location permission is Denied/Off, account has &gt;=2 addresses in different service areas.</t>
  </si>
  <si>
    <t>TBD - initial expectation (not yet confirmed by BA): store switching still works normally because the system uses the address's already-saved coordinates (geocoded at creation time in SCR-HOM-02), not the device's live location - pending QnA-61 confirmation.</t>
  </si>
  <si>
    <t>Turning off location must not break the address/store switching flow on the Homepage, since the address already has fixed coordinates from before.</t>
  </si>
  <si>
    <t>Check that the service badge shown for each store in the change-store list is correct.</t>
  </si>
  <si>
    <t>Open the store sheet, cross-check the badge of 4 sample stores (Nam Sai Gon: 60-Minute+Standard; Tan Binh: Standard only; Go Vap: Standard only; Long Bien: Does not serve this address).</t>
  </si>
  <si>
    <t>Current address is fixed (123 Nguyen Thi Thap, District 7), the 4 sample stores are configured exactly as in Figma.</t>
  </si>
  <si>
    <t>Each store shows exactly 1 of the following badges: '60-Minute + Standard', 'Standard only', or 'Does not serve this address' - matching precisely the distance thresholds BRL-10..12 for that store to the current address.</t>
  </si>
  <si>
    <t>Badge must not be incorrect or show a common default for every store - it must be calculated per store-address pair.</t>
  </si>
  <si>
    <t>Added per the review request on 28/08/2026 - uses the exact sample dataset in Figma (Slide 45).</t>
  </si>
  <si>
    <t>Search for a store by name or by district in the 'Search store or district' box.</t>
  </si>
  <si>
    <t>Type a store name (e.g. 'Tan Binh'); type a district name using the OLD boundary (e.g. 'Q.7'); type using the NEW boundary after merger (if any).</t>
  </si>
  <si>
    <t>Store sheet (SCR-HOM-04) is open, the store list already has district labels using the old boundary (Figma Slide 45: 'Q.7', 'Q. Tan Binh').</t>
  </si>
  <si>
    <t>Searching by store name returns correctly matched results. Searching by district: TBD - not yet clear whether the system can find results for both the OLD and NEW boundary or only one of them - directly related to QnA-46 (previously only stated for SCR-ONB-03, now also applied to SCR-HOM-04).</t>
  </si>
  <si>
    <t>The customer must not type the correct district name (old or new) and get 0 results due to mismatched boundary data.</t>
  </si>
  <si>
    <t>Added per the review request on 28/08/2026 - extends the scope of QnA-46 (previously only applied to SCR-ONB-03) to SCR-HOM-04 as well.</t>
  </si>
  <si>
    <t>Open SCR-HOM-04 while the Homepage is in State A (no address yet) and/or location permission is off, check what the service badge shows.</t>
  </si>
  <si>
    <t>(a) No address at all, open the store sheet; (b) location permission off, open the store sheet.</t>
  </si>
  <si>
    <t>(a) Guest/Member has never created an address; (b) location permission = Denied/Off.</t>
  </si>
  <si>
    <t>TBD - not yet clear whether the service badge relies on the device's current location (needs location) or is hidden/not shown until an address exists - pending QnA-62.</t>
  </si>
  <si>
    <t>Must not show an incorrect or confusing badge when there is not enough address/location data to calculate it.</t>
  </si>
  <si>
    <t>Change store such that the current address becomes eligible for a BETTER service (from Standard only to 60-Minute-eligible at the new store).</t>
  </si>
  <si>
    <t>Select a new store where the current address falls within that store's 60-Minute radius (the old store was only Standard-eligible).</t>
  </si>
  <si>
    <t>The current address is in the Standard-only zone of the old store.</t>
  </si>
  <si>
    <t>TBD - not yet clear whether the system AUTOMATICALLY upgrades the currently selected service to 60-Minute, or keeps Standard for the customer to change manually, and whether a notification similar to the service-downgrade case is shown - pending QnA-63.</t>
  </si>
  <si>
    <t>The service-upgrade behavior (if any) must be consistent with the existing service-downgrade rule (must always notify, never silently change).</t>
  </si>
  <si>
    <t>Added per the review request on 28/08/2026 - adds the reverse direction of SCR-HOM-04-SC2.</t>
  </si>
  <si>
    <t>Change store from the Homepage while there is ALREADY a Cart containing products from the old store.</t>
  </si>
  <si>
    <t>Cart already has products from the old store; open SCR-HOM-04, select a new store that makes 1 SKU in the Cart go out of stock/change price/lose its service.</t>
  </si>
  <si>
    <t>The cart currently has products from the old store, the new store will affect this cart if applied.</t>
  </si>
  <si>
    <t>TBD - not yet clear whether the Homepage warns/blocks similarly to SCR-CRT-06 when an affected cart exists, or applies the change immediately per BRL-08 and lets Cart handle it separately when the customer reopens Cart - this is a rule conflict that needs BA confirmation (QnA-64).</t>
  </si>
  <si>
    <t>The cart must not be silently changed (losing products/changing prices) without ANY warning on EITHER of the two screens (Homepage or when reopening Cart).</t>
  </si>
  <si>
    <t>Added per the review request on 28/08/2026 - direct conflict between the SCR-HOM-04 rule (no warning) and SCR-CRT-06 (warning required).</t>
  </si>
  <si>
    <t>Select the 60-Minute service while many slots remain (healthy), complete the Cart step and Proceed to Checkout.</t>
  </si>
  <si>
    <t>Address within 3-5km radius, select 60-Minute, cart contains only products eligible for 60-Minute.</t>
  </si>
  <si>
    <t>Store still has many 60-Minute slots (above the warning threshold), address within the 60-Minute radius.</t>
  </si>
  <si>
    <t>Selecting 60-Minute succeeds, correctly shows the expected delivery time ('Arrives by...'), remaining slot count, fixed fee of 25,000đ; the Proceed to Checkout button works and moves to SCR-CHK-01 with 60-Minute already selected.</t>
  </si>
  <si>
    <t>The entire flow of selecting 60-Minute and completing Cart must be smooth, no warning needed when the slot is still healthy.</t>
  </si>
  <si>
    <t>Added per the review request on 28/08/2026 - previously SCR-CRT-02 only had 2 Boundary tests (fixed fee, low-slot warning), missing a Normal test for the basic successful selection flow.</t>
  </si>
  <si>
    <t>60-Minute is COMPLETELY fully booked (0 slots, Closed) on the Cart screen.</t>
  </si>
  <si>
    <t>Store has 0 remaining 60-Minute slots for the current time window.</t>
  </si>
  <si>
    <t>Store configured with 0 available 60-Minute slots.</t>
  </si>
  <si>
    <t>TBD - the SRS only describes State A (healthy) and State B (1-slot-left warning), it does not describe the fully Closed state on the SCR-CRT-02 screen itself (is the service hidden/disabled, or can the customer still select it and only get an error afterward, and does it auto-fallback to Standard). Record the actual behavior, cross-check against QnA-65.</t>
  </si>
  <si>
    <t>TBD - pending QnA-65.</t>
  </si>
  <si>
    <t>Added per the review request on 28/08/2026 - different from QnA-57 (the detailed slot-selection screen SCR-CRT-07/SCR-CRT-04-SC4), this is about the SCR-CRT-02 service summary screen itself.</t>
  </si>
  <si>
    <t>Cart reaches the specified spending threshold -&gt; the PwP tile switches from locked to unlocked.</t>
  </si>
  <si>
    <t>Add products to the cart until reaching exactly the spending threshold required for a specific PwP deal.</t>
  </si>
  <si>
    <t>Cart currently shows a PwP tile in LOCKED state with a message stating how much more is needed to unlock (e.g. 'Buy 1 more can of juice to unlock PwP').</t>
  </si>
  <si>
    <t>As soon as the cart reaches exactly the spending threshold, the PwP tile switches from locked state (showing the shortfall message) to UNLOCKED state (showing the deal price, e.g. '29,000đ instead of 45,000đ'), the customer can add the PwP product to the cart at the deal price.</t>
  </si>
  <si>
    <t>The unlock must happen IMMEDIATELY when the threshold is reached (real-time), no page reload or extra action needed.</t>
  </si>
  <si>
    <t>Added per the review request on 28/08/2026 - the old test case (SCR-CRT-01-SC4) only tested the expiry countdown (pending QnA-28), it did not test the core "unlock by spending threshold" mechanism (CT-06, already in the SRS, no QnA needed).</t>
  </si>
  <si>
    <t>Turn on the VAT invoice request toggle, enter valid Company/Tax code/Company address in full.</t>
  </si>
  <si>
    <t>Turn on the 'VAT invoice' toggle, enter valid Company/Tax code/Company address.</t>
  </si>
  <si>
    <t>On SCR-CHK-02 step 2 (VAT invoice, final summary).</t>
  </si>
  <si>
    <t>After turning on the toggle, the 3 fields Company/Tax code/Company address appear for input; when entered completely and validly, the information is kept until Place order and correctly attached to the order.</t>
  </si>
  <si>
    <t>Turning the toggle on/off must not lose the Payment Summary data or other selections on this screen.</t>
  </si>
  <si>
    <t>Added per the review request on 28/08/2026 - previously CO-07 only had an Integration test (INT-11, verifying the backend data flow), no Functional/UI test existed for the SCR-CHK-02 screen itself.</t>
  </si>
  <si>
    <t>Turn on the invoice toggle but leave the Tax code empty or enter it in the wrong format.</t>
  </si>
  <si>
    <t>Turn on the toggle, leave Tax code empty (or enter a Tax code in the wrong format, e.g. containing letters).</t>
  </si>
  <si>
    <t>On SCR-CHK-02, VAT invoice toggle is on.</t>
  </si>
  <si>
    <t>TBD - the SRS only lists the 3 fields (Company/Tax code/Company address) with a note 'Rules unchanged from today? TBC - OQ-19', it does not confirm which field is required, what a valid Tax code format is, and whether Place order is blocked when missing/incorrect. Record the actual behavior, cross-check against QnA-19.</t>
  </si>
  <si>
    <t>TBD - pending QnA-19 to confirm the official required/format rule.</t>
  </si>
  <si>
    <t>Added per the review request on 28/08/2026 - clarifies the 'required field validation' part of CO-07, using the existing shared QnA-19 (whether the To-Be VAT invoice rule changes from the current one).</t>
  </si>
  <si>
    <t>Enable Face ID/fingerprint when the device ALREADY has an active bio ticket for a different account.</t>
  </si>
  <si>
    <t>Device already has an active bio ticket for Account A; currently logging in/creating Account B, tap 'Enable' on the biometric prompt.</t>
  </si>
  <si>
    <t>The device already has an active bio ticket for Account A (per INT-06).</t>
  </si>
  <si>
    <t>The system shows a CLEAR warning to the customer before overwriting Account A's ticket (per the agreed proposal in NFR-02/OQ-07/OQ-11: 'one active ticket per device, with an explicit warning before it is overwritten'); once the customer confirms, the old ticket is overwritten and Account A can no longer log in with biometrics on this device.</t>
  </si>
  <si>
    <t>The warning must appear BEFORE overwriting, it must never overwrite silently.</t>
  </si>
  <si>
    <t>Added per the review request on 28/08/2026 - closes the gap 'LI-07 only had Integration tests (INT-06/INT-15), no Functional/UI test for the actual warning screen'. NOTE: placed at SCR-AUT-04 (Signup - Profile &amp; Biometric Offer), NOT SCR-AUT-05 - per SRS slide 51, the biometric enablement step only occurs at SCR-AUT-04 right after account creation; SCR-AUT-05 (Login - Authenticate) has no biometric enablement step at all. The handling direction (warning before overwrite) has already been agreed by BA as the official proposal, only the technical details are still pending (OQ-07/OQ-11, QnA-07/QnA-11).</t>
  </si>
  <si>
    <t>Try entering non-numeric characters, or fewer/more than 6 characters into the PIN field.</t>
  </si>
  <si>
    <t>Try typing letters/special characters into the PIN field; try entering 5 digits then tapping Continue.</t>
  </si>
  <si>
    <t>On the first-time PIN creation step (SCR-AUT-03), using the app's own numeric keypad.</t>
  </si>
  <si>
    <t>The app's own keypad ONLY shows digit buttons 0-9 (no letters/special characters), so an incorrect format cannot be entered via the UI; the PIN field only accepts EXACTLY 6 digits to allow confirmation/moving to the next step, the confirm button cannot be activated with fewer than 6 digits.</t>
  </si>
  <si>
    <t>There is no way (via the app UI) to enter a PIN other than 6 digits.</t>
  </si>
  <si>
    <t>Added per the review request on 28/08/2026 - previously SCR-AUT-03 only had Normal (correct creation, SC1) and Negative (confirmation mismatch, SC2) tests, missing a boundary test for the input constraint itself (6 digits, digits only).</t>
  </si>
  <si>
    <t>Check the delivery estimate during peak hours, public holidays/Tet, or a force-majeure/disaster situation at the store.</t>
  </si>
  <si>
    <t>Simulate the relevant time/test configuration: (a) peak time window (e.g. 18:00-20:00 in the evening), (b) public holiday/Tet per calendar, (c) store marked as temporarily suspended for orders (force majeure).</t>
  </si>
  <si>
    <t>Has a valid address within the store's service area.</t>
  </si>
  <si>
    <t>TBD - the SRS (BRL-10..28) only describes the general capacity/precedence rule, with no specific adjustment for peak hours/Tet holidays/disasters. Record the system's actual behavior in all 3 situations, cross-check against QnA-66.</t>
  </si>
  <si>
    <t>TBD - pending QnA-66.</t>
  </si>
  <si>
    <t>Added per the review request on 28/08/2026 - clarifies whether the delivery availability calculation rule includes peak hours/Tet holidays/disasters or not.</t>
  </si>
  <si>
    <t>Tap 'View more' on the Member info strip (reward points/barcode).</t>
  </si>
  <si>
    <t>Tap 'View more' right below the reward points line.</t>
  </si>
  <si>
    <t>Logged in as Member, viewing Homepage State A.</t>
  </si>
  <si>
    <t>TBD - the SRS only draws the "View more" button on the mockup, the behavior table (Item 1-6) does not describe what screen it opens (full account page, points history, coupon list, or an expanded barcode). Record the actual destination screen, cross-check against QnA-67.</t>
  </si>
  <si>
    <t>TBD - pending QnA-67.</t>
  </si>
  <si>
    <t>Guest browsing with a local address/store on the device logs in ('Sign in', not Register) to an ALREADY EXISTING Member account (which already has its own saved address/registered store).</t>
  </si>
  <si>
    <t>Set up an existing Member account with a saved address different from the Guest address currently used on the device, and a Registered store different from the store the Guest is currently browsing; then log in to this account.</t>
  </si>
  <si>
    <t>Guest has already manually selected a local address and is browsing at a specific store on the test device.</t>
  </si>
  <si>
    <t>TBD - HP-05/PF-01 only confirms syncing the Guest address to the account on the FIRST login (a newly created account), it does not clearly describe an ALREADY EXISTING account. Record the address/store actually shown after login, cross-check against QnA-68.</t>
  </si>
  <si>
    <t>TBD - pending QnA-68.</t>
  </si>
  <si>
    <t>Added per the review request on 28/08/2026 - different from SCR-HOM-06-SC1 (which only tests Guest-&gt;Member pricing change, without considering an address/store conflict) and QnA-26 (which is the case of logging OUT then logging back IN on the same device, whereas this is a Guest who has NEVER logged in switching to an existing Member account).</t>
  </si>
  <si>
    <t>Guest taps 'Register' (instead of 'Sign in') from the login gate bottom sheet, completes registration, the original action is still resumed.</t>
  </si>
  <si>
    <t>Tap Add to Cart (or the Cart icon) to open the gate, select 'New customer - Register', complete registration of a new account.</t>
  </si>
  <si>
    <t>Guest has no account, currently viewing a product that can be added to the cart.</t>
  </si>
  <si>
    <t>Tapping 'Register' opens SCR-AUT-02 in signup mode (not login); after registration completes successfully (auto login per SU-06), the original action that triggered the gate is correctly RESUMED just like the Sign-in flow (the product auto-adds if the trigger was Add to Cart, or Cart opens directly if the trigger was the Cart icon); the local Guest address (if any) is synced to the new account (HP-05).</t>
  </si>
  <si>
    <t>The Register flow must resume exactly the same as the Sign-in flow, differing only in creating a new account instead of authenticating an existing one.</t>
  </si>
  <si>
    <t>Added per the review request on 28/08/2026 - SC1/SC2/SC3 previously only tested the "Sign in" and "Cancel" branches, without a separate test for the "Register" branch of the same bottom sheet.</t>
  </si>
  <si>
    <t>Sending the OTP fails due to an issue with the phone number itself or the account of the channel receiving the OTP (not active, Zalo not activated/locked, or a foreign phone number with Zalo registered in Vietnam).</t>
  </si>
  <si>
    <t>Phone number in the correct format but in 1 of 3 abnormal states: (1) not active on the telecom network, (2) active but the Zalo account attached to that number is not activated or is locked, (3) foreign-prefix phone number but with a Zalo account registered in Vietnam.</t>
  </si>
  <si>
    <t>On the phone number entry step of Registration (SCR-AUT-02), 3 corresponding types of test phone numbers already prepared.</t>
  </si>
  <si>
    <t>The system must be able to distinguish these cases and show a clear error for each; the phone number remains unchanged in the input field; no OTP is considered successfully sent when the channel cannot receive it. TBD - the specific error message content and whether the system automatically suggests switching to another channel or just shows an error and lets the customer pick again, pending QnA-69.</t>
  </si>
  <si>
    <t>None of these 3 cases should cause the app to hang/load infinitely or show a generic error with an unclear cause.</t>
  </si>
  <si>
    <t>Added per the review request on 28/08/2026. SC1/SC2/SC3 previously only tested a valid+normally-working phone number or an already-registered phone number; the abnormal states of the phone number/OTP receiving channel itself were not tested.</t>
  </si>
  <si>
    <t>Fully quit (kill) the app right after sending an OTP, while waiting to enter the code, then reopen the app.</t>
  </si>
  <si>
    <t>Tap send OTP successfully, then kill the app (not background it) before entering the code, reopen the app.</t>
  </si>
  <si>
    <t>OTP already sent successfully via any channel, code not entered yet.</t>
  </si>
  <si>
    <t>TBD - pending QnA-71 to confirm whether the app continues on the OTP entry screen with the already-sent code, returns to the phone number entry screen from the start, or requires resending a new code. The tester only records the actual behavior, without judging Pass/Fail on their own until there is an official answer.</t>
  </si>
  <si>
    <t>The customer must not be left stuck (no way back/forward) after reopening the app.</t>
  </si>
  <si>
    <t>Added per the review request on 28/08/2026. Similar to the kill-app-mid-flow pattern already recorded for Onboarding (QnA-47/48) but specific to the Signup OTP step, no test case existed for this situation before.</t>
  </si>
  <si>
    <t>Create a PIN belonging to the "weak" PIN group (6 consecutive digits, 6 identical digits, or matching the customer's own phone number) - check whether the system blocks it.</t>
  </si>
  <si>
    <t>Test PINs belonging to the weak groups: '123456', '654321', '111111', and a PIN matching the last 6 digits of the phone number currently being registered.</t>
  </si>
  <si>
    <t>Just successfully verified the OTP, currently on the first-time PIN creation step (SCR-AUT-03).</t>
  </si>
  <si>
    <t>TBD - pending QnA-72 to confirm the specific weak-PIN rule set (whether it blocks or not, which patterns are blocked, what the error message says).</t>
  </si>
  <si>
    <t>If a blocking rule exists, it must be applied consistently in BOTH places where a PIN is created/changed (first-time PIN creation SCR-AUT-03 and new PIN setting when Forgot PIN SCR-AUT-06).</t>
  </si>
  <si>
    <t>Added per the review request on 28/08/2026. SC1 (correct creation)/SC2 (mismatch)/SC3 (wrong format) all did not test the rule on weak PIN CONTENT (as distinct from SC3 which only tests the FORMAT rule - 6 digits, digits only).</t>
  </si>
  <si>
    <t>Fully quit (kill) the app in the middle of the PIN creation step (OTP already verified but PIN creation not yet complete), then reopen it.</t>
  </si>
  <si>
    <t>Kill the app while on the first PIN entry screen or the PIN confirmation screen (not yet completed).</t>
  </si>
  <si>
    <t>OTP already verified successfully, currently on SCR-AUT-03, PIN creation not yet complete.</t>
  </si>
  <si>
    <t>TBD - pending QnA-73 to confirm whether the app continues at the exact unfinished PIN creation step, requires re-verifying the OTP from the start, or another behavior.</t>
  </si>
  <si>
    <t>Must not create an account left in a "dangling" state (phone verified but no PIN, unclear whether it can be logged into again) without a clear handling path.</t>
  </si>
  <si>
    <t>Added per the review request on 28/08/2026. Similar to the kill-app-mid-flow pattern already recorded for Onboarding (QnA-47/48) and Signup/OTP (SC5 just added at SCR-AUT-02), applied to the PIN creation step.</t>
  </si>
  <si>
    <t>List and confirm all entry points leading to the Registration screen (SCR-AUT-02), cross-checking the entire SRS/Figma to see if any entry point has not been tested.</t>
  </si>
  <si>
    <t>Try each known entry point: (1) Add to Cart blocked by the login gate -&gt; select 'New customer - Register'; (2) Cart icon blocked by the login gate -&gt; select 'New customer - Register'; (3) review the entire SRS/Figma for any standalone 'Sign up'/Register CTA not going through the login gate (e.g. Account tab, Homepage banner, final Onboarding screen).</t>
  </si>
  <si>
    <t>The 2 entry points via the login gate (Add to Cart, Cart icon) have been confirmed to correctly lead to SCR-AUT-02 in Registration mode (already tested at SCR-AUT-01-SC4/SCR-AUT-01-SC4-TC1). TBD - pending QnA-74 to confirm whether the SRS/Figma has any OTHER Registration entry point besides the login gate.</t>
  </si>
  <si>
    <t>Every fully listed Registration entry point must correctly lead to the same SCR-AUT-02 screen, no "hidden" Registration flow left untested.</t>
  </si>
  <si>
    <t>Added per the review request on 31/08/2026. Cross-checking the entire current Functional Test Scenarios sheet shows the SRS only describes 2 entry points via the login gate (SCR-AUT-01-SC1/SC2/SC4); it has not been confirmed whether any other standalone Registration entry point exists - this test case is used to consolidate/quickly look up entry point coverage, without repeating content already tested at SCR-AUT-01.</t>
  </si>
  <si>
    <t>Check the default value of EVERY field on the Profile screen (Name, Gender, Date of birth, Nationality, Registered store, Terms checkbox, Marketing checkbox) right upon entering the screen.</t>
  </si>
  <si>
    <t>Take no action, observe the default value of each field.</t>
  </si>
  <si>
    <t>PIN just created successfully at SCR-AUT-03, store 'LOTTE Mart Nam Sai Gon' already selected at Onboarding.</t>
  </si>
  <si>
    <t>Default Gender = 'Ms' (already finalized, QnA-02). Default Registered store = the store selected at Onboarding (already finalized, QnA-02, see SC2). Terms checkbox default is NOT ticked, and is a mandatory condition (already finalized, see SC1). Marketing checkbox default is NOT ticked, and is optional (already finalized, see SC1). TBD - pending QnA-75 to confirm: whether the Name field defaults to empty or has any suggestion (e.g. from the Zalo profile if the OTP channel was Zalo); whether the Date of birth field defaults to empty or has a placeholder value; whether the Nationality field defaults to 'Vietnam' or is left empty requiring manual selection.</t>
  </si>
  <si>
    <t>All 7 fields (Name, Gender, Date of birth, Nationality, Store, 2 checkboxes) must have the correct default value as finalized by the SRS/BA, no field missed during review.</t>
  </si>
  <si>
    <t>Added per the review request on 31/08/2026. Consolidated into 1 scenario covering ALL default values of the Profile screen; the existing SC2 only focuses on Gender + Store, SC1 only mentions the checkboxes generally in the context of testing Terms - this scenario adds the missing Name/Date of birth/Nationality parts and consolidates the whole picture.</t>
  </si>
  <si>
    <t>Confirm whether tapping 'Create Account' pushes to a separate 'Account Created' confirmation screen, and the display order of this screen relative to the biometric offer (SC4) and cart resume (SC3).</t>
  </si>
  <si>
    <t>Tap 'Create Account' with a valid profile, observe the entire chain of screens that appear afterward until returning to the Homepage/Cart.</t>
  </si>
  <si>
    <t>Valid profile already filled in, Terms ticked, ready to tap Submit.</t>
  </si>
  <si>
    <t>TBD - pending QnA-76 to confirm: (1) whether a separate 'Account Created' screen exists (different from the biometric offer in SC4), and what its content is; (2) the exact order among the 3 events: showing the Account Created screen (if any) / showing the biometric offer (SC4) / resuming the cart with auto login (SC3) - which happens first, which is just a non-blocking overlay.</t>
  </si>
  <si>
    <t>The entire screen chain after Submit must be clearly and consistently defined (SC3, SC4 currently describe each part separately, without an overall picture of the order yet).</t>
  </si>
  <si>
    <t>Added per the review request on 31/08/2026. The existing SC3 only states "auto login... product is added automatically", the existing SC4 only states the biometric offer "appears AFTER the account is created" - neither confirms whether an intermediate Account Created screen exists, nor the exact order among these 3 events.</t>
  </si>
  <si>
    <t>Fully quit (kill) the app while filling in the Profile (OTP verified + PIN created but Profile not yet submitted), then reopen it.</t>
  </si>
  <si>
    <t>Partially fill in a few Profile fields (not yet Submitted), kill the app, reopen it.</t>
  </si>
  <si>
    <t>PIN already created successfully at SCR-AUT-03, currently on SCR-AUT-04, Create Account not yet tapped.</t>
  </si>
  <si>
    <t>TBD - pending QnA-77 to confirm whether the app continues on the Profile screen with the partially filled data kept, requires re-verification from the start (phone/OTP/PIN), or another behavior.</t>
  </si>
  <si>
    <t>Must not create an account left in a "dangling" state (phone verified + PIN exists but no profile) without a clear handling path.</t>
  </si>
  <si>
    <t>Added per the review request on 31/08/2026. Similar to the kill-app-mid-flow pattern already recorded for Onboarding (QnA-47/48) and the Signup OTP/PIN steps (SCR-AUT-02-SC5, SCR-AUT-03-SC5), applied to the Profile filling step.</t>
  </si>
  <si>
    <t>LI-01, HP-06, HP-07</t>
  </si>
  <si>
    <t>List and confirm all entry points leading to the Login screen (SCR-AUT-05), cross-checking the entire SRS/Figma to see if any entry point has not been tested.</t>
  </si>
  <si>
    <t>Try each known entry point: (1) Add to Cart blocked by the login gate -&gt; select 'Existing customer - Sign in'; (2) Cart icon blocked by the login gate -&gt; select 'Sign in'; (3) review the entire SRS/Figma for any standalone 'Sign in'/Login CTA not going through the login gate (e.g. Account tab for Guest, after Logout at SCR-HOM-06-SC2).</t>
  </si>
  <si>
    <t>Guest, or just logged out, not logged in.</t>
  </si>
  <si>
    <t>The 2 entry points via the login gate (Add to Cart, Cart icon) have been confirmed to correctly lead to SCR-AUT-05 (already tested at SCR-AUT-01-SC1/SC2). TBD - pending QnA-78 to confirm whether the SRS/Figma has any OTHER Login entry point besides the login gate - particularly after Logout (SCR-HOM-06-SC2), whether the Guest sees a permanent 'Sign in' CTA (without needing to trigger the gate) or still has to go through Add to Cart/Cart icon like a regular Guest.</t>
  </si>
  <si>
    <t>Every fully listed Login entry point must correctly lead to the same SCR-AUT-05 screen, no "hidden" Login flow left untested.</t>
  </si>
  <si>
    <t>Added per the review request on 31/08/2026. Cross-checking the entire current Functional Test Scenarios sheet shows the SRS only describes 2 entry points via the login gate (SCR-AUT-01-SC1/SC2); it has not been confirmed whether any other standalone Login entry point exists, particularly after Logout.</t>
  </si>
  <si>
    <t>Enable biometrics on Device A, log in to the SAME account on Device B, then return to Device A - check whether Device A still shows the biometric prompt.</t>
  </si>
  <si>
    <t>Enable Face ID/fingerprint on Device A for Account X; log in to Account X (via phone+PIN, without enabling biometrics) on Device B; return to open the app on Device A.</t>
  </si>
  <si>
    <t>Account X previously enabled biometrics on Device A.</t>
  </si>
  <si>
    <t>TBD - pending QnA-79 to confirm: whether logging in to Account X on Device B (unrelated to the bio ticket, a different device) invalidates Device A's bio ticket, or whether the bio ticket is device-scoped and fully independent of where else that account logs in.</t>
  </si>
  <si>
    <t>Behavior must be consistent with the definition of "1 device - 1 active ticket" (NFR-02) - NFR-02 currently only describes a conflict between MULTIPLE ACCOUNTS on the SAME device (SCR-AUT-04-SC5), it does not describe the case of the SAME account on MULTIPLE devices.</t>
  </si>
  <si>
    <t>Added per the review request on 31/08/2026. This question's axis differs from QnA-07/QnA-11/SCR-AUT-04-SC5 (which are about multiple accounts contending for 1 device); this is 1 account using multiple devices, which may have a different answer.</t>
  </si>
  <si>
    <t>A phone number attached to an existing account is reclaimed by the carrier and reassigned to a completely new user - check whether this new user can use the Forgot PIN flow to take over access to the old account.</t>
  </si>
  <si>
    <t>Simulate a test phone number already attached to Account A (which has its own PIN), the "new owner" of that phone number (who receives the OTP on that exact phone number) tries entering SCR-AUT-05 and selecting 'Forgot PIN' for this phone number.</t>
  </si>
  <si>
    <t>Test phone number already attached to a Member account (Account A) with existing data (address, order history...); the tester plays the role of the "new owner" of the phone number, only able to receive OTP on that number, not knowing Account A's old PIN.</t>
  </si>
  <si>
    <t>TBD - pending QnA-81 to confirm: whether the system has ANY mechanism other than phone+OTP to detect "the phone owner has changed" (e.g. cross-checking the old device/bio ticket, a warning via another channel before allowing a new PIN to be set), or whether just having the correct OTP received on the phone number is enough to set a new PIN and gain full access to Account A's data.</t>
  </si>
  <si>
    <t>This is a real security risk (a reclaimed/reassigned phone number is a real situation in Vietnam) - needs BA/Security confirmation on whether this is ACCEPTABLE behavior or a vulnerability that needs fixing.</t>
  </si>
  <si>
    <t>Added per the review request on 31/08/2026. This is a serious security question, different from QnA-03 (limit on wrong-attempt count) and QnA-56 (new PIN matching the old PIN) - the entire current Forgot PIN mechanism (SC1) relies only on ownership of the phone number (OTP), with no other identity verification layer for the account owner.</t>
  </si>
  <si>
    <t>CT-02 · CT-07 · BRL-24</t>
  </si>
  <si>
    <t>Check the display of the fixed serving store in Cart and the behavior of the 'Change ›' button for changing the serving store.</t>
  </si>
  <si>
    <t>Tap 'Change ›' next to 'Serving store', select in turn: 1 store that still serves well, 1 store that only has Standard, 1 store that is short of stock/does not sell some SKUs.</t>
  </si>
  <si>
    <t>On SCR-CRT-01, cart has products from the current store, valid delivery address.</t>
  </si>
  <si>
    <t>The serving store is always shown (since price/stock/slot all depend on the store). The 'Change ›' button opens the ALREADY FILTERED store sheet (SCR-CRT-06) - a store that does NOT serve the delivery address does NOT appear in the list (cannot be selected). Changing to a store that makes a product go out of stock / no longer sold / change price / lose a service-slot -&gt; shows 1 consolidated impact warning (BRL-24) listing each affected SKU/service, the customer confirms Continue/Cancel; Cancel keeps the old store unchanged and does not touch the cart at all.</t>
  </si>
  <si>
    <t>The serving store is always shown; a non-serving store is never selectable; every store change with an impact must go through a consolidated warning before being applied. Warning design when multiple impact groups occur at once: TBD per QnA-25/OQ-25.</t>
  </si>
  <si>
    <t>Added per the review request on 31/08/2026 - previously SCR-CRT-01 had no scenario at all for the serving store display and the 'Change ›' button entry point. Does not repeat the deeper test already done at SCR-CRT-06-SC1/SC2.</t>
  </si>
  <si>
    <t>Check the delivery block information carried-from-Homepage (address, recipient, delivery method, delivery time) and the behavior of the 'Edit' button for changing the address / changing the slot.</t>
  </si>
  <si>
    <t>Observe the delivery block; tap 'Edit' next to the address; tap 'Edit' next to the service/slot.</t>
  </si>
  <si>
    <t>Address + service + slot already selected on the Homepage, entered Cart, already has products in the cart.</t>
  </si>
  <si>
    <t>The delivery block correctly shows the address + recipient name/phone + service (Standard/60-Minute/Next-day) + slot selected on the Homepage, with a 'Carried from Homepage' label - the customer does NOT have to select again, only changes it if desired (CT-02). TBD - which screen the address 'Edit' button opens (address list SCR-HOM-03 / create address SCR-HOM-02 / another screen), and whether changing the address while already having a cart triggers a re-resolution of the serving store + a consolidated impact warning (like changing the store) or not, pending QnA-82. The slot 'Edit' button opens the slot selection screen (SCR-CRT-07).</t>
  </si>
  <si>
    <t>TBD - pending QnA-82; at minimum, the cart must not be silently mismatched (losing a SKU / changing price / losing a service) when the address is changed without any warning.</t>
  </si>
  <si>
    <t>Added per the review request on 31/08/2026 - a potential conflict similar to QnA-64 (Homepage vs Cart) but for the ADDRESS-change action (not store change) directly within Cart.</t>
  </si>
  <si>
    <t>CT-04 · BRL-33</t>
  </si>
  <si>
    <t>Turn on the BNPL filter/select BNPL when the cart has a SKU not eligible for BNPL, then Proceed to Checkout.</t>
  </si>
  <si>
    <t>Cart has SKU-BNPL-OK and SKU-BNPL-NO; turn on the 'BNPL eligible' filter; select BNPL; tap Proceed to Checkout.</t>
  </si>
  <si>
    <t>On SCR-CRT-01, at least 1 SKU is configured as not eligible for BNPL.</t>
  </si>
  <si>
    <t>The 'BNPL eligible' filter correctly shows the eligible SKUs (per the QnA-42 assumption - calculated per SKU). TBD - when proceeding to checkout with a cart that still contains a BNPL-ineligible SKU, whether the system blocks/hides BNPL at SCR-CHK-02 / splits the order / still allows placing the BNPL order - pending QnA-83 (and QnA-42 on whether the eligibility scope is per SKU or per order).</t>
  </si>
  <si>
    <t>TBD - pending QnA-83 &amp; QnA-42; the customer must not be allowed to select BNPL and only get an error at the payment step without any prior warning.</t>
  </si>
  <si>
    <t>Added per the review request on 31/08/2026 - clarifies 'what BNPL eligibility means' and the checkout behavior with a BNPL-ineligible product; different from SCR-CRT-01-SC2 (which only tests FILTERING the list by 2 filters).</t>
  </si>
  <si>
    <t>Check the display rule for products in the PwP section ('Deal Sốc Bundle') and the behavior of the 'View ›' button.</t>
  </si>
  <si>
    <t>Observe the PwP tiles in Cart under various cart configurations; tap 'View ›' on a locked PwP tile and on an already-unlocked PwP tile.</t>
  </si>
  <si>
    <t>TBD - the rule for selecting which PwP product to show (based on cart products / store promotion configuration / history / a fixed list), the number of PwP tiles shown at once, the sort order, and the destination screen of the 'View ›' button (full PwP product list / a single deal's detail / added straight to the cart) - pending QnA-84 (and OQ-17/QnA-17 on the full list of promotion types).</t>
  </si>
  <si>
    <t>TBD - pending QnA-84 / QnA-17.</t>
  </si>
  <si>
    <t>Added per the review request on 31/08/2026 - combines 2 review requests (PwP product display rule + 'View unlocked PwP' button behavior); different from SCR-CRT-01-SC4 (PwP countdown, QnA-28) and SCR-CRT-01-SC7 (unlock by spending threshold).</t>
  </si>
  <si>
    <t>CT-06 · BRL-32 · CO-05</t>
  </si>
  <si>
    <t>Check the automatic coupon application rule (when which coupon is applied) and the behavior when tapping the Coupon section.</t>
  </si>
  <si>
    <t>Cart is eligible for multiple coupons (delivery + order/product); observe the auto-applied coupons; tap the 'Coupons · N applied automatically ›' section; try turning off/changing 1 coupon.</t>
  </si>
  <si>
    <t>On SCR-CRT-01, account/cart is eligible for &gt;=2 coupons from both groups.</t>
  </si>
  <si>
    <t>Coupons are applied AUTOMATICALLY by default (BRL-32), presented as 2 separate groups - delivery coupons and order/product coupons. Coupons already applied in Cart are shown again in Checkout for confirmation. TBD - the rule for selecting which coupon to use when multiple coupons in 1 group are all eligible, whether the customer can turn off/change an auto-applied coupon, and which screen opens when tapping the Coupon section - pending QnA-85.</t>
  </si>
  <si>
    <t>The 2 coupon groups must always stay separate; the coupon-selection rule + section behavior part: TBD - pending QnA-85.</t>
  </si>
  <si>
    <t>QnA-85, QnA-17</t>
  </si>
  <si>
    <t>Added per the review request on 31/08/2026 - answers the review question 'when is which coupon applied' + 'behavior when tapping the coupon section'.</t>
  </si>
  <si>
    <t>CT-03 · CT-06 · BRL-19 · BRL-34</t>
  </si>
  <si>
    <t>Increase the QUANTITY of 1 SKU already in the cart (without adding a new SKU) until reaching the freeship threshold and/or the PwP spending threshold.</t>
  </si>
  <si>
    <t>Tap '+' to increase the quantity of 1 SKU until the cart total reaches 150,000đ and/or reaches the threshold that unlocks 1 PwP tile.</t>
  </si>
  <si>
    <t>Cart is currently below the freeship threshold and currently shows &gt;=1 PwP tile in locked state; at least 1 SKU allows quantity increase.</t>
  </si>
  <si>
    <t>As soon as the cart total reaches the threshold via a QUANTITY INCREASE (not adding a new SKU): the freeship bar reports it has been reached and the Standard fee becomes 0đ; the PwP tile that reaches the threshold switches from locked to UNLOCKED; the provisional payment summary updates in real time - all without a page reload or extra action.</t>
  </si>
  <si>
    <t>The automatic unlock mechanism (freeship + PwP) must trigger from a quantity change exactly as it does when adding a new SKU (SCR-CRT-01-SC1, SCR-CRT-01-SC7).</t>
  </si>
  <si>
    <t>Added per the review request on 31/08/2026 - directly answers the review question 'does product quantity automatically unlock free shipping / PwP when the condition is met'; uses the existing real-time recalculation mechanism (BRL-34) already in the SRS, no QnA needed.</t>
  </si>
  <si>
    <t>Check Replacement suggestions for an out-of-stock SKU - the rule for when 'Replace' vs 'Notify me when in stock' shows, the back-in-stock time information, and the behavior when tapping these 2 sections.</t>
  </si>
  <si>
    <t>Cart has &gt;=2 out-of-stock SKUs with different configurations; tap 'Replace with a similar item ›' on 1 SKU and 'Notify me when it is back ›' on the other.</t>
  </si>
  <si>
    <t>On SCR-CRT-01, sub-state has an 'Out of stock' group.</t>
  </si>
  <si>
    <t>TBD - the rule deciding whether each SKU shows 'Replace' or 'Notify' (or both), how the system chooses the replacement product, whether an expected back-in-stock time is shown, and the screen/behavior when tapping each section - pending QnA-86.</t>
  </si>
  <si>
    <t>TBD - pending QnA-86.</t>
  </si>
  <si>
    <t>Added per the review request on 31/08/2026 - digs deeper into the 'Replacement suggestions' part (item #10, SRS slide 54) which SCR-CRT-01-SC3 only mentioned generally.</t>
  </si>
  <si>
    <t>Check that the provisional payment summary shows the correct value for each line and adds up correctly.</t>
  </si>
  <si>
    <t>Cart with known values: order value, product discount, delivery discount, delivery fee per service, (nylon bag / bulky surcharge if any); change 1 item and 1 coupon to check the recompute.</t>
  </si>
  <si>
    <t>On SCR-CRT-01, has an applied coupon and a selected delivery service.</t>
  </si>
  <si>
    <t>Each line of the provisional payment summary is correct per BRL-34: Order value = total price of selected products; Product discount / Delivery discount = correct value of the applied coupon; Delivery fee = correct per the service rule (Standard free when &gt;=150,000đ - BRL-19; 60-Minute fixed fee - BRL-18); Amount payable = Order value − discounts + fees + surcharges (adds up correctly). When an item/coupon/service is changed, the whole summary recomputes in real time. TBD specifically for the 'nylon bag' (bagging/packaging) line - whether it is charged or not is still pending QnA-16.</t>
  </si>
  <si>
    <t>No line must be mathematically incorrect; Amount payable must equal the exact sum of the component lines; recomputes immediately on any change.</t>
  </si>
  <si>
    <t>Added per the review request on 31/08/2026 - answers the review question 'check whether the provisional payment shows the correct value'; the nylon bag line still depends on OQ-16/QnA-16.</t>
  </si>
  <si>
    <t>Check the retention time of an out-of-stock SKU in the 'unavailable' group and the behavior when the SKU comes back in stock.</t>
  </si>
  <si>
    <t>Out-of-stock SKU in the group; simulate time passing (check the point it is removed entirely); simulate the SKU coming back in stock while the customer has Cart open, and after the customer has signed up for 'Notify me when it is back'.</t>
  </si>
  <si>
    <t>On SCR-CRT-01 sub-state with the 'Out of stock' group; 1 SKU already signed up for 'Notify me when it is back'.</t>
  </si>
  <si>
    <t>TBD - the retention time of an out-of-stock SKU in its own group before being removed entirely is pending QnA-05; when the SKU comes back in stock: whether it auto-moves back to the 'Available' group + shows an in-place notification (customer currently has Cart open), the channel + content of the notification for customers who signed up, and whether a removed SKU is auto-added back to the cart - pending QnA-87.</t>
  </si>
  <si>
    <t>TBD - pending QnA-05 &amp; QnA-87.</t>
  </si>
  <si>
    <t>Added per the review request on 31/08/2026 - digs into 2 directions of the out-of-stock group (how long it is kept + what happens when back in stock); SCR-CRT-01-SC3 only tested the group-splitting direction.</t>
  </si>
  <si>
    <t>CT-07 · CT-08 · BRL-24</t>
  </si>
  <si>
    <t>While 60-Minute is selected, tap 'Change ›' to change the serving store and observe how the delivery service changes.</t>
  </si>
  <si>
    <t>Change to (a) a store where the delivery address only has Standard; (b) another store still within the 60-Minute radius.</t>
  </si>
  <si>
    <t>On SCR-CRT-02 State A, 60-Minute already selected, delivery address valid with &gt;=2 stores in the filtered list.</t>
  </si>
  <si>
    <t>(a) Changing to a Standard-only store -&gt; shows a consolidated impact warning (SCR-CRT-06); after Continue, the service auto-falls back to Standard (60-Minute is no longer available at the new store), the slot is re-suggested per BRL-25..27, the fee updates (Standard is free above the threshold), the customer is notified that the service has changed (BRL-08/BRL-24). (b) Changing to a store that still has 60-Minute -&gt; 60-Minute becomes available again; whether it AUTOMATICALLY re-selects 60-Minute or keeps Standard: TBD pending QnA-63; the slot/expected delivery time/remaining slot count is recalculated for the new store.</t>
  </si>
  <si>
    <t>60-Minute must never remain shown as 'selected' at a store that does not serve 60-Minute without a warning; every service change caused by a store change must come with a notification (BRL-08/BRL-24).</t>
  </si>
  <si>
    <t>Added per the review request on 31/08/2026 - answers the review question 'how does the delivery service change when the store is changed'; the direction of 'auto-upgrading the service when the new store is better' is still pending QnA-63.</t>
  </si>
  <si>
    <t>CT-08 · BRL-18 · BRL-32</t>
  </si>
  <si>
    <t>Apply a delivery coupon that covers the entire 60-Minute fee and check whether the fee is waived.</t>
  </si>
  <si>
    <t>(a) Delivery coupon worth &gt;= 25,000đ (covers the fee entirely); (b) a delivery coupon of only 15,000đ (covers it partially).</t>
  </si>
  <si>
    <t>On SCR-CRT-02, 60-Minute already selected (fixed fee 25,000đ), an eligible delivery coupon is available.</t>
  </si>
  <si>
    <t>(a) Delivery coupon covers the full 25,000đ -&gt; the 60-Minute fee line becomes 0đ / shows 'Free' (BRL-18: only a delivery coupon covering the full fee can waive it, it can NEVER be waived based on order value). (b) Coupon only covers 15,000đ -&gt; the remaining 10,000đ is still charged; the provisional summary correctly shows the original fee of 25,000đ and a delivery discount of −15,000đ.</t>
  </si>
  <si>
    <t>The 60-Minute fee becomes 0 if and only if the delivery coupon covers the FULL amount; a partial coupon does not waive it entirely.</t>
  </si>
  <si>
    <t>Added per the review request on 31/08/2026 - answers the review question; tests the OPPOSITE branch of SCR-CRT-02-SC1 (SC1 only proves order value does NOT waive the fee, it did not test whether a delivery coupon covering the full fee waives it).</t>
  </si>
  <si>
    <t>CT-08 · BRL-20 · BRL-21</t>
  </si>
  <si>
    <t>Select 60-Minute when exactly 1 slot remains (State B), the slot is taken by another order before the customer taps Proceed to Checkout.</t>
  </si>
  <si>
    <t>60-Minute slot has 1 remaining; simulate another order taking the last slot; the customer taps Proceed to Checkout.</t>
  </si>
  <si>
    <t>On SCR-CRT-02 State B (already showing the 'Only 1 slot left' warning), 60-Minute already selected.</t>
  </si>
  <si>
    <t>TBD - per the State B notice the customer 'will be asked to select Standard instead', but the specific mechanism (blocked immediately in Cart / auto-switched to Standard with confirmation / allowed through to Checkout then an error) as well as how the fee-slot-expected delivery time are recalculated, and whether there is a soft-hold on the slot when tapping Proceed - pending QnA-88.</t>
  </si>
  <si>
    <t>TBD - pending QnA-88; the customer must not be brought into Checkout with a 60-Minute slot that is already fully booked without it being handled.</t>
  </si>
  <si>
    <t>Added per the review request on 31/08/2026 - tests the race condition between the moment of selection in Cart and the moment of checkout; different from SCR-CRT-02-SC4 (store configured with 0 slots from the start, QnA-65).</t>
  </si>
  <si>
    <t>The 60-Minute slot is Closed (fully booked), another order is marked 'ready for delivery' freeing up capacity -&gt; observe whether the slot automatically reopens.</t>
  </si>
  <si>
    <t>60-Minute slot = Closed; simulate the backend marking 1 order as 'ready for delivery' (freeing up 1 spot).</t>
  </si>
  <si>
    <t>On SCR-CRT-02, the current 60-Minute slot is Closed, Cart is open.</t>
  </si>
  <si>
    <t>When capacity is freed up (another order becomes 'ready for delivery'), the 60-Minute slot automatically reopens in Cart and the customer can select 60-Minute WITHOUT reloading the page (BRL-21). The remaining slot count / status (Healthy / 1 left) updates correctly per the new capacity.</t>
  </si>
  <si>
    <t>Slot reopening must be automatic based on the capacity signal, not dependent on the customer manually refreshing.</t>
  </si>
  <si>
    <t>Added per the review request on 31/08/2026 - answers the review question 'automatically reopen the time slot when capacity is available again'; BRL-21 already describes the mechanism, no QnA needed.</t>
  </si>
  <si>
    <t>CT-04 · CT-08 · BRL-10</t>
  </si>
  <si>
    <t>Select the 60-Minute service when the cart has both SKUs eligible and NOT eligible for 60-Minute.</t>
  </si>
  <si>
    <t>Cart has SKU-60M-OK and SKU-60M-NO; on the SCR-CRT-02 screen (address within 3-5km radius) select '60-Minute' in the 'Delivery service' section.</t>
  </si>
  <si>
    <t>Address within the 60-Minute radius; cart has at least 1 SKU not labeled '60-Minute eligible'.</t>
  </si>
  <si>
    <t>The 60-Minute selection control sits directly within the 'Delivery service' section of SCR-CRT-02, only shown when the address is within the 3-5km radius (no separate config screen). TBD - when selecting 60-Minute with a cart still containing an ineligible SKU: are those SKUs removed / split into a separate Standard order / just hidden from the list / does the system block selecting 60-Minute - pending QnA-89 (and QnA-42 on eligibility per SKU or per order). Whether a warning is shown before the customer loses those SKUs is also TBD.</t>
  </si>
  <si>
    <t>TBD - pending QnA-89 &amp; QnA-42; must not silently remove a SKU from the order when switching to 60-Minute without a warning.</t>
  </si>
  <si>
    <t>Added per the review request on 31/08/2026 - answers the review question 'where is the 60-minute delivery config screen' + 'if the cart has a product not eligible for 60-minute delivery, can it still be selected'.</t>
  </si>
  <si>
    <t>Simplify Checkout — Integration Test Scenario Register</t>
  </si>
  <si>
    <t>Module</t>
  </si>
  <si>
    <t>Business Rule / System Flow</t>
  </si>
  <si>
    <t>Systems Involved</t>
  </si>
  <si>
    <t>Expected Behavior</t>
  </si>
  <si>
    <t>INT-01-SC1</t>
  </si>
  <si>
    <t>Zalo/SMS OTP Gateway</t>
  </si>
  <si>
    <t>SU-02, SU-03, BRL-13, BRL-14, BRL-15</t>
  </si>
  <si>
    <t>Zalo is the default OTP channel; when Zalo fails, the system does NOT automatically fall back to SMS - the customer must manually switch channels.</t>
  </si>
  <si>
    <t>App &lt;-&gt; Zalo OTP Gateway &lt;-&gt; Backup SMS Gateway</t>
  </si>
  <si>
    <t>Account is at the OTP verification step (Signup or Login/Forgot PIN).</t>
  </si>
  <si>
    <t>Zalo is called first (lower cost/message than SMS); if the Zalo Gateway returns a send error, the system does NOT automatically switch to SMS - it must wait for the customer to tap Resend/manually switch channels after the countdown ends.</t>
  </si>
  <si>
    <t>Technical confirmation that there is truly no auto-fallback is still OQ-08/QnA-08.</t>
  </si>
  <si>
    <t>INT-01-SC2</t>
  </si>
  <si>
    <t>NFR-01, LI-06, BRL-15</t>
  </si>
  <si>
    <t>The OTP Gateway refuses to send more OTPs once the number of OTP requests exceeds the limit within a time window.</t>
  </si>
  <si>
    <t>App &lt;-&gt; Zalo/SMS OTP Gateway</t>
  </si>
  <si>
    <t>OTP requests have exceeded the configured limit within the configured time window (exact value pending OQ-03).</t>
  </si>
  <si>
    <t>The OTP Gateway returns a rate-limit error; the app shows a clear message (not a generic error), preventing repeated OTP send spam.</t>
  </si>
  <si>
    <t>The specific limit (number of attempts/time window) is part of OQ-03/QnA-03 and has not been confirmed.</t>
  </si>
  <si>
    <t>INT-02-SC1</t>
  </si>
  <si>
    <t>Payment &amp; BNPL Gateway</t>
  </si>
  <si>
    <t>CO-06, BRL-33</t>
  </si>
  <si>
    <t>The Payment Gateway returns a separate promotion badge for each payment method (MoMo/ZaloPay/Card/BNPL).</t>
  </si>
  <si>
    <t>App &lt;-&gt; Payment Gateway (MoMo/ZaloPay/Card/BNPL)</t>
  </si>
  <si>
    <t>At the payment method selection step in Checkout, with at least 1 method currently having a promotion.</t>
  </si>
  <si>
    <t>The app calls the API to get the list of promotions by payment method, displays the correct separate badge for each method, with no mixing or incorrect application to another method.</t>
  </si>
  <si>
    <t>INT-02-SC2</t>
  </si>
  <si>
    <t>CO-10, NFR-04</t>
  </si>
  <si>
    <t>Exception</t>
  </si>
  <si>
    <t>The Payment Gateway returns an error/timeout when the customer taps 'Place order' - the order must NOT be created as a duplicate, and the customer is shown a clear message.</t>
  </si>
  <si>
    <t>App &lt;-&gt; Payment Gateway &lt;-&gt; OMS</t>
  </si>
  <si>
    <t>The customer has filled in all information and tapped Place order; the Payment Gateway is simulated to time out/return an error.</t>
  </si>
  <si>
    <t>The order is NOT recorded as paid; the customer receives a clear error message and CAN retry without creating 2 duplicate orders for the same tap; Checkout data (Cart, coupon, applied points) is not lost when retrying.</t>
  </si>
  <si>
    <t>Checking the idempotency of the place-order request is the focus of this test case.</t>
  </si>
  <si>
    <t>INT-03-SC1</t>
  </si>
  <si>
    <t>OMS/DMS - Slot Capacity &amp; Next-day</t>
  </si>
  <si>
    <t>CT-08, OQ-12</t>
  </si>
  <si>
    <t>OMS/DMS responds with the correct remaining slot count in real time, driving the 'almost fully booked' warning in the Cart.</t>
  </si>
  <si>
    <t>App &lt;-&gt; OMS/DMS (slot capacity service)</t>
  </si>
  <si>
    <t>The test store is configured so that remaining 60-Minute slots decrease progressively across multiple consecutive orders.</t>
  </si>
  <si>
    <t>Each time another order books a slot, the remaining slot count is updated by DMS and correctly reflected in the app's Cart (no mismatch/stale cache); when the warning threshold is reached, the UI displays it at the correct time.</t>
  </si>
  <si>
    <t>QnA-12</t>
  </si>
  <si>
    <t>Which system actually owns this configuration is still OQ-12/QnA-12.</t>
  </si>
  <si>
    <t>INT-03-SC2</t>
  </si>
  <si>
    <t>CT-08, BRL-21</t>
  </si>
  <si>
    <t>A slot is released (re-opened) when an order is marked 'ready for delivery' by Store Operations.</t>
  </si>
  <si>
    <t>Store Operations (internal) -&gt; OMS/DMS -&gt; App</t>
  </si>
  <si>
    <t>A slot is currently in 'Closed' status (fully booked) due to a previous order holding it.</t>
  </si>
  <si>
    <t>As soon as Store Operations marks the order 'ready for delivery', the slot is released and AUTOMATICALLY switches back to 'Open' for other customers to book (BRL-21), with no other manual intervention needed.</t>
  </si>
  <si>
    <t>INT-04-SC1</t>
  </si>
  <si>
    <t>OMS - Order Placement (Place Order)</t>
  </si>
  <si>
    <t>CO-10</t>
  </si>
  <si>
    <t>A successful order push sends the complete Checkout data (products, price, coupon, points, fees) to OMS with an exact 1-1 match.</t>
  </si>
  <si>
    <t>App -&gt; OMS (order capture)</t>
  </si>
  <si>
    <t>A valid order with the full set: products, coupon, points used, delivery fee, bulky surcharge (if any).</t>
  </si>
  <si>
    <t>OMS receives an order record that EXACTLY matches the payment summary shown on SCR-CHK-02 (no mismatch in price/fee/coupon) - this is the final confirmation point for the data-integrity calculation of BR-09/NFR-04.</t>
  </si>
  <si>
    <t>INT-04-SC2</t>
  </si>
  <si>
    <t>CO-10, BR-09</t>
  </si>
  <si>
    <t>If OMS rejects the order (e.g. out of stock during payment), the customer is returned to the Cart with updated information, without losing entered data.</t>
  </si>
  <si>
    <t>App &lt;-&gt; OMS</t>
  </si>
  <si>
    <t>OMS returns a 'product no longer has sufficient quantity' error when confirming the order at the final step.</t>
  </si>
  <si>
    <t>The app shows a clear message stating the reason for rejection, returns the customer to the Cart with the related SKU's status updated (out of stock/reduced quantity); other selections (coupon, points, payment method) are KEPT so the customer does not have to re-enter everything from scratch.</t>
  </si>
  <si>
    <t>INT-05-SC1</t>
  </si>
  <si>
    <t>Store Configuration Service - Catalog/Price/Stock</t>
  </si>
  <si>
    <t>BRL-01, ONB-05</t>
  </si>
  <si>
    <t>Changing store must trigger a change of the CORRECT SET OF 3 (catalog, price, stock) from the Store Configuration Service in a single call, with no data mismatch.</t>
  </si>
  <si>
    <t>App -&gt; Store Config / Catalog Service</t>
  </si>
  <si>
    <t>The customer changes store from the Homepage or Onboarding.</t>
  </si>
  <si>
    <t>The entire catalog/price/stock on the screen is re-rendered for the CORRECT new store, with no leftover data from the old store (e.g. old price, products only available at the old store).</t>
  </si>
  <si>
    <t>INT-05-SC2</t>
  </si>
  <si>
    <t>CT-07, BRL-24</t>
  </si>
  <si>
    <t>When changing store in the Cart, the service returns the exact list of affected products (out of stock/price change/discontinued) for the app to use in a single combined warning dialog.</t>
  </si>
  <si>
    <t>The Cart has multiple SKUs, and the customer switches to a store with a different catalog/price.</t>
  </si>
  <si>
    <t>The service returns the correct list of affected SKUs along with the reason (new price / out of stock / discontinued) for the app to combine into a single warning (SCR-CRT-06) - with no SKU missing or incorrectly included.</t>
  </si>
  <si>
    <t>INT-06-SC1</t>
  </si>
  <si>
    <t>Biometric / Device Security Ticket</t>
  </si>
  <si>
    <t>Security</t>
  </si>
  <si>
    <t>A device can hold only 1 active bio ticket at a time; logging into a second account on the same device must show a warning before overwriting it.</t>
  </si>
  <si>
    <t>App &lt;-&gt; Device Secure Enclave/Keystore</t>
  </si>
  <si>
    <t>The device already has an active bio ticket for Account A.</t>
  </si>
  <si>
    <t>When Account B enables biometrics on the SAME device, the system shows a clear warning before overwriting Account A's ticket (NFR-02); after being overwritten, Account A can no longer log in with biometrics on this device.</t>
  </si>
  <si>
    <t>The handling direction has been agreed, but the technical details are still pending review (OQ-07, OQ-11).</t>
  </si>
  <si>
    <t>INT-07-SC1</t>
  </si>
  <si>
    <t>Session / Auth Token</t>
  </si>
  <si>
    <t>HP-07, OQ-04</t>
  </si>
  <si>
    <t>A session token that expires mid-session is handled as a Guest who has never logged in (assumption pending confirmation).</t>
  </si>
  <si>
    <t>App &lt;-&gt; Session/Auth Service</t>
  </si>
  <si>
    <t>The customer is logged in; the token is simulated to expire while the customer is interacting with the Cart.</t>
  </si>
  <si>
    <t>The next API call returns 401/unauthorized; the app SWITCHES BACK to Guest state (no crash, no error loop) and requires re-login when the customer touches an action that needs authentication (Add to Cart/open Cart) - as proposed in OQ-04.</t>
  </si>
  <si>
    <t>QnA-04</t>
  </si>
  <si>
    <t>This is an assumption pending official confirmation from Security/Dev (OQ-04/QnA-04); this test case verifies whether the current behavior matches the proposal.</t>
  </si>
  <si>
    <t>INT-08-SC1</t>
  </si>
  <si>
    <t>Coupon &amp; Promotion Engine</t>
  </si>
  <si>
    <t>CT-06, BRL-32</t>
  </si>
  <si>
    <t>Delivery coupons and order/product coupons are AUTOMATICALLY applied by the Promotion Engine in the correct priority order, with no conflict.</t>
  </si>
  <si>
    <t>App &lt;-&gt; Coupon/Promotion Engine</t>
  </si>
  <si>
    <t>The coupon wallet has both a delivery coupon and a product coupon, both valid for the same order.</t>
  </si>
  <si>
    <t>The engine automatically applies both coupon types (no manual selection needed), returning the correct discount amount for each group so the app can display them separately (BRL-32); there must be no case of 2 coupons discounting the same amount (double-dip) if the business rule does not allow it.</t>
  </si>
  <si>
    <t>The full list of promotion types is still open (OQ-17/QnA-17).</t>
  </si>
  <si>
    <t>INT-08-SC2</t>
  </si>
  <si>
    <t>CT-03, BRL-19</t>
  </si>
  <si>
    <t>The engine correctly calculates freeship progress (150,000 VND) in real time when the cart changes (adding/removing products, applying coupons).</t>
  </si>
  <si>
    <t>App &lt;-&gt; Coupon/Promotion Engine (freeship calculation)</t>
  </si>
  <si>
    <t>The cart total is currently 130,000 VND, not yet reaching freeship.</t>
  </si>
  <si>
    <t>Adding a 20,000 VND product brings the total to 150,000 VND; the engine must return the 'freeship reached' status and the Standard delivery fee must switch to 0 VND IMMEDIATELY (no need to refresh/reload the screen).</t>
  </si>
  <si>
    <t>INT-09-SC1</t>
  </si>
  <si>
    <t>Loyalty &amp; Reward Points Engine</t>
  </si>
  <si>
    <t>CO-05, BRL-27</t>
  </si>
  <si>
    <t>Reward points accrue the correct amount when the customer selects a 'point-earning' time slot (e.g. 18:00-20:00).</t>
  </si>
  <si>
    <t>App &lt;-&gt; Loyalty/Points Engine</t>
  </si>
  <si>
    <t>The customer selects one of the configured point-earning time slots.</t>
  </si>
  <si>
    <t>The engine correctly adds the reward points for that time slot to the projected points to be earned after the order; the number shown on the app must MATCH the value returned by the engine (not hard-coded on the client side).</t>
  </si>
  <si>
    <t>QnA-36</t>
  </si>
  <si>
    <t>The figure of 10,000 points is currently only seen on Figma (QnA-36); it needs to be cross-checked against the actual value returned by the engine once a test environment is available.</t>
  </si>
  <si>
    <t>INT-10-SC1</t>
  </si>
  <si>
    <t>GotIt / Gift Card Service</t>
  </si>
  <si>
    <t>The GotIt/gift card service validates the code and returns the correct denomination, or rejects an invalid/already-used code.</t>
  </si>
  <si>
    <t>App &lt;-&gt; GotIt/Gift Card Service</t>
  </si>
  <si>
    <t>1 valid unused code, and 1 code that has already been used.</t>
  </si>
  <si>
    <t>Valid code: the service returns the correct denomination, and the app correctly deducts it from the total. Used code: the service rejects it with a clear reason ('code already used'), with no deduction.</t>
  </si>
  <si>
    <t>INT-11-SC1</t>
  </si>
  <si>
    <t>VAT Invoice Service</t>
  </si>
  <si>
    <t>CO-07, OQ-19</t>
  </si>
  <si>
    <t>The VAT Invoice Service correctly receives and saves the invoice issuance information when the customer enables the request.</t>
  </si>
  <si>
    <t>App &lt;-&gt; VAT Invoice Service</t>
  </si>
  <si>
    <t>The customer enables the toggle requesting a VAT invoice and enters full company information/tax code.</t>
  </si>
  <si>
    <t>The information is correctly sent to the VAT service and correctly linked to the corresponding order; whether the VAT rule changes in the To-Be is still OQ-19/QnA-19 - this test case only verifies the data flow, not the detailed tax rules.</t>
  </si>
  <si>
    <t>INT-12-SC1</t>
  </si>
  <si>
    <t>Delivery Partner &amp; Locker Network</t>
  </si>
  <si>
    <t>CT-10, OQ-23</t>
  </si>
  <si>
    <t>The Delivery Partner system returns the correct locker status (available / fully booked) for both near-home lockers and in-store lockers.</t>
  </si>
  <si>
    <t>App &lt;-&gt; Delivery Partner / Locker Network</t>
  </si>
  <si>
    <t>1 near-home locker has space available, 1 in-store locker is fully booked.</t>
  </si>
  <si>
    <t>The app displays the correct status for each locker based on the Delivery Partner's response; the customer cannot select a locker that is fully booked.</t>
  </si>
  <si>
    <t>The full rules (price, holding time, no-show) are still pending from LOTTE MART (OQ-23/QnA-23).</t>
  </si>
  <si>
    <t>INT-13-SC1</t>
  </si>
  <si>
    <t>Address &amp; Service-zone Resolution Service (Geo/Service-zone)</t>
  </si>
  <si>
    <t>HP-04, BRL-10, BRL-11, BRL-12</t>
  </si>
  <si>
    <t>The Service-zone Resolution Service returns exactly 1 of 4 mutually exclusive statuses based on the address-store distance.</t>
  </si>
  <si>
    <t>App &lt;-&gt; Geo/Service-zone Resolution Service</t>
  </si>
  <si>
    <t>4 sample addresses fall exactly into the 4 ranges (3-5km, 10-15km, Next-day zone, outside all zones).</t>
  </si>
  <si>
    <t>The service returns exactly 1 of the 4 labels (60-Minute+Standard / Standard only / Next-day only / not-served) with no overlap, correctly reflecting each store's own configuration (the radius may differ between stores).</t>
  </si>
  <si>
    <t>Whether the Next-day zone covers the whole of Vietnam is still OQ-09/QnA-09.</t>
  </si>
  <si>
    <t>INT-13-SC2</t>
  </si>
  <si>
    <t>Integration</t>
  </si>
  <si>
    <t>When changing store in the Cart, the service must return both affected groups (products from the Catalog Service, services/slots from Service-zone Resolution) synchronously in a single call so the app can combine them into 1 warning.</t>
  </si>
  <si>
    <t>App &lt;-&gt; Service-zone Resolution + Catalog Service</t>
  </si>
  <si>
    <t>The Cart has both products and services affected when changing store.</t>
  </si>
  <si>
    <t>The 2 data sources (products from Catalog, services/slots from Service-zone) must be CORRECTLY and FULLY aggregated before the app shows 1 combined warning dialog - not showing 2 separate dialogs due to API calls being out of sync in timing.</t>
  </si>
  <si>
    <t>INT-14-SC1</t>
  </si>
  <si>
    <t>Security - OTP/PIN Attempt Limit</t>
  </si>
  <si>
    <t>NFR-01, LI-06, BR-11</t>
  </si>
  <si>
    <t>The OTP/PIN retry limit is enforced on the SERVER (not only on the client) to prevent bypass by modifying the request on the device.</t>
  </si>
  <si>
    <t>App &lt;-&gt; Security/Auth Service (server-side)</t>
  </si>
  <si>
    <t>PIN/OTP has been entered incorrectly beyond the configured limit (value N pending OQ-03).</t>
  </si>
  <si>
    <t>Even if the client is tampered with to resend requests for more attempts, the SERVER still rejects them and requires re-verification via OTP - the limit must NOT be enforced ONLY on the client side.</t>
  </si>
  <si>
    <t>The exact value of N and the lockout mechanism are still OQ-03/QnA-03; this test verifies server-side enforcement regardless of what the final value of N is.</t>
  </si>
  <si>
    <t>INT-15-SC1</t>
  </si>
  <si>
    <t>LI-07</t>
  </si>
  <si>
    <t>The customer logs in on a NEW DEVICE while the biometric ticket on the OLD device is still valid - symmetric to INT-06 (testing 2 accounts on 1 device), this is 1 account on 2 devices.</t>
  </si>
  <si>
    <t>App (old device + new device) &lt;-&gt; Biometric Ticket Service</t>
  </si>
  <si>
    <t>The account has enabled biometrics on Device A; the customer installs the app and logs in on Device B (new device).</t>
  </si>
  <si>
    <t>TBD - OQ-11/LI-07 does not yet have an official handling direction (keep the old ticket on Device A, automatically revoke it when a new device logs in, or allow both to exist in parallel). Record the current system's actual behavior for cross-checking.</t>
  </si>
  <si>
    <t>Symmetric to INT-06 (switching account on 1 device); this is switching device on 1 account. Added per the Review on 26/08/2026 - closing the gap 'LI-07 has no test case' in Review - Gaps &amp; Issues.</t>
  </si>
  <si>
    <t>INT-16-SC1</t>
  </si>
  <si>
    <t>Performance &amp; Load (Performance/NFR)</t>
  </si>
  <si>
    <t>NFR-01, NFR-02, NFR-03, NFR-04, NFR-05</t>
  </si>
  <si>
    <t>Record a baseline of the current OTP/PIN retry limit and system response time as a temporary reference point, while waiting for LOTTE MART/PO to confirm the official target figures for NFR-01..05 (QnA-41).</t>
  </si>
  <si>
    <t>The entire system (App &lt;-&gt; Backend, not limited to 1 specific service)</t>
  </si>
  <si>
    <t>A stable test environment (staging), with no simulated concurrent load (this is NOT an actual load/performance test).</t>
  </si>
  <si>
    <t>TBD - NFR-01..05 does not yet have official target figures (QnA-41, still Open). This test case ONLY records the system's CURRENT behavior/figures as a reference baseline (response time for a few key actions, number of OTP/PIN retry attempts before lockout) - this is NOT an official Performance/Load test. A full Performance/Load test (concurrency, throughput, load handling) requires a separate Test Plan, outside the scope of this Functional/Integration test case set.</t>
  </si>
  <si>
    <t>QnA-41</t>
  </si>
  <si>
    <t>Added per the review request on 26/08/2026 - closing the gap 'no test case yet for NFR-01..05' (#13 in Review - Gaps &amp; Issues, sheet deleted after all 19 items were fully processed). This Functional test case records the baseline; it does NOT replace the official Performance/Load test plan.</t>
  </si>
  <si>
    <t>Simplify Checkout — Integration Detailed Test Cases</t>
  </si>
  <si>
    <t>INT-01-SC1-TC1</t>
  </si>
  <si>
    <t>SU-03, BRL-14</t>
  </si>
  <si>
    <t>Zalo OTP send failure does not auto-fallback to SMS</t>
  </si>
  <si>
    <t>A valid phone number has been entered, Zalo channel selected, the Zalo gateway is simulated to return a send error.</t>
  </si>
  <si>
    <t>1. Enter the phone number, select Zalo channel (default), tap Send OTP.
2. Simulate the Zalo Gateway returning an error/failing to deliver the message.
3. Observe the app state throughout the Resend countdown.
4. After the countdown ends, check whether there IS a button/option to switch channel to SMS.
5. Select switch channel to SMS, confirm the new OTP is sent via SMS.</t>
  </si>
  <si>
    <t>Test phone number: 0912345678. Zalo Gateway: simulated to return an error.</t>
  </si>
  <si>
    <t>Step 3: the app does NOT automatically call the SMS Gateway during the countdown. Step 5: only when the customer ACTIVELY switches channel is a new request sent via the SMS Gateway.</t>
  </si>
  <si>
    <t>INT-01-SC2-TC1</t>
  </si>
  <si>
    <t>NFR-01, BRL-15</t>
  </si>
  <si>
    <t>OTP gateway rejects requests when the number of requests exceeds the limit within a time window</t>
  </si>
  <si>
    <t>OTP has been sent multiple times in a row to the same phone number within a short period (simulating exceeding the rate-limit threshold).</t>
  </si>
  <si>
    <t>1. Tap Resend/send OTP repeatedly in a row (exceeding the assumed limit, e.g. 5 times/10 minutes).
2. Observe the response from the OTP Gateway at the point the limit is exceeded.</t>
  </si>
  <si>
    <t>Test phone number, number of send attempts: exceeding the assumed limit (official value pending OQ-03).</t>
  </si>
  <si>
    <t>The OTP Gateway returns a clear rate-limit error (not a generic system error); the app shows a message instructing the customer to wait longer.</t>
  </si>
  <si>
    <t>The specific limit will be updated once OQ-03/QnA-03 has an official answer.</t>
  </si>
  <si>
    <t>The number 'exceeding the OTP send limit' in this test is currently an assumption used only as an illustrative example, NOT yet the official figure. Once QnA-03 has an answer from Security/Dev, it must be updated to the real number.</t>
  </si>
  <si>
    <t>INT-02-SC1-TC1</t>
  </si>
  <si>
    <t>Promotion badge displays correctly and separately for each payment method</t>
  </si>
  <si>
    <t>MoMo currently has the promotion 'Discount 20,000 VND', ZaloPay currently has 'Discount 3,000 VND', Card and BNPL have no promotion.</t>
  </si>
  <si>
    <t>1. Go to the Payment Method screen at Checkout.
2. Observe the badge on each payment method.
3. Select MoMo, confirm the badge applied is correct for MoMo.
4. Switch to ZaloPay, confirm the badge changes correctly to match ZaloPay.</t>
  </si>
  <si>
    <t>MoMo: badge 'Discount 20,000 VND'. ZaloPay: badge 'Discount 3,000 VND'. Card, BNPL: no badge.</t>
  </si>
  <si>
    <t>Each payment method shows its own correct badge; when switching payment method, the badge updates correctly to match the new selection and does not retain the badge from the previous method.</t>
  </si>
  <si>
    <t>INT-02-SC2-TC1</t>
  </si>
  <si>
    <t>Payment gateway timeout does not create a duplicate order and Checkout data remains unchanged</t>
  </si>
  <si>
    <t>A valid order, simulate the Payment Gateway timing out when tapping Place Order.</t>
  </si>
  <si>
    <t>1. Fill in all Checkout information (address, products, coupon, points, payment method).
2. Tap Place Order, simulate the Payment Gateway not responding (timeout).
3. Observe the error message.
4. Tap Place Order AGAIN a 2nd time (simulate the gateway responding successfully this time).
5. Check the number of orders created in OMS.</t>
  </si>
  <si>
    <t>Sample order with 1 coupon + 1000 points applied.</t>
  </si>
  <si>
    <t>Step 3: a clear error message, allowing a retry. Step 5: EXACTLY 1 order is created in OMS (no duplicate order created from the resent request), and all the applied coupon/points remain unchanged on the 2nd attempt.</t>
  </si>
  <si>
    <t>INT-03-SC1-TC1</t>
  </si>
  <si>
    <t>Remaining 60-Minute slot count is updated in real time from OMS/DMS, with the correct warning in Cart</t>
  </si>
  <si>
    <t>The test store is configured with 3 remaining 60-Minute slots for the time slot under test.</t>
  </si>
  <si>
    <t>1. Open Cart, observe the displayed remaining slot count (3).
2. Simulate (from another device/account) placing 2 orders in a row taking up 2 slots.
3. Refresh Cart on the device under test, observe the remaining slot count and warning (if any).</t>
  </si>
  <si>
    <t>Initial slots: 3. After 2 other orders: 1 remaining (equal to the warning threshold).</t>
  </si>
  <si>
    <t>After step 2, Cart on the device under test must correctly reflect 1 remaining slot and SHOW a low-availability warning (no caching/data mismatch).</t>
  </si>
  <si>
    <t>INT-03-SC2-TC1</t>
  </si>
  <si>
    <t>Slot is automatically released when the order is marked ready for delivery</t>
  </si>
  <si>
    <t>1 slot is currently in Closed state because 1 order has taken up all capacity.</t>
  </si>
  <si>
    <t>1. Confirm slot X is currently Closed (fully booked).
2. Simulate Store Operations marking the order occupying slot X as 'ready for delivery' in OMS.
3. Refresh Cart/the slot selection screen, observe the status of slot X.</t>
  </si>
  <si>
    <t>Slot X: Closed before step 2.</t>
  </si>
  <si>
    <t>Immediately after step 2, slot X AUTOMATICALLY changes back to Open (if capacity allows), with no manual action needed from the customer or QC.</t>
  </si>
  <si>
    <t>INT-04-SC1-TC1</t>
  </si>
  <si>
    <t>Order data sent to OMS matches exactly with the displayed payment summary</t>
  </si>
  <si>
    <t>Order: 3 SKUs, 1 product coupon (-10,000 VND), 500 points used (-500 VND), delivery fee 16,000 VND.</t>
  </si>
  <si>
    <t>1. Complete Checkout with sample data, record ALL the lines in the payment summary.
2. Tap Place Order.
3. Query the order record in OMS (via the authorized QC tool/log).
4. Compare each field with the summary recorded in step 1.</t>
  </si>
  <si>
    <t>3 sample SKUs, coupon -10,000 VND, points -500 VND, delivery fee 16,000 VND.</t>
  </si>
  <si>
    <t>All fields in OMS (SKU list, price, coupon, points, fee) MATCH EXACTLY 1-to-1 with the payment summary shown on the app - not even 1 line differs.</t>
  </si>
  <si>
    <t>Step 3 is currently written generically as 'via a QC tool to query the OMS log' - the TOOL NAME/person responsible for granting query access should be specified clearly, so the test executor knows how to do it and to avoid different people interpreting it differently.</t>
  </si>
  <si>
    <t>INT-04-SC2-TC1</t>
  </si>
  <si>
    <t>OMS rejects the order due to out-of-stock during payment, returning the customer to Cart with updated data</t>
  </si>
  <si>
    <t>1 SKU in the order is simulated to go out of stock exactly when the customer taps Place Order.</t>
  </si>
  <si>
    <t>1. Prepare an order with SKU-Z about to run out of stock (1 unit remaining).
2. Simulate another transaction buying out all of SKU-Z right before the customer taps Place Order.
3. The customer taps Place Order.
4. Observe the response from OMS and the next screen.</t>
  </si>
  <si>
    <t>SKU-Z: 1 unit remaining, bought out by another transaction right before.</t>
  </si>
  <si>
    <t>OMS rejects the order confirmation, returning the reason (SKU-Z out of stock); the app shows a clear message and returns the customer to Cart, SKU-Z's status has been updated to out of stock, and other SKUs/coupon/points/payment method remain unchanged.</t>
  </si>
  <si>
    <t>INT-05-SC1-TC1</t>
  </si>
  <si>
    <t>BRL-01</t>
  </si>
  <si>
    <t>Switching store correctly re-renders the category/price/stock set, with no leftover data from the old store</t>
  </si>
  <si>
    <t>Currently viewing the Homepage with Store A, with a product list and prices specific to Store A.</t>
  </si>
  <si>
    <t>1. Record 3-5 SKUs along with their prices at Store A.
2. Switch to Store B (with different prices/categories).
3. Check those same 3-5 SKUs again: price, stock status, whether they still appear.</t>
  </si>
  <si>
    <t>Store A, Store B: configured with clearly different prices/categories for at least 1 shared SKU and 1 SKU available only at Store A.</t>
  </si>
  <si>
    <t>After switching to Store B: the displayed price is STORE B's price (no longer Store A's price); the SKU available only at Store A no longer appears in Store B's catalog.</t>
  </si>
  <si>
    <t>INT-05-SC2-TC1</t>
  </si>
  <si>
    <t>Switching store in Cart returns the correct list of affected SKUs to combine into a single warning</t>
  </si>
  <si>
    <t>Cart has 5 SKUs; switching to Store C: SKU-1 is out of stock, SKU-2 has a price change, the remaining 3 SKUs are unchanged.</t>
  </si>
  <si>
    <t>1. Open the change-store sheet in Cart, select Store C.
2. Observe the list of SKUs stated in the warning.
3. Compare with the prepared data (SKU-1, SKU-2 must be present; the other 3 SKUs must NOT be listed as affected).</t>
  </si>
  <si>
    <t>SKU-1: out of stock at Store C. SKU-2: different price at Store C. SKU-3,4,5: unchanged.</t>
  </si>
  <si>
    <t>The warning lists ONLY SKU-1 (out of stock) and SKU-2 (price change); it neither omits nor adds any extra SKU among the 5 SKUs in the cart.</t>
  </si>
  <si>
    <t>INT-06-SC1-TC1</t>
  </si>
  <si>
    <t>NFR-02</t>
  </si>
  <si>
    <t>Biometric login for a 2nd account on the same device warns before overwriting the ticket</t>
  </si>
  <si>
    <t>The test device already has an active biometric ticket for Account A.</t>
  </si>
  <si>
    <t>1. Log out of Account A (without separately disabling biometrics).
2. Log in to Account B using phone number + PIN, until the prompt to enable biometrics appears.
3. Enable biometrics for Account B on the same device.
4. Observe the warning (if any) before confirming.
5. After confirming, try logging in again using Face ID/fingerprint on the device - check which account gets logged in.</t>
  </si>
  <si>
    <t>Account A, Account B on the same physical device.</t>
  </si>
  <si>
    <t>Step 4: the system MUST show a clear warning ('this device is currently linked via biometrics to another account, continuing will replace it') before overwriting. Step 5: biometrics on the device now logs in to Account B, Account A can no longer log in using biometrics on this device.</t>
  </si>
  <si>
    <t>Reconfirm with Dev once there is an official conclusion for OQ-07/OQ-11.</t>
  </si>
  <si>
    <t>INT-07-SC1-TC1</t>
  </si>
  <si>
    <t>HP-07</t>
  </si>
  <si>
    <t>Token expiring mid-session switches to Guest state, no crash, correctly prompts re-login</t>
  </si>
  <si>
    <t>Currently logged in, normally browsing Cart.</t>
  </si>
  <si>
    <t>1. Simulate the session token expiring (e.g. modify/delete the locally stored token or wait for the TTL to expire in the test environment).
2. Perform an action that requires authentication (e.g. reopen Cart or Add to Cart).
3. Observe the app's response.</t>
  </si>
  <si>
    <t>Token expiration is simulated in the test/staging environment.</t>
  </si>
  <si>
    <t>The app does NOT crash and does NOT loop the error infinitely; it switches to Guest state, shows the login gate again when the customer touches an action requiring authentication (Add to Cart/open Cart), exactly like the behavior of a Guest who has never logged in.</t>
  </si>
  <si>
    <t>INT-08-SC1-TC1</t>
  </si>
  <si>
    <t>BRL-32</t>
  </si>
  <si>
    <t>Engine automatically applies both the delivery coupon and the product coupon, returning the correct amount for each group</t>
  </si>
  <si>
    <t>The wallet has 1 delivery coupon (-15,000 VND) and 1 product coupon (-10% on 1 SKU priced 200,000 VND), both valid for the current order.</t>
  </si>
  <si>
    <t>1. Open Cart with an order eligible for both coupons.
2. Observe whether the coupons are AUTOMATICALLY applied (without the customer manually selecting them).
3. Check that the discount amount for each group (delivery / product) is shown separately.</t>
  </si>
  <si>
    <t>Delivery coupon: -15,000 VND. Product coupon: -10% on the 200,000 VND SKU (= -20,000 VND).</t>
  </si>
  <si>
    <t>Both coupons are AUTOMATICALLY APPLIED; the delivery group correctly shows -15,000 VND, the product group correctly shows -20,000 VND, not merged into a single line and not applied incorrectly.</t>
  </si>
  <si>
    <t>INT-08-SC2-TC1</t>
  </si>
  <si>
    <t>The 150,000 VND freeship threshold is recalculated in real time as soon as a product reaching the threshold is added</t>
  </si>
  <si>
    <t>The cart is currently at 130,000 VND, Standard service, not yet freeship.</t>
  </si>
  <si>
    <t>1. Observe the current delivery fee (has a value, not yet 0 VND).
2. Add a 20,000 VND product to the cart (bringing the total to 150,000 VND).
3. Observe the delivery fee again IMMEDIATELY after adding, without any other action.</t>
  </si>
  <si>
    <t>Cart: 130,000 VND -&gt; add a 20,000 VND SKU -&gt; 150,000 VND.</t>
  </si>
  <si>
    <t>Immediately after step 2 (without needing to refresh or leave the screen), the Standard delivery fee AUTOMATICALLY changes to 0 VND and the freeship progress bar shows the threshold has been reached.</t>
  </si>
  <si>
    <t>INT-09-SC1-TC1</t>
  </si>
  <si>
    <t>BRL-27</t>
  </si>
  <si>
    <t>Reward points for the point-earning time slot are added correctly and match between client and engine</t>
  </si>
  <si>
    <t>Select the 18:00-20:00 time slot (1 of the point-earning slots per BRL-27).</t>
  </si>
  <si>
    <t>1. At the slot selection step, select the 18:00-20:00 slot.
2. Observe the reward points message/badge shown on the app (e.g. '+X points').
3. Continue to Checkout, check whether the 'expected points' in the payment summary correctly adds the X points from step 2.</t>
  </si>
  <si>
    <t>Point-earning time slot: 18:00-20:00.</t>
  </si>
  <si>
    <t>The point count shown in Cart (step 2) and the expected points at Checkout (step 3) must MATCH each other and match the value returned by the backend engine (not a separately hard-coded number on the client).</t>
  </si>
  <si>
    <t>The specific number (e.g. 10,000 points) needs to be checked against the engine's real value, not taken from Figma as the reference.</t>
  </si>
  <si>
    <t>INT-10-SC1-TC1</t>
  </si>
  <si>
    <t>An already-used gift card code is clearly rejected, no amount deducted</t>
  </si>
  <si>
    <t>1 gift card code has already been fully used on a previous order.</t>
  </si>
  <si>
    <t>1. Enter the previously used gift card code into the gift code field.
2. Tap Apply.
3. Observe the response.</t>
  </si>
  <si>
    <t>Test code: GIFT-USED-01 (already used).</t>
  </si>
  <si>
    <t>The GotIt service returns a 'code already used' error, no amount is deducted from the order total, the customer can enter a different code.</t>
  </si>
  <si>
    <t>INT-11-SC1-TC1</t>
  </si>
  <si>
    <t>VAT invoice information is sent correctly and correctly linked to the order code</t>
  </si>
  <si>
    <t>Enable the request to issue an invoice, enter a valid company name + tax code.</t>
  </si>
  <si>
    <t>1. Enable the 'Request VAT invoice' toggle.
2. Enter the company name, tax code, company address.
3. Complete Place Order.
4. Query (via the QC tool) the invoice record sent to the VAT Invoice Service, and compare it with the order code just created.</t>
  </si>
  <si>
    <t>Company name: Cong ty TNHH ABC. Tax code: 0312345678.</t>
  </si>
  <si>
    <t>The invoice information is correctly received by the VAT service and correctly linked to the corresponding order code - not lost or linked to the wrong order.</t>
  </si>
  <si>
    <t>INT-12-SC1-TC1</t>
  </si>
  <si>
    <t>Locker available/full status is correctly reflected from the Delivery Partner</t>
  </si>
  <si>
    <t>1 nearby locker has 2 slots left, 1 locker at the store is already full.</t>
  </si>
  <si>
    <t>1. Open the nearby locker selection screen, observe the status.
2. Open the store locker selection screen (already full), try to select it.
3. Observe the response.</t>
  </si>
  <si>
    <t>Locker A (nearby): 2 slots remaining. Locker B (at store): 0 slots remaining.</t>
  </si>
  <si>
    <t>Locker A shows 'available' and can be selected normally. Locker B shows 'full'/disabled, CANNOT be selected, preventing a duplicate booking into an already-full locker.</t>
  </si>
  <si>
    <t>QnA-23</t>
  </si>
  <si>
    <t>INT-13-SC1-TC1</t>
  </si>
  <si>
    <t>The service-zone resolution service correctly returns 1 of the 4 states for each sample distance</t>
  </si>
  <si>
    <t>4 sample addresses: 4km (60-Minute+Standard), 12km (Standard only), within the Next-day zone, outside every configured zone.</t>
  </si>
  <si>
    <t>1. Enter each sample address one by one and observe the result returned on the header/Homepage.
2. Compare with the configured radius of the currently selected store.</t>
  </si>
  <si>
    <t>4 sample addresses matching exactly the 4 BRL-10/11/12 thresholds of the test store.</t>
  </si>
  <si>
    <t>Exactly 4km -&gt; 60-Minute+Standard; 12km -&gt; Standard only; Next-day zone -&gt; delivery date only; outside every zone -&gt; no date/time, only a message + CTA to change address. There is no case where 2 states are mixed up.</t>
  </si>
  <si>
    <t>INT-13-SC2-TC1</t>
  </si>
  <si>
    <t>Data from Catalog Service and Service-zone Service is aggregated synchronously before showing a single combined warning</t>
  </si>
  <si>
    <t>Switching store in Cart affects both products (from Catalog) and service/slot (from Service-zone).</t>
  </si>
  <si>
    <t>1. Select a new store that affects both groups.
2. Observe when the warning dialog appears - it must be AFTER both data sources have returned, not showing an 'incomplete' dialog first and then updating it later.
3. Check that the dialog content includes both product and service/slot information right from the first time it appears.</t>
  </si>
  <si>
    <t>A store that affects both data groups simultaneously.</t>
  </si>
  <si>
    <t>The warning dialog appears ONLY ONCE, with FULL information for both groups right from the start - there is no case of the dialog showing incomplete data and then updating/flickering again.</t>
  </si>
  <si>
    <t>INT-14-SC1-TC1</t>
  </si>
  <si>
    <t>NFR-01, LI-06</t>
  </si>
  <si>
    <t>Server rejects further authentication requests even when the client is tampered with to bypass the limit</t>
  </si>
  <si>
    <t>The limit on incorrect PIN attempts (server-side) has already been exceeded for a test account.</t>
  </si>
  <si>
    <t>1. Perform enough incorrect PIN attempts to reach the limit through the normal UI (the account is temporarily locked on the server).
2. Use a QC tool (e.g. an authorized Postman/API client) to send a PIN authentication request DIRECTLY to the backend API, bypassing the app UI.
3. Observe the server's response.</t>
  </si>
  <si>
    <t>The test account has been locked server-side after exceeding the limit.</t>
  </si>
  <si>
    <t>The server REJECTS the request in step 2 (returns an account-locked error/requires OTP) regardless of whether the request comes from the official UI or a direct API call - the limit is not enforced ONLY on the client side.</t>
  </si>
  <si>
    <t>INT-15-SC1-TC1</t>
  </si>
  <si>
    <t>Logging in on a new device does not silently and unilaterally delete the biometric ticket of the old device - TBD pending OQ-11</t>
  </si>
  <si>
    <t>The Member account already has Face ID/fingerprint enabled on Device A (ticket is active).</t>
  </si>
  <si>
    <t>1. On Device B (a new device that has never logged into this account), log in using phone number + PIN.
2. When prompted to enable biometrics on Device B, confirm Enable.
3. Go back to Device A, try logging in again using Face ID/fingerprint.
4. RECORD the actual behavior: whether Device A can still log in using biometrics, and whether any warning appears in steps 1-2.</t>
  </si>
  <si>
    <t>Test Member account with biometrics already enabled on Device A (phone number: 0912340099, PIN: 123456).</t>
  </si>
  <si>
    <t>TBD - NFR-02 states 'a device holds only 1 active ticket' but does NOT specify what happens in the OPPOSITE direction (whether 1 account is allowed to have tickets on multiple devices at the same time, and whether a warning appears when a new device is added). The tester should record the actual behavior (steps 3-4) and NOT mark Pass/Fail on their own judgment until OQ-11 has an answer.</t>
  </si>
  <si>
    <t>Symmetric to INT-06-SC1-TC1 (switching account, same device). Added per Review 26/08/2026.</t>
  </si>
  <si>
    <t>INT-16-SC1-TC1</t>
  </si>
  <si>
    <t>Record the baseline for incorrect OTP/PIN attempt limits and current response time - TBD pending QnA-41 (does not replace an official Performance/Load test)</t>
  </si>
  <si>
    <t>A stable test environment (staging), with no concurrent load from other sources.</t>
  </si>
  <si>
    <t>1. Enter incorrect OTP repeatedly at SCR-AUT-02 (Signup) or SCR-AUT-05 (Login), count the number of attempts allowed before being locked/required to resend the code. RECORD the actual number.
2. Enter incorrect PIN repeatedly at the PIN login screen, count the number of attempts allowed before being locked. RECORD the actual number and the lockout duration (if any).
3. Measure the response time (from tap to result) for 3 main actions: opening the Homepage for the first time, adding a product to cart, placing an order (Place Order) - using a manual stopwatch or a network measurement tool, no need for a dedicated load-testing tool.
4. Record all the figures from steps 1-3 as a reference baseline.</t>
  </si>
  <si>
    <t>Any test Member account; test phone number/PIN used to intentionally enter incorrectly.</t>
  </si>
  <si>
    <t>TBD - NFR-01..05 do not yet have official target figures (QnA-41, currently Open). The tester should NOT mark Pass/Fail on their own judgment - only record the actual figures from steps 1-4 as a baseline. Once QnA-41 has an answer (max attempts, response time threshold, etc.), compare this baseline data with the official threshold to determine Pass/Fail. NOTE: this is NOT a full Performance/Load test (does not measure concurrency/throughput) - that test requires a separate Test Plan.</t>
  </si>
  <si>
    <t>Added per the review request on 26/08/2026 - closing the gap where NFR-01..05 had no test case (#13 in Review - Gaps &amp; Issues, this sheet was deleted after all 19 items were fully processed).</t>
  </si>
  <si>
    <t>Simplify Checkout — END-TO-END Test Scenarios (from opening the app to completing an order)</t>
  </si>
  <si>
    <t>The test cases below walk through a REAL customer's ACTUAL journey across MULTIPLE screens/steps in a row - unlike the 2 Test Cases sheets above, which each test ONE screen at a time. Purpose: catch bugs that only show up when MOVING between steps (e.g. losing data mid-signup, losing the cart when the login session expires...).</t>
  </si>
  <si>
    <t>E2E ID</t>
  </si>
  <si>
    <t>Journey Name (plain description)</t>
  </si>
  <si>
    <t>User / Situation</t>
  </si>
  <si>
    <t>Screens / Steps Involved</t>
  </si>
  <si>
    <t>Test Type</t>
  </si>
  <si>
    <t>Test Steps (detailed)</t>
  </si>
  <si>
    <t>E2E-01</t>
  </si>
  <si>
    <t>New customer's first purchase - from opening the app to completing the order</t>
  </si>
  <si>
    <t>Customer has never used the app before, no account yet (Guest -&gt; creates a new account midway)</t>
  </si>
  <si>
    <t>Onboarding -&gt; Homepage -&gt; Login gate -&gt; Sign up -&gt; Cart -&gt; Checkout</t>
  </si>
  <si>
    <t>Main flow (must run correctly start to finish)</t>
  </si>
  <si>
    <t>Highest</t>
  </si>
  <si>
    <t>The app has just been installed, with no data yet (no language selected, no store selected, no account).</t>
  </si>
  <si>
    <t>1. Open the app for the first time, see the language selection screen - select 'Tiếng Việt', tap Continue.
2. The app requests 3 permissions (activity tracking, notifications, location) - tap Đồng ý (Allow) for all 3 permissions.
3. Since location was allowed, the app automatically pre-selects the nearest store (LOTTE Mart Nam Sài Gòn) - tap Continue to confirm this store.
4. Go through the 3 short intro screens, tap 'Start shopping' on the last screen.
5. Arrive at the Homepage - check that the correct selected store name is shown, and there is no delivery address yet.
6. Tap on the 'Choose delivery address' line, enter the delivery address (use location then add the house number), save it.
7. Check that the top of the page shows the address just saved and a suggested delivery time.
8. Select any product, tap 'Add to Cart'.
9. Since there is no account yet, the app blocks the action and shows the Sign up/Log in screen - select 'Sign up as a new customer'.
10. Enter the phone number, keep the code delivery channel as Zalo (default), tap Send code.
11. Enter the correct OTP received.
12. Set a 6-digit PIN password, re-enter it a second time to confirm it matches.
13. Fill in full personal information (full name, gender, date of birth, nationality, registered store), check Agree to the Terms of Use, tap 'Create account'.
14. Check: the account is created successfully, and the app AUTOMATICALLY logs in right away (no need to log in again).
15. Check: the product tapped Add to Cart in step 8 is NOW ALREADY in the cart (no need to tap Add to Cart again from the start).
16. Check: the address created while still a guest (step 6) now appears in the new account and is selected as the delivery address.
17. Open the cart, select the Standard delivery option, select any delivery time slot.
18. Tap 'Proceed to Checkout' to move to the checkout step.
19. On the Checkout screen, check that the address/store/time slot/products display correctly as selected in the Cart (cannot be edited directly).
20. Select the payment method (e.g. MoMo).
21. Tap 'Place order'.
22. Check: the order is placed successfully, and an order code/confirmation screen is shown.</t>
  </si>
  <si>
    <t>New phone number (not yet registered): 0912340001. Valid OTP from the test environment. PIN: 123456. Product ordered: any in-stock SKU.</t>
  </si>
  <si>
    <t>The entire journey from opening the app for the first time to completing the order must run SEAMLESSLY, with no errors and no data loss at any transition step. Most importantly: (a) the product selected before signing up must automatically be in the cart after sign-up is complete, (b) the address created while still a guest must automatically carry over to the new account, (c) no need to log in again after creating the account.</t>
  </si>
  <si>
    <t>This is the most important scenario in the entire test suite - if this scenario fails at any step, prioritize fixing it first.</t>
  </si>
  <si>
    <t>E2E-02</t>
  </si>
  <si>
    <t>Returning customer (already has an account) makes a purchase, selects 60-minute delivery, pays with MoMo</t>
  </si>
  <si>
    <t>Customer has already registered an account before, this time only needs to Log in (not Sign up)</t>
  </si>
  <si>
    <t>Homepage -&gt; Login gate -&gt; Log in -&gt; Cart (60-Minute) -&gt; Checkout</t>
  </si>
  <si>
    <t>Main flow (variant: returning customer, fast delivery)</t>
  </si>
  <si>
    <t>A Member account already exists and has purchased before (there is data for the system to suggest a familiar time slot). The saved address is within the 60-minute radius of the store.</t>
  </si>
  <si>
    <t>1. Open the app, go straight to the Homepage (not the first time, so the language/permission selection screens are skipped).
2. Check that the previously saved address still displays correctly, and see a banner indicating 60-minute delivery is available.
3. Select a product, tap 'Add to Cart'.
4. The app blocks the action and shows the Log in/Sign up screen - this time select 'Log in' (not Sign up).
5. Enter the registered phone number.
6. If the device has Face ID/fingerprint enabled, authenticate with biometrics; otherwise, enter the 6-digit PIN.
7. Check: after logging in, the product from step 3 is automatically in the cart.
8. Open the cart, switch from Standard to select the '60-minute delivery' service.
9. Check that the 60-minute delivery fee line appears (a separate fee, different from Standard).
10. Select an available delivery time slot.
11. Tap 'Proceed to Checkout'.
12. On the Checkout screen, select MoMo as the payment method.
13. Tap 'Place order'.
14. Check that the order is placed successfully, with the correct 60-minute delivery fee as calculated in step 9.</t>
  </si>
  <si>
    <t>Existing Member account: phone number 0911112222, PIN 123456. Saved address: 4km from the store (within the 60-Minute zone).</t>
  </si>
  <si>
    <t>The entire flow must run smoothly end-to-end; logging in (not signing up) must also correctly resume the previously selected product; the 60-minute delivery fee must be calculated correctly and remain unchanged until the order is completed.</t>
  </si>
  <si>
    <t>E2E-03</t>
  </si>
  <si>
    <t>Changing store mid-purchase, the cart is affected but the order can still be completed</t>
  </si>
  <si>
    <t>Customer is logged in, while in the Cart switches to a different store which affects products/services</t>
  </si>
  <si>
    <t>Homepage -&gt; Cart -&gt; Change store in Cart -&gt; Checkout</t>
  </si>
  <si>
    <t>Common edge-case flow (customer changes their mind midway)</t>
  </si>
  <si>
    <t>Customer is logged in, the cart already has 3 products and the Standard service has been selected.</t>
  </si>
  <si>
    <t>1. Open the cart, check that there are 3 products and the Standard service as expected.
2. Tap on the current store name to open the store-switching list.
3. Select a different store known in advance to make 1 product go out of stock and remove the 60-Minute service (if currently available).
4. Check: the system shows a SINGLE combined notification box, clearly listing what will be affected (which products are out of stock/price-changed, which services will be lost).
5. Tap 'Continue' to confirm the store change.
6. Check: the out-of-stock product is moved to a separate group (no longer together with the other products), the remaining 2 products are still intact and can still be selected to continue purchasing.
7. Check that the delivery service has been re-suggested to match the new store.
8. Tap 'Proceed to Checkout'.
9. On the Checkout screen, check that there are exactly 2 products left (the out-of-stock product is not counted in the order).
10. Select a payment method, tap 'Place order'.
11. Check that the order is placed successfully with exactly 2 products and the correct new store.</t>
  </si>
  <si>
    <t>Initial cart: SKU-1, SKU-2, SKU-3. The new store makes SKU-3 out of stock.</t>
  </si>
  <si>
    <t>Changing store mid-purchase must not crash the app or lose the entire cart - only what is actually affected should change, the rest must still be purchasable normally until the order is completed.</t>
  </si>
  <si>
    <t>The detailed layout of the combined notification box is still pending UX confirmation (QnA-25) - this test focuses on the FINAL RESULT (order can be placed, correct products), not the detailed UI of the notification box.</t>
  </si>
  <si>
    <t>E2E-04</t>
  </si>
  <si>
    <t>Purchasing a heavy (bulky) order that requires a later delivery date (T+4) and incurs a surcharge</t>
  </si>
  <si>
    <t>Customer is logged in, the cart has 1 heavy product tagged as 'bulky'</t>
  </si>
  <si>
    <t>Homepage -&gt; Cart -&gt; Select delivery date (Next-day/bulky) -&gt; Checkout</t>
  </si>
  <si>
    <t>Common edge-case flow (special order)</t>
  </si>
  <si>
    <t>The delivery address is in the Next-day delivery zone (far away, no more Standard/60-Minute). The cart has 1 heavy product marked as 'bulky item'.</t>
  </si>
  <si>
    <t>1. Open the cart, check that the address being used only shows the Next-day service (no more Standard/60-Minute).
2. Open the delivery date selection step.
3. Check: because there is a bulky product in the cart, the near dates (earlier than the next 4 days) are all greyed out/unselectable - the earliest selectable date is 4 days later.
4. Check that the screen clearly states which product is the reason the order is considered bulky.
5. Select a valid delivery date (from day 4 onward).
6. Check that a separate surcharge line for 'bulky items' appears in the pricing section (added on top of the normal delivery fee).
7. Tap 'Proceed to Checkout'.
8. On the Checkout screen, check again that the bulky item surcharge line is still present in full, matching what was seen in the Cart.
9. Select a payment method, tap 'Place order'.
10. Check that the order is placed successfully, and the total amount correctly includes the bulky item surcharge.</t>
  </si>
  <si>
    <t>Bulky product: 1 SKU heavier than 15kg (or tagged as 'bulky'). Address: in the Next-day delivery zone.</t>
  </si>
  <si>
    <t>A bulky order must have its delivery date pushed later (from 2 days to 4 days) and must have a separate surcharge, which must not be waived even if the cart otherwise qualifies for standard free delivery. This information must remain unchanged from the Cart through to order completion.</t>
  </si>
  <si>
    <t>QnA-43</t>
  </si>
  <si>
    <t>Đã gửi câu hỏi QnA-43 (26/08/2026) về công thức T+2-&gt;T+4 áp dụng cho đơn bulky trong vùng Next-day, hiện đang Open. Expected Result của kịch bản này vẫn đang dùng giả định của QC, cần cập nhật khi có câu trả lời chính thức.</t>
  </si>
  <si>
    <t>E2E-05</t>
  </si>
  <si>
    <t>Using simultaneously: discount code + gift card + reward points + buy now pay later, checking that the final total is calculated correctly</t>
  </si>
  <si>
    <t>Customer is logged in and wants to use all types of offers at the same time to see if the total amount is calculated correctly</t>
  </si>
  <si>
    <t>Cart -&gt; Checkout (using multiple discount types at the same time)</t>
  </si>
  <si>
    <t>Flow combining many features at once (to catch pricing bugs)</t>
  </si>
  <si>
    <t>The cart has products totaling 500,000đ. The account already has: 1 shipping discount code, 1 product discount code, enough reward points remaining, and the option to select Buy Now Pay Later (BNPL).</t>
  </si>
  <si>
    <t>1. Open the cart, check that both discount codes (shipping + product) have been AUTOMATICALLY applied already.
2. Tap 'Proceed to Checkout'.
3. On the Checkout screen, check again that both discount codes are still intact, shown as 2 separate lines (not merged together).
4. Enter an additional valid gift card code (GotIt), tap apply.
5. Check that the amount is deducted correctly by the gift card's value.
6. Tap 'Use all points' to use up all the available reward points.
7. Check that the amount continues to be deducted correctly according to the points used.
8. Select 'Buy Now Pay Later / BNPL' as the payment method.
9. Scroll to view the final summary - manually add up ALL the lines (original price, delivery fee, shipping discount, product discount, gift card, points used) to check whether the final amount is correct.
10. Tap 'Place order'.
11. Check that the order is placed successfully with the exact amount calculated in step 9 (no line is off).</t>
  </si>
  <si>
    <t>Cart: 500,000đ. Shipping discount code: -15,000đ. Product discount code: -20,000đ. Gift card: -50,000đ. Reward points used in full: -10,000đ (example).</t>
  </si>
  <si>
    <t>When using multiple discount types at the same time, EACH type must be deducted correctly, with no double-counting or any type being missed; the final amount on the order confirmation screen must exactly match the manual calculation.</t>
  </si>
  <si>
    <t>The full list of promotion types is still pending BA confirmation (QnA-17) - this test only checks whether the addition/deduction CALCULATION LOGIC is correct, not every possible promotion type that may exist in the future.</t>
  </si>
  <si>
    <t>E2E-06</t>
  </si>
  <si>
    <t>Customer is browsing, gets blocked by the login gate, taps Cancel, keeps browsing, then comes back to log in and purchase normally</t>
  </si>
  <si>
    <t>Guest customer, first taps Cancel instead of logging in, only logs in for real the next time</t>
  </si>
  <si>
    <t>Homepage -&gt; Login gate (Cancel) -&gt; Continue browsing -&gt; Login gate (actual log in) -&gt; Cart -&gt; Checkout</t>
  </si>
  <si>
    <t>Common edge-case flow (changes their mind, cancels, then comes back)</t>
  </si>
  <si>
    <t>Guest customer, not logged in, browsing products on the Homepage.</t>
  </si>
  <si>
    <t>1. Select product A, tap 'Add to Cart'.
2. The login prompt screen appears - this time tap 'Cancel' (do not log in).
3. Check: return to the exact page being viewed, product A is NOT in the cart.
4. Continue browsing a few other products normally (not affected in any way).
5. Go back and select product A again as before, tap 'Add to Cart' again.
6. This time the login screen appears, select 'Log in', enter the correct phone number + PIN.
7. Check: login is successful, product A is NOW in the cart (since this time it was not cancelled).
8. Open the cart, select the delivery service and time slot.
9. Tap 'Proceed to Checkout', select a payment method, tap 'Place order'.
10. Check that the order is placed successfully.</t>
  </si>
  <si>
    <t>Product A: any in-stock SKU. Existing Member account.</t>
  </si>
  <si>
    <t>Tapping Cancel the first time must not lose the data being viewed or cause any error; after coming back to actually log in, everything must continue normally as if the earlier Cancel had never happened.</t>
  </si>
  <si>
    <t>E2E-07</t>
  </si>
  <si>
    <t>Forgetting the PIN password right in the middle of shopping, having to reset the PIN then continue shopping</t>
  </si>
  <si>
    <t>Customer already has an account but forgets the PIN right while logging in to make a purchase</t>
  </si>
  <si>
    <t>Login gate -&gt; Forgot PIN -&gt; Set new PIN -&gt; Cart -&gt; Checkout</t>
  </si>
  <si>
    <t>Common edge-case flow (forgot PIN)</t>
  </si>
  <si>
    <t>Customer already has an account, is at the login step (blocked by the login gate when tapping Add to Cart), but DOES NOT REMEMBER the PIN.</t>
  </si>
  <si>
    <t>1. Tap 'Add to Cart' on a product, blocked by the login screen.
2. Select 'Log in', enter the phone number, then enter the WRONG PIN (because the password is forgotten).
3. Tap 'Forgot PIN'.
4. The system sends an OTP to confirm - enter the correct OTP.
5. Set a new PIN (enter it twice to confirm it matches), tap Save.
6. Check: after the PIN change is done, log in AUTOMATICALLY right away (no need to enter the new PIN again).
7. Check: the product tapped Add to Cart in step 1 is NOW in the cart (not lost due to the forgot-PIN process).
8. Open the cart, select the delivery service and time slot.
9. Tap 'Proceed to Checkout', select a payment method, tap 'Place order'.
10. Check that the order is placed successfully.</t>
  </si>
  <si>
    <t>Test account: phone number 0911119999, old PIN (forgotten): 555555, new reset PIN: 777777.</t>
  </si>
  <si>
    <t>Forgetting the PIN and having to set a new one must NOT interrupt the original purchase intent - after the PIN change is done, it must automatically return to exactly where it left off (the selected product is still in the cart), and then the order can be completed.</t>
  </si>
  <si>
    <t>E2E-08</t>
  </si>
  <si>
    <t>Selecting too many products (more than 30 items), must remove some before checkout is possible</t>
  </si>
  <si>
    <t>Customer is logged in, shopping heavily, selecting more than 30 products in 1 order</t>
  </si>
  <si>
    <t>Cart (exceeds the 30-product limit) -&gt; Remove items -&gt; Checkout</t>
  </si>
  <si>
    <t>Common edge-case flow (cart has too many items)</t>
  </si>
  <si>
    <t>The cart already has 35 products available to select for purchase.</t>
  </si>
  <si>
    <t>1. Open the cart, tap 'Select all' (selecting all 35 products).
2. Check: an error message appears clearly stating that a maximum of 30 products is allowed per order, and the 'Checkout' button is not tappable.
3. Deselect some products until exactly 30 products remain.
4. Check: the error message disappears, the 'Checkout' button becomes tappable normally.
5. Tap 'Proceed to Checkout'.
6. On the Checkout screen, recount to check exactly 30 products (no less, no more).
7. Select a payment method, tap 'Place order'.
8. Check that the order is placed successfully with exactly 30 products.</t>
  </si>
  <si>
    <t>35 sample products available in the cart.</t>
  </si>
  <si>
    <t>The customer must be clearly guided to remove items down to the allowed limit themselves, and once within the limit, everything must work normally, with the order placed successfully with the exact quantity selected.</t>
  </si>
  <si>
    <t>E2E-09</t>
  </si>
  <si>
    <t>Address not deliverable, switch to a different address or change to Self-pickup</t>
  </si>
  <si>
    <t>Customer is logged in, the currently selected address is outside the delivery zone of every store</t>
  </si>
  <si>
    <t>Homepage (address out of zone) -&gt; Change address or select Self-pickup -&gt; Checkout</t>
  </si>
  <si>
    <t>Common edge-case flow (address cannot be delivered to)</t>
  </si>
  <si>
    <t>Customer is logged in, has selected an address outside the service area of every store (no Standard, no Next-day).</t>
  </si>
  <si>
    <t>1. Open the Homepage, check for a 'not serviceable' message shown instead of a delivery time, along with a change-address button.
2. Try tapping into a product category - confirm it can still be browsed normally (only delivery is affected).
3. Tap the change-address button, select a different saved address that is deliverable.
4. Check: the delivery time reappears normally for the new address.
5. Select a product, add it to the cart.
6. Open the cart, confirm the new address and delivery service match what was just selected.
7. (Additional check, another way) Switch back to the old address (not deliverable), this time in the Cart switch to the 'Self-pickup' tab instead of delivery.
8. Select the pickup store and time slot.
9. Tap 'Proceed to Checkout', select a payment method, tap 'Place order'.
10. Check that the order is placed successfully (following the path chosen in step 6 or step 8).</t>
  </si>
  <si>
    <t>Non-deliverable address: 1 address outside all configured zones. Alternative address: 1 valid address within the Standard zone.</t>
  </si>
  <si>
    <t>A non-deliverable address must not block the entire shopping experience - the customer can still browse products and still has at least 2 ways to continue purchasing: switching to a different address, or switching to self-pickup at a store.</t>
  </si>
  <si>
    <t>Kịch bản có nhắc tới việc chuyển sang địa chỉ khác HOẶC chuyển sang Tự đến lấy (Pickup) khi địa chỉ không giao được — đây là 2 nhánh khác nhau nhưng Test Steps hiện chỉ mô tả chung chung 'ít nhất 2 cách để tiếp tục mua' mà không tách rõ bước-by-bước cho từng nhánh. Nên tách thành 2 chuỗi bước rõ ràng (nhánh đổi địa chỉ và nhánh đổi Pickup) để người thực thi không tự diễn giải khác nhau.</t>
  </si>
  <si>
    <t>E2E-10</t>
  </si>
  <si>
    <t>Getting unexpectedly logged out during checkout (session expired), having to log in again and continue placing the order</t>
  </si>
  <si>
    <t>Customer is logged in, and while at the Checkout step the login session expires midway</t>
  </si>
  <si>
    <t>Cart -&gt; Checkout -&gt; (session expired) -&gt; Log in again -&gt; Complete Checkout</t>
  </si>
  <si>
    <t>Common system-error flow (login session expires)</t>
  </si>
  <si>
    <t>Customer is logged in, has finished preparing the order (address, products, service, promotions) and is on the Checkout screen. Simulate the login session expiring right at this point (e.g. waiting a long time without action, or simulated from the test environment).</t>
  </si>
  <si>
    <t>1. Fully prepare an order on the Checkout screen (without tapping Place order).
2. Simulate the login session expiring (e.g. change/delete the login token in the test environment).
3. Tap 'Place order'.
4. Check: the system does NOT freeze/hang, but instead prompts to log in again (as if a guest customer).
5. Log in again using the same old account (phone number + PIN or biometrics).
6. Check after logging in again: the cart and selections (address, products, promotions) are STILL INTACT, no need to redo everything from the start.
7. Tap 'Place order' again.
8. Check that the order is placed successfully, and ONLY 1 order is created (no duplicate orders created from tapping Place order twice).</t>
  </si>
  <si>
    <t>Test account with the order fully prepared before simulating the session expiration.</t>
  </si>
  <si>
    <t>Losing the login session midway must not lose the cart or the prepared selections; the customer only needs to log in again to continue immediately, and under no circumstances should 2 duplicate orders be created.</t>
  </si>
  <si>
    <t>The assumption that 'an expired session is treated as a Guest' is still pending official confirmation from Security/Dev (QnA-04) - this test verifies whether the CURRENT behavior matches the proposal.</t>
  </si>
  <si>
    <t>E2E-11</t>
  </si>
  <si>
    <t>Purchasing via Self-pickup at a store, paying with cash (for loyal customers)</t>
  </si>
  <si>
    <t>Customer is logged in, belongs to a high membership tier (Platinum), selects store pickup and cash payment</t>
  </si>
  <si>
    <t>Cart (Self-pickup) -&gt; Checkout -&gt; Cash payment at store</t>
  </si>
  <si>
    <t>Variant flow (Pickup + cash)</t>
  </si>
  <si>
    <t>Member account belongs to the Platinum tier. The cart has products that can be picked up at the store.</t>
  </si>
  <si>
    <t>1. Open the cart, switch to the 'Self-pickup' tab.
2. Enter the name and phone number of the person who will pick up the order (may differ from the logged-in account).
3. Select the pickup store and the pickup time slot.
4. Tap 'Proceed to Checkout'.
5. On the Checkout screen, check that there is no delivery fee line (since it is self-pickup, nobody delivers to the door).
6. Check that the 'Cash payment at store' option DOES appear in the payment method list (because the account is Platinum).
7. Select 'Cash payment at store'.
8. Tap 'Place order'.
9. Check that the order is placed successfully, clearly recording the payment method as cash and the pickup person's information matching what was entered in step 2.</t>
  </si>
  <si>
    <t>Existing Platinum account. Pickup person: Nguyễn Văn C / 0933334444 (different from the account owner).</t>
  </si>
  <si>
    <t>The entire self-pickup + cash payment flow must run correctly, with no delivery fee mistakenly charged, and the pickup person's information must be kept exactly as entered (not replaced with the account owner's information).</t>
  </si>
  <si>
    <t>E2E-12</t>
  </si>
  <si>
    <t>A product just goes out of stock right when Place order is tapped, must be reported and the order allowed to be corrected before reordering</t>
  </si>
  <si>
    <t>Customer has finished preparing the order, but right when tapping Place order, 1 product has just been bought out by someone else</t>
  </si>
  <si>
    <t>Cart -&gt; Checkout -&gt; Place order (rejected) -&gt; Correct the order -&gt; Place order again</t>
  </si>
  <si>
    <t>Common error flow during high concurrent traffic</t>
  </si>
  <si>
    <t>The order has 3 products, of which 1 product (SKU-Z) has exactly 1 unit left in stock. Simulate another person buying out SKU-Z right before this customer taps Place order.</t>
  </si>
  <si>
    <t>1. Finish preparing the order with 3 products (including SKU-Z) on the Checkout screen.
2. Simulate: another person just bought out SKU-Z (stock drops to 0) right BEFORE the customer taps Place order.
3. The customer taps 'Place order'.
4. Check: the system REJECTS the order, clearly states the reason (SKU-Z is out of stock), and returns the customer to the Cart.
5. Check in the Cart: SKU-Z has been moved to an out-of-stock status/separate group, the remaining 2 products are still intact.
6. Remove SKU-Z from the cart (or switch to a substitute product if the system suggests one).
7. Tap 'Proceed to Checkout' again.
8. Check that the previous selections (address, service, promotions) are STILL INTACT, no need to select again from the start.
9. Tap 'Place order' again.
10. Check that this time the order is placed successfully with exactly the 2 remaining products.</t>
  </si>
  <si>
    <t>Order: SKU-X, SKU-Y (in stock), SKU-Z (out of stock right at the time of placing the order).</t>
  </si>
  <si>
    <t>When a product goes out of stock right at the time of placing the order, the customer must be clearly notified and returned to correct the order (must not show a generic error or lose all the prepared information); after correcting it, the order must be placeable again immediately without redoing everything from the start.</t>
  </si>
  <si>
    <t>E2E-13</t>
  </si>
  <si>
    <t>Having an existing cart, changing store from the Homepage, going back to the Cart to check the actual consequences</t>
  </si>
  <si>
    <t>Customer already has a cart with products from store A, then goes to the Homepage and switches to store B (store B cannot serve some products/services in the cart), then goes back to the Cart.</t>
  </si>
  <si>
    <t>Cart (existing) -&gt; Homepage (SCR-HOM-04, change store) -&gt; back to Cart (SCR-CRT-01) -&gt; check the consequences</t>
  </si>
  <si>
    <t>Rule conflict between 2 screens (Homepage skips the warning vs Cart requires one)</t>
  </si>
  <si>
    <t>Customer (Guest or Member) already has a cart with &gt;=1 product sold only at store A, or a service/slot only available at store A.</t>
  </si>
  <si>
    <t>1. Prepare a cart with products/services tied to store A.
2. Go to the Homepage (SCR-HOM-04), switch to store B (store B causes the above products/services to be affected - out of stock/price change/service lost).
3. Observe: does the Homepage show any warning about the existing cart, or does it apply immediately per BRL-08 (no warning)?
4. After finishing the store change, reopen the Cart (SCR-CRT-01).
5. Check the cart: how the affected products/services have been handled (silently removed, moved to the 'Unavailable' group, whether a notification appears when opening the Cart or not).</t>
  </si>
  <si>
    <t>Cart has &gt;=1 SKU sold only at store A + a 60-Minute service only available at store A; store B does not sell that SKU and does not have 60-Minute.</t>
  </si>
  <si>
    <t>TBD - this is exactly the conflict recorded in QnA-64 (the SRS specifies that changing store from the Homepage does not require a warning - HP-08/BRL-08, but changing store from the Cart requires a warning - CT-07/BRL-24). This test case simulates the ACTUAL real-world journey (changing via the Homepage and only then seeing the consequences in the Cart) to complement the 2 existing standalone test cases (SCR-HOM-04-SC8, SCR-CRT-06-SC2). Do not arbitrarily mark Pass/Fail - only record the actual behavior for reference once QnA-64 is answered.</t>
  </si>
  <si>
    <t>Added per the review request on 28/08/2026 - turning the rule conflict found in QnA-64 into an E2E test, connecting the 2 standalone test cases SCR-HOM-04-SC8 and SCR-CRT-06-SC2 into 1 continuous journey.</t>
  </si>
  <si>
    <t>Aggregate Summary — Combined Test Suite (Functional + Integration + E2E)</t>
  </si>
  <si>
    <t>Overall Totals</t>
  </si>
  <si>
    <t>Total Scenarios (Functional + Integration)</t>
  </si>
  <si>
    <t>Total Test Cases (Functional + Integration)</t>
  </si>
  <si>
    <t>Total E2E Test Cases (end-to-end)</t>
  </si>
  <si>
    <t>Grand total - ALL test cases (Functional + Integration + E2E)</t>
  </si>
  <si>
    <t>Functional Test Cases — By Test Result</t>
  </si>
  <si>
    <t>Integration Test Cases — By Test Result</t>
  </si>
  <si>
    <t>Pass</t>
  </si>
  <si>
    <t>Fail</t>
  </si>
  <si>
    <t>Blocked</t>
  </si>
  <si>
    <t>N/A</t>
  </si>
  <si>
    <t>Total</t>
  </si>
  <si>
    <t>Total Scenarios</t>
  </si>
  <si>
    <t>Total Test Cases</t>
  </si>
  <si>
    <t>Has a Review comment (needs attention)</t>
  </si>
  <si>
    <t>Linked to Open QnA item</t>
  </si>
  <si>
    <t>Functional — By Capability Area</t>
  </si>
  <si>
    <t>Integration — By Module</t>
  </si>
  <si>
    <t>Functional — By Test Case Type</t>
  </si>
  <si>
    <t>Integration — By Test Case Type</t>
  </si>
  <si>
    <t>Integration Points Reference</t>
  </si>
  <si>
    <t>System/Service</t>
  </si>
  <si>
    <t>Role in Simplify Checkout</t>
  </si>
  <si>
    <t>Modules Using It</t>
  </si>
  <si>
    <t>Sends and verifies OTP codes for Signup/Login/Forgot PIN; Zalo is the default channel, SMS is a manual backup channel (no auto-fallback).</t>
  </si>
  <si>
    <t>SU, LI</t>
  </si>
  <si>
    <t>Payment &amp; BNPL Gateway (MoMo/ZaloPay/Card/BNPL)</t>
  </si>
  <si>
    <t>Processes payments, returns promotions specific to each payment method, and confirms Place order.</t>
  </si>
  <si>
    <t>CO</t>
  </si>
  <si>
    <t>OMS/DMS (slot capacity &amp; Next-day config)</t>
  </si>
  <si>
    <t>Owns the 60-Minute/Standard/Next-day slot configuration, raises low-capacity warnings, and frees up a slot once an order is ready for delivery.</t>
  </si>
  <si>
    <t>CT</t>
  </si>
  <si>
    <t>OMS (order placement)</t>
  </si>
  <si>
    <t>Receives and stores the final order record; confirms or rejects an order (e.g. when stock runs out in the meantime).</t>
  </si>
  <si>
    <t>Store Configuration Service (Catalog/Price/Stock)</t>
  </si>
  <si>
    <t>Cung cấp danh mục, giá, tồn kho, bán kính dịch vụ theo từng store; nguồn dữ liệu chính cho cảnh báo đổi store.</t>
  </si>
  <si>
    <t>ONB, HP, CT</t>
  </si>
  <si>
    <t>Manages Face ID/fingerprint biometric tickets, limited to 1 active ticket per device.</t>
  </si>
  <si>
    <t>Session / Auth Token Service</t>
  </si>
  <si>
    <t>Issues and validates login session tokens; handles mid-session expiry.</t>
  </si>
  <si>
    <t>HP, LI</t>
  </si>
  <si>
    <t>Automatically applies delivery/product coupons and calculates free-shipping progress in real time.</t>
  </si>
  <si>
    <t>CT, CO</t>
  </si>
  <si>
    <t>Calculates expected points, time-slot point-earning bonuses, and applies point redemption discounts.</t>
  </si>
  <si>
    <t>Validates and redeems GotIt/gift-card codes against the order total.</t>
  </si>
  <si>
    <t>Receives and stores the VAT invoice details attached to an order.</t>
  </si>
  <si>
    <t>Executes 60-Minute/Standard/Next-day delivery and manages the status of near-home and in-store lockers.</t>
  </si>
  <si>
    <t>Xác định 1 trong 4 trạng thái dịch vụ theo khoảng cách địa chỉ-store; nguồn dữ liệu cho ước tính giao hàng.</t>
  </si>
  <si>
    <t>HP, CT</t>
  </si>
  <si>
    <t>Security Service - OTP/PIN Attempt Limit</t>
  </si>
  <si>
    <t>Enforces the OTP/PIN wrong-attempt limit on the server side, independent of the client.</t>
  </si>
  <si>
    <t xml:space="preserve">- MART-AN02-SRS-Simplify User Flow-v0.1-20260814.pptx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</si>
</sst>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color rgb="FF1F4E78"/>
      <name val="Cambria"/>
      <charset val="1"/>
    </font>
    <font>
      <b/>
      <sz val="13"/>
      <name val="Cambria"/>
      <charset val="1"/>
    </font>
    <font>
      <b/>
      <sz val="11"/>
      <name val="Cambria"/>
      <charset val="1"/>
    </font>
    <font>
      <b/>
      <sz val="12"/>
      <name val="Cambria"/>
      <charset val="1"/>
    </font>
    <font>
      <b/>
      <sz val="11"/>
      <color rgb="FFFFFFFF"/>
      <name val="Cambria"/>
      <charset val="1"/>
    </font>
    <font>
      <i/>
      <sz val="9"/>
      <color rgb="FF666666"/>
      <name val="Cambria"/>
      <charset val="1"/>
    </font>
  </fonts>
  <fills count="7">
    <fill>
      <patternFill patternType="none"/>
    </fill>
    <fill>
      <patternFill patternType="gray125"/>
    </fill>
    <fill>
      <patternFill patternType="solid">
        <fgColor rgb="FF1F4E78"/>
        <bgColor rgb="FF003366"/>
      </patternFill>
    </fill>
    <fill>
      <patternFill patternType="solid">
        <fgColor rgb="FFFFF2CC"/>
        <bgColor rgb="FFE2EFDA"/>
      </patternFill>
    </fill>
    <fill>
      <patternFill patternType="solid">
        <fgColor rgb="FFE2EFDA"/>
        <bgColor rgb="FFFFF2CC"/>
      </patternFill>
    </fill>
    <fill>
      <patternFill patternType="solid">
        <fgColor rgb="FFFCE4D6"/>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3" fillId="0" borderId="0" xfId="0" applyFont="1"/>
    <xf numFmtId="0" fontId="0" fillId="0" borderId="0" xfId="0" applyAlignment="1">
      <alignment vertical="top" wrapText="1"/>
    </xf>
    <xf numFmtId="0" fontId="4" fillId="0" borderId="0" xfId="0" applyFont="1"/>
    <xf numFmtId="0" fontId="5" fillId="2" borderId="1" xfId="0" applyFont="1" applyFill="1"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0" borderId="0" xfId="0" applyAlignment="1">
      <alignment vertical="top"/>
    </xf>
    <xf numFmtId="0" fontId="1"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15" fontId="0" fillId="0" borderId="0" xfId="0" applyNumberFormat="1" applyAlignment="1">
      <alignment horizontal="left"/>
    </xf>
    <xf numFmtId="0" fontId="0" fillId="0" borderId="0" xfId="0" quotePrefix="1" applyAlignment="1">
      <alignment vertical="top"/>
    </xf>
    <xf numFmtId="0" fontId="0" fillId="5" borderId="1" xfId="0" applyFill="1" applyBorder="1" applyAlignment="1">
      <alignment vertical="top" wrapText="1"/>
    </xf>
    <xf numFmtId="0" fontId="0" fillId="0" borderId="2" xfId="0" applyBorder="1" applyAlignment="1">
      <alignment vertical="top" wrapText="1"/>
    </xf>
    <xf numFmtId="0" fontId="0" fillId="6" borderId="2" xfId="0" applyFill="1" applyBorder="1" applyAlignment="1">
      <alignment vertical="top" wrapText="1"/>
    </xf>
    <xf numFmtId="0" fontId="0" fillId="5" borderId="2" xfId="0" applyFill="1" applyBorder="1" applyAlignment="1">
      <alignment vertical="top" wrapText="1"/>
    </xf>
    <xf numFmtId="0" fontId="1" fillId="0" borderId="0" xfId="0" applyFont="1"/>
    <xf numFmtId="0" fontId="0" fillId="0" borderId="0" xfId="0"/>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tabSelected="1" zoomScaleNormal="100" workbookViewId="0"/>
  </sheetViews>
  <sheetFormatPr defaultColWidth="8.7109375" defaultRowHeight="15" x14ac:dyDescent="0.25"/>
  <cols>
    <col min="1" max="1" width="37.85546875" style="10" customWidth="1"/>
    <col min="2" max="2" width="23.28515625" customWidth="1"/>
    <col min="3" max="3" width="17.140625" customWidth="1"/>
    <col min="4" max="4" width="100" customWidth="1"/>
  </cols>
  <sheetData>
    <row r="1" spans="1:2" ht="17.25" customHeight="1" x14ac:dyDescent="0.25">
      <c r="A1" s="9" t="s">
        <v>1620</v>
      </c>
    </row>
    <row r="2" spans="1:2" ht="15" customHeight="1" x14ac:dyDescent="0.25">
      <c r="A2" s="10" t="s">
        <v>1621</v>
      </c>
    </row>
    <row r="3" spans="1:2" ht="15.75" customHeight="1" x14ac:dyDescent="0.25">
      <c r="A3" s="11" t="s">
        <v>1621</v>
      </c>
    </row>
    <row r="6" spans="1:2" x14ac:dyDescent="0.25">
      <c r="A6" s="12" t="s">
        <v>1622</v>
      </c>
      <c r="B6" s="8" t="s">
        <v>1623</v>
      </c>
    </row>
    <row r="7" spans="1:2" x14ac:dyDescent="0.25">
      <c r="A7" s="12" t="s">
        <v>1624</v>
      </c>
      <c r="B7" s="8" t="s">
        <v>1625</v>
      </c>
    </row>
    <row r="8" spans="1:2" x14ac:dyDescent="0.25">
      <c r="A8" s="12" t="s">
        <v>1626</v>
      </c>
      <c r="B8" s="8" t="s">
        <v>1627</v>
      </c>
    </row>
    <row r="9" spans="1:2" x14ac:dyDescent="0.25">
      <c r="A9" s="12" t="s">
        <v>1628</v>
      </c>
      <c r="B9" s="8" t="s">
        <v>1629</v>
      </c>
    </row>
    <row r="10" spans="1:2" ht="33.75" customHeight="1" x14ac:dyDescent="0.25">
      <c r="A10" s="12" t="s">
        <v>1630</v>
      </c>
      <c r="B10" s="15" t="s">
        <v>2969</v>
      </c>
    </row>
    <row r="11" spans="1:2" x14ac:dyDescent="0.25">
      <c r="A11" s="12"/>
      <c r="B11" s="8"/>
    </row>
    <row r="12" spans="1:2" x14ac:dyDescent="0.25">
      <c r="A12" s="12" t="s">
        <v>1631</v>
      </c>
      <c r="B12" s="8" t="s">
        <v>1632</v>
      </c>
    </row>
    <row r="13" spans="1:2" x14ac:dyDescent="0.25">
      <c r="A13" s="12" t="s">
        <v>1633</v>
      </c>
      <c r="B13" s="8" t="s">
        <v>1634</v>
      </c>
    </row>
    <row r="15" spans="1:2" ht="15" customHeight="1" x14ac:dyDescent="0.25">
      <c r="A15" s="13" t="s">
        <v>1635</v>
      </c>
    </row>
    <row r="16" spans="1:2" ht="27.75" customHeight="1" x14ac:dyDescent="0.25">
      <c r="A16" s="12" t="s">
        <v>1636</v>
      </c>
      <c r="B16" s="8" t="s">
        <v>1637</v>
      </c>
    </row>
    <row r="17" spans="1:4" ht="27.75" customHeight="1" x14ac:dyDescent="0.25">
      <c r="A17" s="12" t="s">
        <v>1638</v>
      </c>
      <c r="B17" s="8" t="s">
        <v>1639</v>
      </c>
    </row>
    <row r="18" spans="1:4" ht="27.75" customHeight="1" x14ac:dyDescent="0.25">
      <c r="A18" s="12" t="s">
        <v>1640</v>
      </c>
      <c r="B18" s="8" t="s">
        <v>1641</v>
      </c>
    </row>
    <row r="19" spans="1:4" ht="27.75" customHeight="1" x14ac:dyDescent="0.25">
      <c r="A19" s="12" t="s">
        <v>1642</v>
      </c>
      <c r="B19" s="8" t="s">
        <v>1643</v>
      </c>
    </row>
    <row r="20" spans="1:4" ht="27.75" customHeight="1" x14ac:dyDescent="0.25">
      <c r="A20" s="12" t="s">
        <v>1644</v>
      </c>
      <c r="B20" s="8" t="s">
        <v>1645</v>
      </c>
    </row>
    <row r="21" spans="1:4" ht="27.75" customHeight="1" x14ac:dyDescent="0.25">
      <c r="A21" s="12" t="s">
        <v>1646</v>
      </c>
      <c r="B21" s="8" t="s">
        <v>1647</v>
      </c>
    </row>
    <row r="22" spans="1:4" ht="15" customHeight="1" x14ac:dyDescent="0.25">
      <c r="A22" s="13" t="s">
        <v>1648</v>
      </c>
    </row>
    <row r="23" spans="1:4" ht="15" customHeight="1" x14ac:dyDescent="0.25">
      <c r="A23" s="12" t="s">
        <v>1649</v>
      </c>
      <c r="B23" s="1" t="s">
        <v>1628</v>
      </c>
      <c r="C23" s="1" t="s">
        <v>1650</v>
      </c>
      <c r="D23" s="1" t="s">
        <v>1651</v>
      </c>
    </row>
    <row r="24" spans="1:4" ht="15" customHeight="1" x14ac:dyDescent="0.25">
      <c r="A24" s="10" t="s">
        <v>1652</v>
      </c>
      <c r="B24" s="14">
        <v>46260</v>
      </c>
      <c r="C24" t="s">
        <v>1627</v>
      </c>
      <c r="D24" t="s">
        <v>1653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143"/>
  <sheetViews>
    <sheetView showGridLines="0" topLeftCell="C1" zoomScaleNormal="100" workbookViewId="0">
      <pane ySplit="2" topLeftCell="A3" activePane="bottomLeft" state="frozen"/>
      <selection pane="bottomLeft" activeCell="A5" sqref="A5:XFD5"/>
    </sheetView>
  </sheetViews>
  <sheetFormatPr defaultColWidth="8.7109375" defaultRowHeight="15" x14ac:dyDescent="0.25"/>
  <cols>
    <col min="1" max="1" width="6" customWidth="1"/>
    <col min="2" max="2" width="20" customWidth="1"/>
    <col min="3" max="3" width="14" customWidth="1"/>
    <col min="4" max="4" width="26" customWidth="1"/>
    <col min="5" max="5" width="20" customWidth="1"/>
    <col min="6" max="6" width="12" customWidth="1"/>
    <col min="7" max="7" width="40" customWidth="1"/>
    <col min="8" max="8" width="24" customWidth="1"/>
    <col min="9" max="9" width="34" customWidth="1"/>
    <col min="10" max="10" width="46" customWidth="1"/>
    <col min="11" max="11" width="34" customWidth="1"/>
    <col min="12" max="12" width="10" customWidth="1"/>
    <col min="13" max="13" width="40" customWidth="1"/>
  </cols>
  <sheetData>
    <row r="1" spans="1:13" ht="17.25" customHeight="1" x14ac:dyDescent="0.25">
      <c r="A1" s="20" t="s">
        <v>1654</v>
      </c>
      <c r="B1" s="21"/>
      <c r="C1" s="21"/>
      <c r="D1" s="21"/>
      <c r="E1" s="21"/>
      <c r="F1" s="21"/>
      <c r="G1" s="21"/>
      <c r="H1" s="21"/>
      <c r="I1" s="21"/>
      <c r="J1" s="21"/>
      <c r="K1" s="21"/>
      <c r="L1" s="21"/>
      <c r="M1" s="21"/>
    </row>
    <row r="2" spans="1:13" ht="27.75" customHeight="1" x14ac:dyDescent="0.25">
      <c r="A2" s="4" t="s">
        <v>1655</v>
      </c>
      <c r="B2" s="4" t="s">
        <v>1656</v>
      </c>
      <c r="C2" s="4" t="s">
        <v>3</v>
      </c>
      <c r="D2" s="4" t="s">
        <v>1657</v>
      </c>
      <c r="E2" s="4" t="s">
        <v>4</v>
      </c>
      <c r="F2" s="4" t="s">
        <v>1658</v>
      </c>
      <c r="G2" s="4" t="s">
        <v>1659</v>
      </c>
      <c r="H2" s="4" t="s">
        <v>1660</v>
      </c>
      <c r="I2" s="4" t="s">
        <v>7</v>
      </c>
      <c r="J2" s="4" t="s">
        <v>1661</v>
      </c>
      <c r="K2" s="4" t="s">
        <v>1662</v>
      </c>
      <c r="L2" s="4" t="s">
        <v>16</v>
      </c>
      <c r="M2" s="4" t="s">
        <v>17</v>
      </c>
    </row>
    <row r="3" spans="1:13" ht="45.75" hidden="1" customHeight="1" x14ac:dyDescent="0.25">
      <c r="A3" s="5">
        <v>1</v>
      </c>
      <c r="B3" s="5" t="s">
        <v>20</v>
      </c>
      <c r="C3" s="5" t="s">
        <v>21</v>
      </c>
      <c r="D3" s="5" t="s">
        <v>1663</v>
      </c>
      <c r="E3" s="5" t="s">
        <v>22</v>
      </c>
      <c r="F3" s="5" t="s">
        <v>552</v>
      </c>
      <c r="G3" s="5" t="s">
        <v>1664</v>
      </c>
      <c r="H3" s="5" t="s">
        <v>1665</v>
      </c>
      <c r="I3" s="5" t="s">
        <v>1666</v>
      </c>
      <c r="J3" s="5" t="s">
        <v>1667</v>
      </c>
      <c r="K3" s="5" t="s">
        <v>1668</v>
      </c>
      <c r="L3" s="5"/>
      <c r="M3" s="5" t="s">
        <v>1669</v>
      </c>
    </row>
    <row r="4" spans="1:13" ht="45.75" hidden="1" customHeight="1" x14ac:dyDescent="0.25">
      <c r="A4" s="5">
        <v>2</v>
      </c>
      <c r="B4" s="5" t="s">
        <v>40</v>
      </c>
      <c r="C4" s="5" t="s">
        <v>21</v>
      </c>
      <c r="D4" s="5" t="s">
        <v>1663</v>
      </c>
      <c r="E4" s="5" t="s">
        <v>22</v>
      </c>
      <c r="F4" s="5" t="s">
        <v>86</v>
      </c>
      <c r="G4" s="5" t="s">
        <v>1670</v>
      </c>
      <c r="H4" s="5" t="s">
        <v>1671</v>
      </c>
      <c r="I4" s="5" t="s">
        <v>1672</v>
      </c>
      <c r="J4" s="5" t="s">
        <v>1673</v>
      </c>
      <c r="K4" s="5" t="s">
        <v>1674</v>
      </c>
      <c r="L4" s="5"/>
      <c r="M4" s="5"/>
    </row>
    <row r="5" spans="1:13" ht="45.75" customHeight="1" x14ac:dyDescent="0.25">
      <c r="A5" s="5">
        <v>3</v>
      </c>
      <c r="B5" s="5" t="s">
        <v>48</v>
      </c>
      <c r="C5" s="5" t="s">
        <v>49</v>
      </c>
      <c r="D5" s="5" t="s">
        <v>1663</v>
      </c>
      <c r="E5" s="5" t="s">
        <v>50</v>
      </c>
      <c r="F5" s="5" t="s">
        <v>552</v>
      </c>
      <c r="G5" s="5" t="s">
        <v>1675</v>
      </c>
      <c r="H5" s="5" t="s">
        <v>1676</v>
      </c>
      <c r="I5" s="5" t="s">
        <v>1677</v>
      </c>
      <c r="J5" s="5" t="s">
        <v>1678</v>
      </c>
      <c r="K5" s="5" t="s">
        <v>1679</v>
      </c>
      <c r="L5" s="5"/>
      <c r="M5" s="5"/>
    </row>
    <row r="6" spans="1:13" ht="45.75" customHeight="1" x14ac:dyDescent="0.25">
      <c r="A6" s="5">
        <v>4</v>
      </c>
      <c r="B6" s="5" t="s">
        <v>58</v>
      </c>
      <c r="C6" s="5" t="s">
        <v>49</v>
      </c>
      <c r="D6" s="5" t="s">
        <v>1663</v>
      </c>
      <c r="E6" s="5" t="s">
        <v>50</v>
      </c>
      <c r="F6" s="5" t="s">
        <v>59</v>
      </c>
      <c r="G6" s="5" t="s">
        <v>1680</v>
      </c>
      <c r="H6" s="5" t="s">
        <v>1681</v>
      </c>
      <c r="I6" s="5" t="s">
        <v>1677</v>
      </c>
      <c r="J6" s="5" t="s">
        <v>1682</v>
      </c>
      <c r="K6" s="5" t="s">
        <v>1683</v>
      </c>
      <c r="L6" s="5"/>
      <c r="M6" s="5" t="s">
        <v>1684</v>
      </c>
    </row>
    <row r="7" spans="1:13" ht="45.75" hidden="1" customHeight="1" x14ac:dyDescent="0.25">
      <c r="A7" s="5">
        <v>5</v>
      </c>
      <c r="B7" s="5" t="s">
        <v>67</v>
      </c>
      <c r="C7" s="5" t="s">
        <v>49</v>
      </c>
      <c r="D7" s="5" t="s">
        <v>1663</v>
      </c>
      <c r="E7" s="5" t="s">
        <v>50</v>
      </c>
      <c r="F7" s="5" t="s">
        <v>23</v>
      </c>
      <c r="G7" s="5" t="s">
        <v>1685</v>
      </c>
      <c r="H7" s="5" t="s">
        <v>1686</v>
      </c>
      <c r="I7" s="5" t="s">
        <v>1677</v>
      </c>
      <c r="J7" s="5" t="s">
        <v>1687</v>
      </c>
      <c r="K7" s="5" t="s">
        <v>1688</v>
      </c>
      <c r="L7" s="5"/>
      <c r="M7" s="5" t="s">
        <v>1689</v>
      </c>
    </row>
    <row r="8" spans="1:13" ht="45.75" hidden="1" customHeight="1" x14ac:dyDescent="0.25">
      <c r="A8" s="16">
        <v>6</v>
      </c>
      <c r="B8" s="16" t="s">
        <v>75</v>
      </c>
      <c r="C8" s="16" t="s">
        <v>49</v>
      </c>
      <c r="D8" s="16" t="s">
        <v>1663</v>
      </c>
      <c r="E8" s="16" t="s">
        <v>76</v>
      </c>
      <c r="F8" s="16" t="s">
        <v>23</v>
      </c>
      <c r="G8" s="16" t="s">
        <v>1690</v>
      </c>
      <c r="H8" s="16" t="s">
        <v>1691</v>
      </c>
      <c r="I8" s="16" t="s">
        <v>1692</v>
      </c>
      <c r="J8" s="16" t="s">
        <v>1693</v>
      </c>
      <c r="K8" s="16" t="s">
        <v>1694</v>
      </c>
      <c r="L8" s="16" t="s">
        <v>82</v>
      </c>
      <c r="M8" s="16" t="s">
        <v>1695</v>
      </c>
    </row>
    <row r="9" spans="1:13" ht="45.75" hidden="1" customHeight="1" x14ac:dyDescent="0.25">
      <c r="A9" s="16">
        <v>7</v>
      </c>
      <c r="B9" s="16" t="s">
        <v>85</v>
      </c>
      <c r="C9" s="16" t="s">
        <v>49</v>
      </c>
      <c r="D9" s="16" t="s">
        <v>1663</v>
      </c>
      <c r="E9" s="16" t="s">
        <v>50</v>
      </c>
      <c r="F9" s="16" t="s">
        <v>86</v>
      </c>
      <c r="G9" s="16" t="s">
        <v>1696</v>
      </c>
      <c r="H9" s="16" t="s">
        <v>1697</v>
      </c>
      <c r="I9" s="16" t="s">
        <v>1698</v>
      </c>
      <c r="J9" s="16" t="s">
        <v>1699</v>
      </c>
      <c r="K9" s="16" t="s">
        <v>1700</v>
      </c>
      <c r="L9" s="16" t="s">
        <v>92</v>
      </c>
      <c r="M9" s="16" t="s">
        <v>93</v>
      </c>
    </row>
    <row r="10" spans="1:13" ht="45.75" hidden="1" customHeight="1" x14ac:dyDescent="0.25">
      <c r="A10" s="5">
        <v>8</v>
      </c>
      <c r="B10" s="5" t="s">
        <v>95</v>
      </c>
      <c r="C10" s="5" t="s">
        <v>96</v>
      </c>
      <c r="D10" s="5" t="s">
        <v>1663</v>
      </c>
      <c r="E10" s="5" t="s">
        <v>97</v>
      </c>
      <c r="F10" s="5" t="s">
        <v>552</v>
      </c>
      <c r="G10" s="5" t="s">
        <v>1701</v>
      </c>
      <c r="H10" s="5" t="s">
        <v>1702</v>
      </c>
      <c r="I10" s="5" t="s">
        <v>1703</v>
      </c>
      <c r="J10" s="5" t="s">
        <v>1704</v>
      </c>
      <c r="K10" s="5" t="s">
        <v>1705</v>
      </c>
      <c r="L10" s="5"/>
      <c r="M10" s="5"/>
    </row>
    <row r="11" spans="1:13" ht="45.75" hidden="1" customHeight="1" x14ac:dyDescent="0.25">
      <c r="A11" s="5">
        <v>9</v>
      </c>
      <c r="B11" s="5" t="s">
        <v>104</v>
      </c>
      <c r="C11" s="5" t="s">
        <v>96</v>
      </c>
      <c r="D11" s="5" t="s">
        <v>1663</v>
      </c>
      <c r="E11" s="5" t="s">
        <v>97</v>
      </c>
      <c r="F11" s="5" t="s">
        <v>32</v>
      </c>
      <c r="G11" s="5" t="s">
        <v>1706</v>
      </c>
      <c r="H11" s="5" t="s">
        <v>1707</v>
      </c>
      <c r="I11" s="5" t="s">
        <v>1708</v>
      </c>
      <c r="J11" s="5" t="s">
        <v>1709</v>
      </c>
      <c r="K11" s="5" t="s">
        <v>1710</v>
      </c>
      <c r="L11" s="5"/>
      <c r="M11" s="5" t="s">
        <v>1711</v>
      </c>
    </row>
    <row r="12" spans="1:13" ht="45.75" hidden="1" customHeight="1" x14ac:dyDescent="0.25">
      <c r="A12" s="5">
        <v>10</v>
      </c>
      <c r="B12" s="5" t="s">
        <v>111</v>
      </c>
      <c r="C12" s="5" t="s">
        <v>96</v>
      </c>
      <c r="D12" s="5" t="s">
        <v>1663</v>
      </c>
      <c r="E12" s="5" t="s">
        <v>97</v>
      </c>
      <c r="F12" s="5" t="s">
        <v>23</v>
      </c>
      <c r="G12" s="5" t="s">
        <v>1712</v>
      </c>
      <c r="H12" s="5" t="s">
        <v>1713</v>
      </c>
      <c r="I12" s="5" t="s">
        <v>1714</v>
      </c>
      <c r="J12" s="5" t="s">
        <v>1715</v>
      </c>
      <c r="K12" s="5" t="s">
        <v>1716</v>
      </c>
      <c r="L12" s="5"/>
      <c r="M12" s="5"/>
    </row>
    <row r="13" spans="1:13" ht="45.75" hidden="1" customHeight="1" x14ac:dyDescent="0.25">
      <c r="A13" s="16">
        <v>11</v>
      </c>
      <c r="B13" s="16" t="s">
        <v>120</v>
      </c>
      <c r="C13" s="16" t="s">
        <v>96</v>
      </c>
      <c r="D13" s="16" t="s">
        <v>1663</v>
      </c>
      <c r="E13" s="16" t="s">
        <v>97</v>
      </c>
      <c r="F13" s="16" t="s">
        <v>86</v>
      </c>
      <c r="G13" s="16" t="s">
        <v>1717</v>
      </c>
      <c r="H13" s="16" t="s">
        <v>1718</v>
      </c>
      <c r="I13" s="16" t="s">
        <v>1714</v>
      </c>
      <c r="J13" s="16" t="s">
        <v>1719</v>
      </c>
      <c r="K13" s="16" t="s">
        <v>1720</v>
      </c>
      <c r="L13" s="16" t="s">
        <v>126</v>
      </c>
      <c r="M13" s="16" t="s">
        <v>1721</v>
      </c>
    </row>
    <row r="14" spans="1:13" ht="45.75" hidden="1" customHeight="1" x14ac:dyDescent="0.25">
      <c r="A14" s="16">
        <v>12</v>
      </c>
      <c r="B14" s="16" t="s">
        <v>129</v>
      </c>
      <c r="C14" s="16" t="s">
        <v>96</v>
      </c>
      <c r="D14" s="16" t="s">
        <v>1663</v>
      </c>
      <c r="E14" s="16" t="s">
        <v>97</v>
      </c>
      <c r="F14" s="16" t="s">
        <v>32</v>
      </c>
      <c r="G14" s="16" t="s">
        <v>1722</v>
      </c>
      <c r="H14" s="16" t="s">
        <v>1723</v>
      </c>
      <c r="I14" s="16" t="s">
        <v>1724</v>
      </c>
      <c r="J14" s="16" t="s">
        <v>1725</v>
      </c>
      <c r="K14" s="16" t="s">
        <v>1726</v>
      </c>
      <c r="L14" s="16" t="s">
        <v>135</v>
      </c>
      <c r="M14" s="16" t="s">
        <v>1727</v>
      </c>
    </row>
    <row r="15" spans="1:13" ht="45.75" hidden="1" customHeight="1" x14ac:dyDescent="0.25">
      <c r="A15" s="16">
        <v>13</v>
      </c>
      <c r="B15" s="16" t="s">
        <v>138</v>
      </c>
      <c r="C15" s="16" t="s">
        <v>96</v>
      </c>
      <c r="D15" s="16" t="s">
        <v>1663</v>
      </c>
      <c r="E15" s="16" t="s">
        <v>97</v>
      </c>
      <c r="F15" s="16" t="s">
        <v>23</v>
      </c>
      <c r="G15" s="16" t="s">
        <v>1728</v>
      </c>
      <c r="H15" s="16" t="s">
        <v>1729</v>
      </c>
      <c r="I15" s="16" t="s">
        <v>1730</v>
      </c>
      <c r="J15" s="16" t="s">
        <v>1731</v>
      </c>
      <c r="K15" s="16" t="s">
        <v>1732</v>
      </c>
      <c r="L15" s="16" t="s">
        <v>143</v>
      </c>
      <c r="M15" s="16" t="s">
        <v>93</v>
      </c>
    </row>
    <row r="16" spans="1:13" ht="45.75" hidden="1" customHeight="1" x14ac:dyDescent="0.25">
      <c r="A16" s="16">
        <v>14</v>
      </c>
      <c r="B16" s="16" t="s">
        <v>145</v>
      </c>
      <c r="C16" s="16" t="s">
        <v>96</v>
      </c>
      <c r="D16" s="16" t="s">
        <v>1663</v>
      </c>
      <c r="E16" s="16" t="s">
        <v>97</v>
      </c>
      <c r="F16" s="16" t="s">
        <v>86</v>
      </c>
      <c r="G16" s="16" t="s">
        <v>1733</v>
      </c>
      <c r="H16" s="16" t="s">
        <v>1734</v>
      </c>
      <c r="I16" s="16" t="s">
        <v>1735</v>
      </c>
      <c r="J16" s="16" t="s">
        <v>1736</v>
      </c>
      <c r="K16" s="16" t="s">
        <v>1700</v>
      </c>
      <c r="L16" s="16" t="s">
        <v>92</v>
      </c>
      <c r="M16" s="16" t="s">
        <v>1737</v>
      </c>
    </row>
    <row r="17" spans="1:13" ht="45.75" hidden="1" customHeight="1" x14ac:dyDescent="0.25">
      <c r="A17" s="16">
        <v>15</v>
      </c>
      <c r="B17" s="16" t="s">
        <v>152</v>
      </c>
      <c r="C17" s="16" t="s">
        <v>153</v>
      </c>
      <c r="D17" s="16" t="s">
        <v>1663</v>
      </c>
      <c r="E17" s="16" t="s">
        <v>154</v>
      </c>
      <c r="F17" s="16" t="s">
        <v>552</v>
      </c>
      <c r="G17" s="16" t="s">
        <v>1738</v>
      </c>
      <c r="H17" s="16" t="s">
        <v>1739</v>
      </c>
      <c r="I17" s="16" t="s">
        <v>1740</v>
      </c>
      <c r="J17" s="16" t="s">
        <v>1741</v>
      </c>
      <c r="K17" s="16" t="s">
        <v>1742</v>
      </c>
      <c r="L17" s="16" t="s">
        <v>160</v>
      </c>
      <c r="M17" s="16" t="s">
        <v>1743</v>
      </c>
    </row>
    <row r="18" spans="1:13" ht="45.75" hidden="1" customHeight="1" x14ac:dyDescent="0.25">
      <c r="A18" s="5">
        <v>16</v>
      </c>
      <c r="B18" s="5" t="s">
        <v>163</v>
      </c>
      <c r="C18" s="5" t="s">
        <v>153</v>
      </c>
      <c r="D18" s="5" t="s">
        <v>1663</v>
      </c>
      <c r="E18" s="5" t="s">
        <v>164</v>
      </c>
      <c r="F18" s="5" t="s">
        <v>552</v>
      </c>
      <c r="G18" s="5" t="s">
        <v>1744</v>
      </c>
      <c r="H18" s="5" t="s">
        <v>1745</v>
      </c>
      <c r="I18" s="5" t="s">
        <v>1746</v>
      </c>
      <c r="J18" s="5" t="s">
        <v>1747</v>
      </c>
      <c r="K18" s="5" t="s">
        <v>1748</v>
      </c>
      <c r="L18" s="5"/>
      <c r="M18" s="5" t="s">
        <v>1749</v>
      </c>
    </row>
    <row r="19" spans="1:13" ht="45.75" hidden="1" customHeight="1" x14ac:dyDescent="0.25">
      <c r="A19" s="16">
        <v>17</v>
      </c>
      <c r="B19" s="16" t="s">
        <v>171</v>
      </c>
      <c r="C19" s="16" t="s">
        <v>153</v>
      </c>
      <c r="D19" s="16" t="s">
        <v>1663</v>
      </c>
      <c r="E19" s="16" t="s">
        <v>154</v>
      </c>
      <c r="F19" s="16" t="s">
        <v>86</v>
      </c>
      <c r="G19" s="16" t="s">
        <v>1750</v>
      </c>
      <c r="H19" s="16" t="s">
        <v>1751</v>
      </c>
      <c r="I19" s="16" t="s">
        <v>1752</v>
      </c>
      <c r="J19" s="16" t="s">
        <v>1753</v>
      </c>
      <c r="K19" s="16" t="s">
        <v>1754</v>
      </c>
      <c r="L19" s="16" t="s">
        <v>176</v>
      </c>
      <c r="M19" s="16" t="s">
        <v>93</v>
      </c>
    </row>
    <row r="20" spans="1:13" ht="45.75" hidden="1" customHeight="1" x14ac:dyDescent="0.25">
      <c r="A20" s="5">
        <v>18</v>
      </c>
      <c r="B20" s="5" t="s">
        <v>178</v>
      </c>
      <c r="C20" s="5" t="s">
        <v>179</v>
      </c>
      <c r="D20" s="5" t="s">
        <v>1755</v>
      </c>
      <c r="E20" s="5" t="s">
        <v>180</v>
      </c>
      <c r="F20" s="5" t="s">
        <v>552</v>
      </c>
      <c r="G20" s="5" t="s">
        <v>1756</v>
      </c>
      <c r="H20" s="5" t="s">
        <v>1757</v>
      </c>
      <c r="I20" s="5" t="s">
        <v>1758</v>
      </c>
      <c r="J20" s="5" t="s">
        <v>1759</v>
      </c>
      <c r="K20" s="5" t="s">
        <v>1760</v>
      </c>
      <c r="L20" s="5"/>
      <c r="M20" s="5"/>
    </row>
    <row r="21" spans="1:13" ht="45.75" hidden="1" customHeight="1" x14ac:dyDescent="0.25">
      <c r="A21" s="5">
        <v>19</v>
      </c>
      <c r="B21" s="5" t="s">
        <v>187</v>
      </c>
      <c r="C21" s="5" t="s">
        <v>179</v>
      </c>
      <c r="D21" s="5" t="s">
        <v>1755</v>
      </c>
      <c r="E21" s="5" t="s">
        <v>180</v>
      </c>
      <c r="F21" s="5" t="s">
        <v>552</v>
      </c>
      <c r="G21" s="5" t="s">
        <v>1761</v>
      </c>
      <c r="H21" s="5" t="s">
        <v>1762</v>
      </c>
      <c r="I21" s="5" t="s">
        <v>1763</v>
      </c>
      <c r="J21" s="5" t="s">
        <v>1764</v>
      </c>
      <c r="K21" s="5" t="s">
        <v>1765</v>
      </c>
      <c r="L21" s="5"/>
      <c r="M21" s="5"/>
    </row>
    <row r="22" spans="1:13" ht="45.75" hidden="1" customHeight="1" x14ac:dyDescent="0.25">
      <c r="A22" s="5">
        <v>20</v>
      </c>
      <c r="B22" s="5" t="s">
        <v>194</v>
      </c>
      <c r="C22" s="5" t="s">
        <v>179</v>
      </c>
      <c r="D22" s="5" t="s">
        <v>1755</v>
      </c>
      <c r="E22" s="5" t="s">
        <v>195</v>
      </c>
      <c r="F22" s="5" t="s">
        <v>23</v>
      </c>
      <c r="G22" s="5" t="s">
        <v>1766</v>
      </c>
      <c r="H22" s="5" t="s">
        <v>1767</v>
      </c>
      <c r="I22" s="5" t="s">
        <v>1768</v>
      </c>
      <c r="J22" s="5" t="s">
        <v>1769</v>
      </c>
      <c r="K22" s="5" t="s">
        <v>1770</v>
      </c>
      <c r="L22" s="5"/>
      <c r="M22" s="5"/>
    </row>
    <row r="23" spans="1:13" ht="45.75" hidden="1" customHeight="1" x14ac:dyDescent="0.25">
      <c r="A23" s="5">
        <v>21</v>
      </c>
      <c r="B23" s="5" t="s">
        <v>233</v>
      </c>
      <c r="C23" s="5" t="s">
        <v>234</v>
      </c>
      <c r="D23" s="5" t="s">
        <v>1755</v>
      </c>
      <c r="E23" s="5" t="s">
        <v>235</v>
      </c>
      <c r="F23" s="5" t="s">
        <v>552</v>
      </c>
      <c r="G23" s="5" t="s">
        <v>1771</v>
      </c>
      <c r="H23" s="5" t="s">
        <v>1772</v>
      </c>
      <c r="I23" s="5" t="s">
        <v>1773</v>
      </c>
      <c r="J23" s="5" t="s">
        <v>1774</v>
      </c>
      <c r="K23" s="5" t="s">
        <v>1775</v>
      </c>
      <c r="L23" s="5"/>
      <c r="M23" s="5"/>
    </row>
    <row r="24" spans="1:13" ht="45.75" hidden="1" customHeight="1" x14ac:dyDescent="0.25">
      <c r="A24" s="5">
        <v>22</v>
      </c>
      <c r="B24" s="5" t="s">
        <v>243</v>
      </c>
      <c r="C24" s="5" t="s">
        <v>234</v>
      </c>
      <c r="D24" s="5" t="s">
        <v>1755</v>
      </c>
      <c r="E24" s="5" t="s">
        <v>244</v>
      </c>
      <c r="F24" s="5" t="s">
        <v>245</v>
      </c>
      <c r="G24" s="5" t="s">
        <v>1776</v>
      </c>
      <c r="H24" s="5" t="s">
        <v>1777</v>
      </c>
      <c r="I24" s="5" t="s">
        <v>1778</v>
      </c>
      <c r="J24" s="5" t="s">
        <v>1779</v>
      </c>
      <c r="K24" s="5" t="s">
        <v>1780</v>
      </c>
      <c r="L24" s="5"/>
      <c r="M24" s="5"/>
    </row>
    <row r="25" spans="1:13" ht="45.75" hidden="1" customHeight="1" x14ac:dyDescent="0.25">
      <c r="A25" s="5">
        <v>23</v>
      </c>
      <c r="B25" s="5" t="s">
        <v>258</v>
      </c>
      <c r="C25" s="5" t="s">
        <v>234</v>
      </c>
      <c r="D25" s="5" t="s">
        <v>1755</v>
      </c>
      <c r="E25" s="5" t="s">
        <v>259</v>
      </c>
      <c r="F25" s="5" t="s">
        <v>23</v>
      </c>
      <c r="G25" s="5" t="s">
        <v>1781</v>
      </c>
      <c r="H25" s="5" t="s">
        <v>1782</v>
      </c>
      <c r="I25" s="5" t="s">
        <v>1783</v>
      </c>
      <c r="J25" s="5" t="s">
        <v>1784</v>
      </c>
      <c r="K25" s="5" t="s">
        <v>1785</v>
      </c>
      <c r="L25" s="5"/>
      <c r="M25" s="5"/>
    </row>
    <row r="26" spans="1:13" ht="45.75" hidden="1" customHeight="1" x14ac:dyDescent="0.25">
      <c r="A26" s="5">
        <v>24</v>
      </c>
      <c r="B26" s="5" t="s">
        <v>327</v>
      </c>
      <c r="C26" s="5" t="s">
        <v>328</v>
      </c>
      <c r="D26" s="5" t="s">
        <v>1755</v>
      </c>
      <c r="E26" s="5" t="s">
        <v>329</v>
      </c>
      <c r="F26" s="5" t="s">
        <v>552</v>
      </c>
      <c r="G26" s="5" t="s">
        <v>1786</v>
      </c>
      <c r="H26" s="5" t="s">
        <v>1787</v>
      </c>
      <c r="I26" s="5" t="s">
        <v>1788</v>
      </c>
      <c r="J26" s="5" t="s">
        <v>1789</v>
      </c>
      <c r="K26" s="5" t="s">
        <v>1790</v>
      </c>
      <c r="L26" s="5"/>
      <c r="M26" s="5"/>
    </row>
    <row r="27" spans="1:13" ht="45.75" hidden="1" customHeight="1" x14ac:dyDescent="0.25">
      <c r="A27" s="16">
        <v>25</v>
      </c>
      <c r="B27" s="16" t="s">
        <v>336</v>
      </c>
      <c r="C27" s="16" t="s">
        <v>328</v>
      </c>
      <c r="D27" s="16" t="s">
        <v>1755</v>
      </c>
      <c r="E27" s="16" t="s">
        <v>329</v>
      </c>
      <c r="F27" s="16" t="s">
        <v>86</v>
      </c>
      <c r="G27" s="16" t="s">
        <v>1791</v>
      </c>
      <c r="H27" s="16" t="s">
        <v>1792</v>
      </c>
      <c r="I27" s="16" t="s">
        <v>1793</v>
      </c>
      <c r="J27" s="16" t="s">
        <v>1794</v>
      </c>
      <c r="K27" s="16" t="s">
        <v>1795</v>
      </c>
      <c r="L27" s="16" t="s">
        <v>342</v>
      </c>
      <c r="M27" s="16" t="s">
        <v>1796</v>
      </c>
    </row>
    <row r="28" spans="1:13" ht="45.75" hidden="1" customHeight="1" x14ac:dyDescent="0.25">
      <c r="A28" s="5">
        <v>26</v>
      </c>
      <c r="B28" s="5" t="s">
        <v>391</v>
      </c>
      <c r="C28" s="5" t="s">
        <v>392</v>
      </c>
      <c r="D28" s="5" t="s">
        <v>1755</v>
      </c>
      <c r="E28" s="5" t="s">
        <v>393</v>
      </c>
      <c r="F28" s="5" t="s">
        <v>552</v>
      </c>
      <c r="G28" s="5" t="s">
        <v>1797</v>
      </c>
      <c r="H28" s="5" t="s">
        <v>1798</v>
      </c>
      <c r="I28" s="5" t="s">
        <v>1799</v>
      </c>
      <c r="J28" s="5" t="s">
        <v>1800</v>
      </c>
      <c r="K28" s="5" t="s">
        <v>1801</v>
      </c>
      <c r="L28" s="5"/>
      <c r="M28" s="5"/>
    </row>
    <row r="29" spans="1:13" ht="45.75" hidden="1" customHeight="1" x14ac:dyDescent="0.25">
      <c r="A29" s="16">
        <v>27</v>
      </c>
      <c r="B29" s="16" t="s">
        <v>400</v>
      </c>
      <c r="C29" s="16" t="s">
        <v>392</v>
      </c>
      <c r="D29" s="16" t="s">
        <v>1755</v>
      </c>
      <c r="E29" s="16" t="s">
        <v>393</v>
      </c>
      <c r="F29" s="16" t="s">
        <v>86</v>
      </c>
      <c r="G29" s="16" t="s">
        <v>1802</v>
      </c>
      <c r="H29" s="16" t="s">
        <v>1803</v>
      </c>
      <c r="I29" s="16" t="s">
        <v>1804</v>
      </c>
      <c r="J29" s="16" t="s">
        <v>1805</v>
      </c>
      <c r="K29" s="16" t="s">
        <v>1806</v>
      </c>
      <c r="L29" s="16" t="s">
        <v>342</v>
      </c>
      <c r="M29" s="16"/>
    </row>
    <row r="30" spans="1:13" ht="45.75" hidden="1" customHeight="1" x14ac:dyDescent="0.25">
      <c r="A30" s="5">
        <v>28</v>
      </c>
      <c r="B30" s="5" t="s">
        <v>407</v>
      </c>
      <c r="C30" s="5" t="s">
        <v>392</v>
      </c>
      <c r="D30" s="5" t="s">
        <v>1755</v>
      </c>
      <c r="E30" s="5" t="s">
        <v>393</v>
      </c>
      <c r="F30" s="5" t="s">
        <v>86</v>
      </c>
      <c r="G30" s="5" t="s">
        <v>1807</v>
      </c>
      <c r="H30" s="5" t="s">
        <v>1808</v>
      </c>
      <c r="I30" s="5" t="s">
        <v>1809</v>
      </c>
      <c r="J30" s="5" t="s">
        <v>1810</v>
      </c>
      <c r="K30" s="5" t="s">
        <v>1811</v>
      </c>
      <c r="L30" s="5"/>
      <c r="M30" s="5"/>
    </row>
    <row r="31" spans="1:13" ht="45.75" hidden="1" customHeight="1" x14ac:dyDescent="0.25">
      <c r="A31" s="5">
        <v>29</v>
      </c>
      <c r="B31" s="5" t="s">
        <v>459</v>
      </c>
      <c r="C31" s="5" t="s">
        <v>460</v>
      </c>
      <c r="D31" s="5" t="s">
        <v>1755</v>
      </c>
      <c r="E31" s="5" t="s">
        <v>461</v>
      </c>
      <c r="F31" s="5" t="s">
        <v>32</v>
      </c>
      <c r="G31" s="5" t="s">
        <v>1812</v>
      </c>
      <c r="H31" s="5" t="s">
        <v>1813</v>
      </c>
      <c r="I31" s="5" t="s">
        <v>1814</v>
      </c>
      <c r="J31" s="5" t="s">
        <v>1815</v>
      </c>
      <c r="K31" s="5" t="s">
        <v>1816</v>
      </c>
      <c r="L31" s="5"/>
      <c r="M31" s="5"/>
    </row>
    <row r="32" spans="1:13" ht="45.75" hidden="1" customHeight="1" x14ac:dyDescent="0.25">
      <c r="A32" s="5">
        <v>30</v>
      </c>
      <c r="B32" s="5" t="s">
        <v>479</v>
      </c>
      <c r="C32" s="5" t="s">
        <v>480</v>
      </c>
      <c r="D32" s="5" t="s">
        <v>1755</v>
      </c>
      <c r="E32" s="5" t="s">
        <v>195</v>
      </c>
      <c r="F32" s="5" t="s">
        <v>552</v>
      </c>
      <c r="G32" s="5" t="s">
        <v>1817</v>
      </c>
      <c r="H32" s="5" t="s">
        <v>1818</v>
      </c>
      <c r="I32" s="5" t="s">
        <v>1819</v>
      </c>
      <c r="J32" s="5" t="s">
        <v>1820</v>
      </c>
      <c r="K32" s="5" t="s">
        <v>1821</v>
      </c>
      <c r="L32" s="5"/>
      <c r="M32" s="5"/>
    </row>
    <row r="33" spans="1:13" ht="45.75" hidden="1" customHeight="1" x14ac:dyDescent="0.25">
      <c r="A33" s="16">
        <v>31</v>
      </c>
      <c r="B33" s="16" t="s">
        <v>493</v>
      </c>
      <c r="C33" s="16" t="s">
        <v>480</v>
      </c>
      <c r="D33" s="16" t="s">
        <v>1755</v>
      </c>
      <c r="E33" s="16" t="s">
        <v>309</v>
      </c>
      <c r="F33" s="16" t="s">
        <v>552</v>
      </c>
      <c r="G33" s="16" t="s">
        <v>1822</v>
      </c>
      <c r="H33" s="16" t="s">
        <v>1823</v>
      </c>
      <c r="I33" s="16" t="s">
        <v>1824</v>
      </c>
      <c r="J33" s="16" t="s">
        <v>1825</v>
      </c>
      <c r="K33" s="16" t="s">
        <v>1826</v>
      </c>
      <c r="L33" s="16" t="s">
        <v>499</v>
      </c>
      <c r="M33" s="16" t="s">
        <v>1827</v>
      </c>
    </row>
    <row r="34" spans="1:13" ht="45.75" hidden="1" customHeight="1" x14ac:dyDescent="0.25">
      <c r="A34" s="5">
        <v>32</v>
      </c>
      <c r="B34" s="5" t="s">
        <v>526</v>
      </c>
      <c r="C34" s="5" t="s">
        <v>527</v>
      </c>
      <c r="D34" s="5" t="s">
        <v>1755</v>
      </c>
      <c r="E34" s="5" t="s">
        <v>528</v>
      </c>
      <c r="F34" s="5" t="s">
        <v>552</v>
      </c>
      <c r="G34" s="5" t="s">
        <v>1828</v>
      </c>
      <c r="H34" s="5" t="s">
        <v>1829</v>
      </c>
      <c r="I34" s="5" t="s">
        <v>1830</v>
      </c>
      <c r="J34" s="5" t="s">
        <v>1831</v>
      </c>
      <c r="K34" s="5" t="s">
        <v>1832</v>
      </c>
      <c r="L34" s="5"/>
      <c r="M34" s="5"/>
    </row>
    <row r="35" spans="1:13" ht="45.75" hidden="1" customHeight="1" x14ac:dyDescent="0.25">
      <c r="A35" s="5">
        <v>33</v>
      </c>
      <c r="B35" s="5" t="s">
        <v>535</v>
      </c>
      <c r="C35" s="5" t="s">
        <v>527</v>
      </c>
      <c r="D35" s="5" t="s">
        <v>1755</v>
      </c>
      <c r="E35" s="5" t="s">
        <v>536</v>
      </c>
      <c r="F35" s="5" t="s">
        <v>552</v>
      </c>
      <c r="G35" s="5" t="s">
        <v>1833</v>
      </c>
      <c r="H35" s="5" t="s">
        <v>1834</v>
      </c>
      <c r="I35" s="5" t="s">
        <v>1835</v>
      </c>
      <c r="J35" s="5" t="s">
        <v>1836</v>
      </c>
      <c r="K35" s="5" t="s">
        <v>1837</v>
      </c>
      <c r="L35" s="5"/>
      <c r="M35" s="5"/>
    </row>
    <row r="36" spans="1:13" ht="45.75" hidden="1" customHeight="1" x14ac:dyDescent="0.25">
      <c r="A36" s="5">
        <v>34</v>
      </c>
      <c r="B36" s="5" t="s">
        <v>543</v>
      </c>
      <c r="C36" s="5" t="s">
        <v>527</v>
      </c>
      <c r="D36" s="5" t="s">
        <v>1755</v>
      </c>
      <c r="E36" s="5" t="s">
        <v>544</v>
      </c>
      <c r="F36" s="5" t="s">
        <v>59</v>
      </c>
      <c r="G36" s="5" t="s">
        <v>1838</v>
      </c>
      <c r="H36" s="5" t="s">
        <v>1839</v>
      </c>
      <c r="I36" s="5" t="s">
        <v>1840</v>
      </c>
      <c r="J36" s="5" t="s">
        <v>1841</v>
      </c>
      <c r="K36" s="5" t="s">
        <v>1842</v>
      </c>
      <c r="L36" s="5"/>
      <c r="M36" s="5"/>
    </row>
    <row r="37" spans="1:13" ht="45.75" hidden="1" customHeight="1" x14ac:dyDescent="0.25">
      <c r="A37" s="5">
        <v>35</v>
      </c>
      <c r="B37" s="5" t="s">
        <v>560</v>
      </c>
      <c r="C37" s="5" t="s">
        <v>561</v>
      </c>
      <c r="D37" s="5" t="s">
        <v>1843</v>
      </c>
      <c r="E37" s="5" t="s">
        <v>562</v>
      </c>
      <c r="F37" s="5" t="s">
        <v>552</v>
      </c>
      <c r="G37" s="5" t="s">
        <v>1844</v>
      </c>
      <c r="H37" s="5" t="s">
        <v>1845</v>
      </c>
      <c r="I37" s="5" t="s">
        <v>1846</v>
      </c>
      <c r="J37" s="5" t="s">
        <v>1847</v>
      </c>
      <c r="K37" s="5" t="s">
        <v>1848</v>
      </c>
      <c r="L37" s="5"/>
      <c r="M37" s="5"/>
    </row>
    <row r="38" spans="1:13" ht="45.75" hidden="1" customHeight="1" x14ac:dyDescent="0.25">
      <c r="A38" s="16">
        <v>36</v>
      </c>
      <c r="B38" s="16" t="s">
        <v>610</v>
      </c>
      <c r="C38" s="16" t="s">
        <v>561</v>
      </c>
      <c r="D38" s="16" t="s">
        <v>1843</v>
      </c>
      <c r="E38" s="16" t="s">
        <v>570</v>
      </c>
      <c r="F38" s="16" t="s">
        <v>32</v>
      </c>
      <c r="G38" s="16" t="s">
        <v>1849</v>
      </c>
      <c r="H38" s="16" t="s">
        <v>1850</v>
      </c>
      <c r="I38" s="16" t="s">
        <v>1851</v>
      </c>
      <c r="J38" s="16" t="s">
        <v>1852</v>
      </c>
      <c r="K38" s="16" t="s">
        <v>1853</v>
      </c>
      <c r="L38" s="16" t="s">
        <v>616</v>
      </c>
      <c r="M38" s="16" t="s">
        <v>1854</v>
      </c>
    </row>
    <row r="39" spans="1:13" ht="45.75" hidden="1" customHeight="1" x14ac:dyDescent="0.25">
      <c r="A39" s="5">
        <v>37</v>
      </c>
      <c r="B39" s="5" t="s">
        <v>633</v>
      </c>
      <c r="C39" s="5" t="s">
        <v>561</v>
      </c>
      <c r="D39" s="5" t="s">
        <v>1843</v>
      </c>
      <c r="E39" s="5" t="s">
        <v>634</v>
      </c>
      <c r="F39" s="5" t="s">
        <v>59</v>
      </c>
      <c r="G39" s="5" t="s">
        <v>1855</v>
      </c>
      <c r="H39" s="5" t="s">
        <v>1856</v>
      </c>
      <c r="I39" s="5" t="s">
        <v>1857</v>
      </c>
      <c r="J39" s="5" t="s">
        <v>1858</v>
      </c>
      <c r="K39" s="5" t="s">
        <v>1859</v>
      </c>
      <c r="L39" s="5"/>
      <c r="M39" s="5"/>
    </row>
    <row r="40" spans="1:13" ht="45.75" hidden="1" customHeight="1" x14ac:dyDescent="0.25">
      <c r="A40" s="5">
        <v>38</v>
      </c>
      <c r="B40" s="5" t="s">
        <v>680</v>
      </c>
      <c r="C40" s="5" t="s">
        <v>681</v>
      </c>
      <c r="D40" s="5" t="s">
        <v>1843</v>
      </c>
      <c r="E40" s="5" t="s">
        <v>682</v>
      </c>
      <c r="F40" s="5" t="s">
        <v>552</v>
      </c>
      <c r="G40" s="5" t="s">
        <v>1860</v>
      </c>
      <c r="H40" s="5" t="s">
        <v>1861</v>
      </c>
      <c r="I40" s="5" t="s">
        <v>1862</v>
      </c>
      <c r="J40" s="5" t="s">
        <v>1863</v>
      </c>
      <c r="K40" s="5" t="s">
        <v>1864</v>
      </c>
      <c r="L40" s="5"/>
      <c r="M40" s="5"/>
    </row>
    <row r="41" spans="1:13" ht="45.75" hidden="1" customHeight="1" x14ac:dyDescent="0.25">
      <c r="A41" s="5">
        <v>39</v>
      </c>
      <c r="B41" s="5" t="s">
        <v>689</v>
      </c>
      <c r="C41" s="5" t="s">
        <v>681</v>
      </c>
      <c r="D41" s="5" t="s">
        <v>1843</v>
      </c>
      <c r="E41" s="5" t="s">
        <v>682</v>
      </c>
      <c r="F41" s="5" t="s">
        <v>59</v>
      </c>
      <c r="G41" s="5" t="s">
        <v>1865</v>
      </c>
      <c r="H41" s="5" t="s">
        <v>1866</v>
      </c>
      <c r="I41" s="5" t="s">
        <v>1867</v>
      </c>
      <c r="J41" s="5" t="s">
        <v>1868</v>
      </c>
      <c r="K41" s="5" t="s">
        <v>1869</v>
      </c>
      <c r="L41" s="5"/>
      <c r="M41" s="5" t="s">
        <v>1870</v>
      </c>
    </row>
    <row r="42" spans="1:13" ht="45.75" hidden="1" customHeight="1" x14ac:dyDescent="0.25">
      <c r="A42" s="5">
        <v>40</v>
      </c>
      <c r="B42" s="5" t="s">
        <v>734</v>
      </c>
      <c r="C42" s="5" t="s">
        <v>735</v>
      </c>
      <c r="D42" s="5" t="s">
        <v>1843</v>
      </c>
      <c r="E42" s="5" t="s">
        <v>736</v>
      </c>
      <c r="F42" s="5" t="s">
        <v>245</v>
      </c>
      <c r="G42" s="5" t="s">
        <v>1871</v>
      </c>
      <c r="H42" s="5" t="s">
        <v>1872</v>
      </c>
      <c r="I42" s="5" t="s">
        <v>1873</v>
      </c>
      <c r="J42" s="5" t="s">
        <v>1874</v>
      </c>
      <c r="K42" s="5" t="s">
        <v>1875</v>
      </c>
      <c r="L42" s="5"/>
      <c r="M42" s="5"/>
    </row>
    <row r="43" spans="1:13" ht="45.75" hidden="1" customHeight="1" x14ac:dyDescent="0.25">
      <c r="A43" s="16">
        <v>41</v>
      </c>
      <c r="B43" s="16" t="s">
        <v>743</v>
      </c>
      <c r="C43" s="16" t="s">
        <v>735</v>
      </c>
      <c r="D43" s="16" t="s">
        <v>1843</v>
      </c>
      <c r="E43" s="16" t="s">
        <v>736</v>
      </c>
      <c r="F43" s="16" t="s">
        <v>23</v>
      </c>
      <c r="G43" s="16" t="s">
        <v>1876</v>
      </c>
      <c r="H43" s="16" t="s">
        <v>1877</v>
      </c>
      <c r="I43" s="16" t="s">
        <v>1878</v>
      </c>
      <c r="J43" s="16" t="s">
        <v>1879</v>
      </c>
      <c r="K43" s="16" t="s">
        <v>1880</v>
      </c>
      <c r="L43" s="16" t="s">
        <v>748</v>
      </c>
      <c r="M43" s="16"/>
    </row>
    <row r="44" spans="1:13" ht="45.75" hidden="1" customHeight="1" x14ac:dyDescent="0.25">
      <c r="A44" s="5">
        <v>42</v>
      </c>
      <c r="B44" s="5" t="s">
        <v>750</v>
      </c>
      <c r="C44" s="5" t="s">
        <v>735</v>
      </c>
      <c r="D44" s="5" t="s">
        <v>1843</v>
      </c>
      <c r="E44" s="5" t="s">
        <v>751</v>
      </c>
      <c r="F44" s="5" t="s">
        <v>552</v>
      </c>
      <c r="G44" s="5" t="s">
        <v>1881</v>
      </c>
      <c r="H44" s="5" t="s">
        <v>1882</v>
      </c>
      <c r="I44" s="5" t="s">
        <v>1883</v>
      </c>
      <c r="J44" s="5" t="s">
        <v>1884</v>
      </c>
      <c r="K44" s="5" t="s">
        <v>1885</v>
      </c>
      <c r="L44" s="5"/>
      <c r="M44" s="5"/>
    </row>
    <row r="45" spans="1:13" ht="45.75" hidden="1" customHeight="1" x14ac:dyDescent="0.25">
      <c r="A45" s="5">
        <v>43</v>
      </c>
      <c r="B45" s="5" t="s">
        <v>758</v>
      </c>
      <c r="C45" s="5" t="s">
        <v>735</v>
      </c>
      <c r="D45" s="5" t="s">
        <v>1843</v>
      </c>
      <c r="E45" s="5" t="s">
        <v>759</v>
      </c>
      <c r="F45" s="5" t="s">
        <v>23</v>
      </c>
      <c r="G45" s="5" t="s">
        <v>1886</v>
      </c>
      <c r="H45" s="5" t="s">
        <v>1887</v>
      </c>
      <c r="I45" s="5" t="s">
        <v>1888</v>
      </c>
      <c r="J45" s="5" t="s">
        <v>1889</v>
      </c>
      <c r="K45" s="5" t="s">
        <v>1890</v>
      </c>
      <c r="L45" s="5"/>
      <c r="M45" s="5"/>
    </row>
    <row r="46" spans="1:13" ht="45.75" hidden="1" customHeight="1" x14ac:dyDescent="0.25">
      <c r="A46" s="5">
        <v>44</v>
      </c>
      <c r="B46" s="5" t="s">
        <v>814</v>
      </c>
      <c r="C46" s="5" t="s">
        <v>815</v>
      </c>
      <c r="D46" s="5" t="s">
        <v>1891</v>
      </c>
      <c r="E46" s="5" t="s">
        <v>816</v>
      </c>
      <c r="F46" s="5" t="s">
        <v>552</v>
      </c>
      <c r="G46" s="5" t="s">
        <v>1892</v>
      </c>
      <c r="H46" s="5" t="s">
        <v>1893</v>
      </c>
      <c r="I46" s="5" t="s">
        <v>1894</v>
      </c>
      <c r="J46" s="5" t="s">
        <v>1895</v>
      </c>
      <c r="K46" s="5" t="s">
        <v>1896</v>
      </c>
      <c r="L46" s="5"/>
      <c r="M46" s="5"/>
    </row>
    <row r="47" spans="1:13" ht="45.75" hidden="1" customHeight="1" x14ac:dyDescent="0.25">
      <c r="A47" s="5">
        <v>45</v>
      </c>
      <c r="B47" s="5" t="s">
        <v>838</v>
      </c>
      <c r="C47" s="5" t="s">
        <v>815</v>
      </c>
      <c r="D47" s="5" t="s">
        <v>1891</v>
      </c>
      <c r="E47" s="5" t="s">
        <v>839</v>
      </c>
      <c r="F47" s="5" t="s">
        <v>552</v>
      </c>
      <c r="G47" s="5" t="s">
        <v>1897</v>
      </c>
      <c r="H47" s="5" t="s">
        <v>1898</v>
      </c>
      <c r="I47" s="5" t="s">
        <v>1899</v>
      </c>
      <c r="J47" s="5" t="s">
        <v>1900</v>
      </c>
      <c r="K47" s="5" t="s">
        <v>1901</v>
      </c>
      <c r="L47" s="5"/>
      <c r="M47" s="5"/>
    </row>
    <row r="48" spans="1:13" ht="45.75" hidden="1" customHeight="1" x14ac:dyDescent="0.25">
      <c r="A48" s="5">
        <v>46</v>
      </c>
      <c r="B48" s="5" t="s">
        <v>860</v>
      </c>
      <c r="C48" s="5" t="s">
        <v>815</v>
      </c>
      <c r="D48" s="5" t="s">
        <v>1891</v>
      </c>
      <c r="E48" s="5" t="s">
        <v>861</v>
      </c>
      <c r="F48" s="5" t="s">
        <v>59</v>
      </c>
      <c r="G48" s="5" t="s">
        <v>1902</v>
      </c>
      <c r="H48" s="5" t="s">
        <v>1903</v>
      </c>
      <c r="I48" s="5" t="s">
        <v>1904</v>
      </c>
      <c r="J48" s="5" t="s">
        <v>1905</v>
      </c>
      <c r="K48" s="5" t="s">
        <v>1906</v>
      </c>
      <c r="L48" s="5"/>
      <c r="M48" s="5"/>
    </row>
    <row r="49" spans="1:13" ht="45.75" hidden="1" customHeight="1" x14ac:dyDescent="0.25">
      <c r="A49" s="16">
        <v>47</v>
      </c>
      <c r="B49" s="16" t="s">
        <v>869</v>
      </c>
      <c r="C49" s="16" t="s">
        <v>815</v>
      </c>
      <c r="D49" s="16" t="s">
        <v>1891</v>
      </c>
      <c r="E49" s="16" t="s">
        <v>870</v>
      </c>
      <c r="F49" s="16" t="s">
        <v>32</v>
      </c>
      <c r="G49" s="16" t="s">
        <v>1907</v>
      </c>
      <c r="H49" s="16" t="s">
        <v>1908</v>
      </c>
      <c r="I49" s="16" t="s">
        <v>1909</v>
      </c>
      <c r="J49" s="16" t="s">
        <v>1910</v>
      </c>
      <c r="K49" s="16" t="s">
        <v>1911</v>
      </c>
      <c r="L49" s="16" t="s">
        <v>591</v>
      </c>
      <c r="M49" s="16" t="s">
        <v>1912</v>
      </c>
    </row>
    <row r="50" spans="1:13" ht="45.75" hidden="1" customHeight="1" x14ac:dyDescent="0.25">
      <c r="A50" s="5">
        <v>48</v>
      </c>
      <c r="B50" s="5" t="s">
        <v>901</v>
      </c>
      <c r="C50" s="5" t="s">
        <v>902</v>
      </c>
      <c r="D50" s="5" t="s">
        <v>1891</v>
      </c>
      <c r="E50" s="5" t="s">
        <v>853</v>
      </c>
      <c r="F50" s="5" t="s">
        <v>552</v>
      </c>
      <c r="G50" s="5" t="s">
        <v>1913</v>
      </c>
      <c r="H50" s="5" t="s">
        <v>1914</v>
      </c>
      <c r="I50" s="5" t="s">
        <v>1915</v>
      </c>
      <c r="J50" s="5" t="s">
        <v>1916</v>
      </c>
      <c r="K50" s="5" t="s">
        <v>1917</v>
      </c>
      <c r="L50" s="5"/>
      <c r="M50" s="5"/>
    </row>
    <row r="51" spans="1:13" ht="45.75" hidden="1" customHeight="1" x14ac:dyDescent="0.25">
      <c r="A51" s="5">
        <v>49</v>
      </c>
      <c r="B51" s="5" t="s">
        <v>942</v>
      </c>
      <c r="C51" s="5" t="s">
        <v>902</v>
      </c>
      <c r="D51" s="5" t="s">
        <v>1891</v>
      </c>
      <c r="E51" s="5" t="s">
        <v>943</v>
      </c>
      <c r="F51" s="5" t="s">
        <v>23</v>
      </c>
      <c r="G51" s="5" t="s">
        <v>1918</v>
      </c>
      <c r="H51" s="5" t="s">
        <v>1919</v>
      </c>
      <c r="I51" s="5" t="s">
        <v>1920</v>
      </c>
      <c r="J51" s="5" t="s">
        <v>1921</v>
      </c>
      <c r="K51" s="5" t="s">
        <v>1922</v>
      </c>
      <c r="L51" s="5"/>
      <c r="M51" s="5"/>
    </row>
    <row r="52" spans="1:13" ht="45.75" hidden="1" customHeight="1" x14ac:dyDescent="0.25">
      <c r="A52" s="16">
        <v>50</v>
      </c>
      <c r="B52" s="16" t="s">
        <v>959</v>
      </c>
      <c r="C52" s="16" t="s">
        <v>960</v>
      </c>
      <c r="D52" s="16" t="s">
        <v>1923</v>
      </c>
      <c r="E52" s="16" t="s">
        <v>961</v>
      </c>
      <c r="F52" s="16" t="s">
        <v>23</v>
      </c>
      <c r="G52" s="16" t="s">
        <v>1924</v>
      </c>
      <c r="H52" s="16" t="s">
        <v>1925</v>
      </c>
      <c r="I52" s="16" t="s">
        <v>1926</v>
      </c>
      <c r="J52" s="16" t="s">
        <v>1927</v>
      </c>
      <c r="K52" s="16" t="s">
        <v>1928</v>
      </c>
      <c r="L52" s="16" t="s">
        <v>967</v>
      </c>
      <c r="M52" s="16" t="s">
        <v>1929</v>
      </c>
    </row>
    <row r="53" spans="1:13" ht="45.75" hidden="1" customHeight="1" x14ac:dyDescent="0.25">
      <c r="A53" s="5">
        <v>51</v>
      </c>
      <c r="B53" s="5" t="s">
        <v>970</v>
      </c>
      <c r="C53" s="5" t="s">
        <v>960</v>
      </c>
      <c r="D53" s="5" t="s">
        <v>1923</v>
      </c>
      <c r="E53" s="5" t="s">
        <v>971</v>
      </c>
      <c r="F53" s="5" t="s">
        <v>23</v>
      </c>
      <c r="G53" s="5" t="s">
        <v>1930</v>
      </c>
      <c r="H53" s="5" t="s">
        <v>1931</v>
      </c>
      <c r="I53" s="5" t="s">
        <v>1932</v>
      </c>
      <c r="J53" s="5" t="s">
        <v>1933</v>
      </c>
      <c r="K53" s="5" t="s">
        <v>1934</v>
      </c>
      <c r="L53" s="5"/>
      <c r="M53" s="5"/>
    </row>
    <row r="54" spans="1:13" ht="45.75" hidden="1" customHeight="1" x14ac:dyDescent="0.25">
      <c r="A54" s="16">
        <v>52</v>
      </c>
      <c r="B54" s="16" t="s">
        <v>980</v>
      </c>
      <c r="C54" s="16" t="s">
        <v>960</v>
      </c>
      <c r="D54" s="16" t="s">
        <v>1923</v>
      </c>
      <c r="E54" s="16" t="s">
        <v>981</v>
      </c>
      <c r="F54" s="16" t="s">
        <v>86</v>
      </c>
      <c r="G54" s="16" t="s">
        <v>1935</v>
      </c>
      <c r="H54" s="16" t="s">
        <v>1936</v>
      </c>
      <c r="I54" s="16" t="s">
        <v>1937</v>
      </c>
      <c r="J54" s="16" t="s">
        <v>1938</v>
      </c>
      <c r="K54" s="16" t="s">
        <v>1939</v>
      </c>
      <c r="L54" s="16" t="s">
        <v>987</v>
      </c>
      <c r="M54" s="16" t="s">
        <v>1940</v>
      </c>
    </row>
    <row r="55" spans="1:13" ht="45.75" hidden="1" customHeight="1" x14ac:dyDescent="0.25">
      <c r="A55" s="16">
        <v>53</v>
      </c>
      <c r="B55" s="16" t="s">
        <v>989</v>
      </c>
      <c r="C55" s="16" t="s">
        <v>960</v>
      </c>
      <c r="D55" s="16" t="s">
        <v>1923</v>
      </c>
      <c r="E55" s="16" t="s">
        <v>981</v>
      </c>
      <c r="F55" s="16" t="s">
        <v>32</v>
      </c>
      <c r="G55" s="16" t="s">
        <v>1941</v>
      </c>
      <c r="H55" s="16" t="s">
        <v>1942</v>
      </c>
      <c r="I55" s="16" t="s">
        <v>1943</v>
      </c>
      <c r="J55" s="16" t="s">
        <v>1944</v>
      </c>
      <c r="K55" s="16" t="s">
        <v>1945</v>
      </c>
      <c r="L55" s="16" t="s">
        <v>995</v>
      </c>
      <c r="M55" s="16" t="s">
        <v>1946</v>
      </c>
    </row>
    <row r="56" spans="1:13" ht="45.75" hidden="1" customHeight="1" x14ac:dyDescent="0.25">
      <c r="A56" s="16">
        <v>54</v>
      </c>
      <c r="B56" s="16" t="s">
        <v>999</v>
      </c>
      <c r="C56" s="16" t="s">
        <v>960</v>
      </c>
      <c r="D56" s="16" t="s">
        <v>1923</v>
      </c>
      <c r="E56" s="16" t="s">
        <v>981</v>
      </c>
      <c r="F56" s="16" t="s">
        <v>32</v>
      </c>
      <c r="G56" s="16" t="s">
        <v>1947</v>
      </c>
      <c r="H56" s="16" t="s">
        <v>1948</v>
      </c>
      <c r="I56" s="16" t="s">
        <v>1949</v>
      </c>
      <c r="J56" s="16" t="s">
        <v>1950</v>
      </c>
      <c r="K56" s="16" t="s">
        <v>1951</v>
      </c>
      <c r="L56" s="16" t="s">
        <v>1005</v>
      </c>
      <c r="M56" s="16" t="s">
        <v>1952</v>
      </c>
    </row>
    <row r="57" spans="1:13" ht="45.75" hidden="1" customHeight="1" x14ac:dyDescent="0.25">
      <c r="A57" s="16">
        <v>55</v>
      </c>
      <c r="B57" s="16" t="s">
        <v>1008</v>
      </c>
      <c r="C57" s="16" t="s">
        <v>960</v>
      </c>
      <c r="D57" s="16" t="s">
        <v>1923</v>
      </c>
      <c r="E57" s="16" t="s">
        <v>1009</v>
      </c>
      <c r="F57" s="16" t="s">
        <v>86</v>
      </c>
      <c r="G57" s="16" t="s">
        <v>1953</v>
      </c>
      <c r="H57" s="16" t="s">
        <v>1954</v>
      </c>
      <c r="I57" s="16" t="s">
        <v>1955</v>
      </c>
      <c r="J57" s="16" t="s">
        <v>1956</v>
      </c>
      <c r="K57" s="16" t="s">
        <v>1957</v>
      </c>
      <c r="L57" s="16" t="s">
        <v>1015</v>
      </c>
      <c r="M57" s="16" t="s">
        <v>1958</v>
      </c>
    </row>
    <row r="58" spans="1:13" ht="45.75" hidden="1" customHeight="1" x14ac:dyDescent="0.25">
      <c r="A58" s="16">
        <v>56</v>
      </c>
      <c r="B58" s="16" t="s">
        <v>1116</v>
      </c>
      <c r="C58" s="16" t="s">
        <v>1117</v>
      </c>
      <c r="D58" s="16" t="s">
        <v>1923</v>
      </c>
      <c r="E58" s="16" t="s">
        <v>1118</v>
      </c>
      <c r="F58" s="16" t="s">
        <v>32</v>
      </c>
      <c r="G58" s="16" t="s">
        <v>1959</v>
      </c>
      <c r="H58" s="16" t="s">
        <v>1960</v>
      </c>
      <c r="I58" s="16" t="s">
        <v>1961</v>
      </c>
      <c r="J58" s="16" t="s">
        <v>1962</v>
      </c>
      <c r="K58" s="16" t="s">
        <v>1963</v>
      </c>
      <c r="L58" s="16" t="s">
        <v>1124</v>
      </c>
      <c r="M58" s="16" t="s">
        <v>1964</v>
      </c>
    </row>
    <row r="59" spans="1:13" ht="45.75" hidden="1" customHeight="1" x14ac:dyDescent="0.25">
      <c r="A59" s="5">
        <v>57</v>
      </c>
      <c r="B59" s="5" t="s">
        <v>1127</v>
      </c>
      <c r="C59" s="5" t="s">
        <v>1117</v>
      </c>
      <c r="D59" s="5" t="s">
        <v>1923</v>
      </c>
      <c r="E59" s="5" t="s">
        <v>1118</v>
      </c>
      <c r="F59" s="5" t="s">
        <v>32</v>
      </c>
      <c r="G59" s="5" t="s">
        <v>1965</v>
      </c>
      <c r="H59" s="5" t="s">
        <v>1966</v>
      </c>
      <c r="I59" s="5" t="s">
        <v>1967</v>
      </c>
      <c r="J59" s="5" t="s">
        <v>1968</v>
      </c>
      <c r="K59" s="5" t="s">
        <v>1969</v>
      </c>
      <c r="L59" s="5"/>
      <c r="M59" s="5"/>
    </row>
    <row r="60" spans="1:13" ht="45.75" hidden="1" customHeight="1" x14ac:dyDescent="0.25">
      <c r="A60" s="16">
        <v>58</v>
      </c>
      <c r="B60" s="16" t="s">
        <v>1195</v>
      </c>
      <c r="C60" s="16" t="s">
        <v>1196</v>
      </c>
      <c r="D60" s="16" t="s">
        <v>1923</v>
      </c>
      <c r="E60" s="16" t="s">
        <v>1118</v>
      </c>
      <c r="F60" s="16" t="s">
        <v>23</v>
      </c>
      <c r="G60" s="16" t="s">
        <v>1970</v>
      </c>
      <c r="H60" s="16" t="s">
        <v>1971</v>
      </c>
      <c r="I60" s="16" t="s">
        <v>1972</v>
      </c>
      <c r="J60" s="16" t="s">
        <v>1973</v>
      </c>
      <c r="K60" s="16" t="s">
        <v>1974</v>
      </c>
      <c r="L60" s="16" t="s">
        <v>1202</v>
      </c>
      <c r="M60" s="16" t="s">
        <v>1975</v>
      </c>
    </row>
    <row r="61" spans="1:13" ht="45.75" hidden="1" customHeight="1" x14ac:dyDescent="0.25">
      <c r="A61" s="5">
        <v>59</v>
      </c>
      <c r="B61" s="5" t="s">
        <v>1210</v>
      </c>
      <c r="C61" s="5" t="s">
        <v>1196</v>
      </c>
      <c r="D61" s="5" t="s">
        <v>1923</v>
      </c>
      <c r="E61" s="5" t="s">
        <v>1118</v>
      </c>
      <c r="F61" s="5" t="s">
        <v>32</v>
      </c>
      <c r="G61" s="5" t="s">
        <v>1976</v>
      </c>
      <c r="H61" s="5" t="s">
        <v>1977</v>
      </c>
      <c r="I61" s="5" t="s">
        <v>1978</v>
      </c>
      <c r="J61" s="5" t="s">
        <v>1979</v>
      </c>
      <c r="K61" s="5" t="s">
        <v>1980</v>
      </c>
      <c r="L61" s="5"/>
      <c r="M61" s="5"/>
    </row>
    <row r="62" spans="1:13" ht="45.75" hidden="1" customHeight="1" x14ac:dyDescent="0.25">
      <c r="A62" s="5">
        <v>60</v>
      </c>
      <c r="B62" s="5" t="s">
        <v>1230</v>
      </c>
      <c r="C62" s="5" t="s">
        <v>1196</v>
      </c>
      <c r="D62" s="5" t="s">
        <v>1923</v>
      </c>
      <c r="E62" s="5" t="s">
        <v>1118</v>
      </c>
      <c r="F62" s="5" t="s">
        <v>86</v>
      </c>
      <c r="G62" s="5" t="s">
        <v>1981</v>
      </c>
      <c r="H62" s="5" t="s">
        <v>1982</v>
      </c>
      <c r="I62" s="5" t="s">
        <v>1983</v>
      </c>
      <c r="J62" s="5" t="s">
        <v>1984</v>
      </c>
      <c r="K62" s="5" t="s">
        <v>1985</v>
      </c>
      <c r="L62" s="5"/>
      <c r="M62" s="5"/>
    </row>
    <row r="63" spans="1:13" ht="45.75" hidden="1" customHeight="1" x14ac:dyDescent="0.25">
      <c r="A63" s="5">
        <v>61</v>
      </c>
      <c r="B63" s="5" t="s">
        <v>1243</v>
      </c>
      <c r="C63" s="5" t="s">
        <v>1244</v>
      </c>
      <c r="D63" s="5" t="s">
        <v>1923</v>
      </c>
      <c r="E63" s="5" t="s">
        <v>1245</v>
      </c>
      <c r="F63" s="5" t="s">
        <v>23</v>
      </c>
      <c r="G63" s="5" t="s">
        <v>1986</v>
      </c>
      <c r="H63" s="5" t="s">
        <v>1987</v>
      </c>
      <c r="I63" s="5" t="s">
        <v>1988</v>
      </c>
      <c r="J63" s="5" t="s">
        <v>1989</v>
      </c>
      <c r="K63" s="5" t="s">
        <v>1990</v>
      </c>
      <c r="L63" s="5"/>
      <c r="M63" s="5"/>
    </row>
    <row r="64" spans="1:13" ht="45.75" hidden="1" customHeight="1" x14ac:dyDescent="0.25">
      <c r="A64" s="5">
        <v>62</v>
      </c>
      <c r="B64" s="5" t="s">
        <v>1266</v>
      </c>
      <c r="C64" s="5" t="s">
        <v>1244</v>
      </c>
      <c r="D64" s="5" t="s">
        <v>1923</v>
      </c>
      <c r="E64" s="5" t="s">
        <v>1267</v>
      </c>
      <c r="F64" s="5" t="s">
        <v>23</v>
      </c>
      <c r="G64" s="5" t="s">
        <v>1991</v>
      </c>
      <c r="H64" s="5" t="s">
        <v>1992</v>
      </c>
      <c r="I64" s="5" t="s">
        <v>1993</v>
      </c>
      <c r="J64" s="5" t="s">
        <v>1994</v>
      </c>
      <c r="K64" s="5" t="s">
        <v>1995</v>
      </c>
      <c r="L64" s="5"/>
      <c r="M64" s="5"/>
    </row>
    <row r="65" spans="1:13" ht="45.75" hidden="1" customHeight="1" x14ac:dyDescent="0.25">
      <c r="A65" s="16">
        <v>63</v>
      </c>
      <c r="B65" s="16" t="s">
        <v>1286</v>
      </c>
      <c r="C65" s="16" t="s">
        <v>1244</v>
      </c>
      <c r="D65" s="16" t="s">
        <v>1923</v>
      </c>
      <c r="E65" s="16" t="s">
        <v>1287</v>
      </c>
      <c r="F65" s="16" t="s">
        <v>86</v>
      </c>
      <c r="G65" s="16" t="s">
        <v>1996</v>
      </c>
      <c r="H65" s="16" t="s">
        <v>1997</v>
      </c>
      <c r="I65" s="16" t="s">
        <v>1998</v>
      </c>
      <c r="J65" s="16" t="s">
        <v>1999</v>
      </c>
      <c r="K65" s="16" t="s">
        <v>2000</v>
      </c>
      <c r="L65" s="16" t="s">
        <v>1293</v>
      </c>
      <c r="M65" s="16" t="s">
        <v>2001</v>
      </c>
    </row>
    <row r="66" spans="1:13" ht="45.75" hidden="1" customHeight="1" x14ac:dyDescent="0.25">
      <c r="A66" s="5">
        <v>64</v>
      </c>
      <c r="B66" s="5" t="s">
        <v>1296</v>
      </c>
      <c r="C66" s="5" t="s">
        <v>1244</v>
      </c>
      <c r="D66" s="5" t="s">
        <v>1923</v>
      </c>
      <c r="E66" s="5" t="s">
        <v>1267</v>
      </c>
      <c r="F66" s="5" t="s">
        <v>32</v>
      </c>
      <c r="G66" s="5" t="s">
        <v>2002</v>
      </c>
      <c r="H66" s="5" t="s">
        <v>2003</v>
      </c>
      <c r="I66" s="5" t="s">
        <v>2004</v>
      </c>
      <c r="J66" s="5" t="s">
        <v>2005</v>
      </c>
      <c r="K66" s="5" t="s">
        <v>2006</v>
      </c>
      <c r="L66" s="5"/>
      <c r="M66" s="5" t="s">
        <v>2007</v>
      </c>
    </row>
    <row r="67" spans="1:13" ht="45.75" hidden="1" customHeight="1" x14ac:dyDescent="0.25">
      <c r="A67" s="5">
        <v>65</v>
      </c>
      <c r="B67" s="5" t="s">
        <v>1304</v>
      </c>
      <c r="C67" s="5" t="s">
        <v>1305</v>
      </c>
      <c r="D67" s="5" t="s">
        <v>1923</v>
      </c>
      <c r="E67" s="5" t="s">
        <v>1306</v>
      </c>
      <c r="F67" s="5" t="s">
        <v>23</v>
      </c>
      <c r="G67" s="5" t="s">
        <v>2008</v>
      </c>
      <c r="H67" s="5" t="s">
        <v>2009</v>
      </c>
      <c r="I67" s="5" t="s">
        <v>2010</v>
      </c>
      <c r="J67" s="5" t="s">
        <v>2011</v>
      </c>
      <c r="K67" s="5" t="s">
        <v>2012</v>
      </c>
      <c r="L67" s="5"/>
      <c r="M67" s="5"/>
    </row>
    <row r="68" spans="1:13" ht="45.75" hidden="1" customHeight="1" x14ac:dyDescent="0.25">
      <c r="A68" s="5">
        <v>66</v>
      </c>
      <c r="B68" s="5" t="s">
        <v>1313</v>
      </c>
      <c r="C68" s="5" t="s">
        <v>1305</v>
      </c>
      <c r="D68" s="5" t="s">
        <v>1923</v>
      </c>
      <c r="E68" s="5" t="s">
        <v>1306</v>
      </c>
      <c r="F68" s="5" t="s">
        <v>23</v>
      </c>
      <c r="G68" s="5" t="s">
        <v>2013</v>
      </c>
      <c r="H68" s="5" t="s">
        <v>2014</v>
      </c>
      <c r="I68" s="5" t="s">
        <v>2015</v>
      </c>
      <c r="J68" s="5" t="s">
        <v>2016</v>
      </c>
      <c r="K68" s="5" t="s">
        <v>2017</v>
      </c>
      <c r="L68" s="5"/>
      <c r="M68" s="5"/>
    </row>
    <row r="69" spans="1:13" ht="45.75" hidden="1" customHeight="1" x14ac:dyDescent="0.25">
      <c r="A69" s="5">
        <v>67</v>
      </c>
      <c r="B69" s="5" t="s">
        <v>1320</v>
      </c>
      <c r="C69" s="5" t="s">
        <v>1305</v>
      </c>
      <c r="D69" s="5" t="s">
        <v>1923</v>
      </c>
      <c r="E69" s="5" t="s">
        <v>1306</v>
      </c>
      <c r="F69" s="5" t="s">
        <v>32</v>
      </c>
      <c r="G69" s="5" t="s">
        <v>2018</v>
      </c>
      <c r="H69" s="5" t="s">
        <v>2019</v>
      </c>
      <c r="I69" s="5" t="s">
        <v>2020</v>
      </c>
      <c r="J69" s="5" t="s">
        <v>2021</v>
      </c>
      <c r="K69" s="5" t="s">
        <v>2022</v>
      </c>
      <c r="L69" s="5"/>
      <c r="M69" s="5" t="s">
        <v>2023</v>
      </c>
    </row>
    <row r="70" spans="1:13" ht="45.75" hidden="1" customHeight="1" x14ac:dyDescent="0.25">
      <c r="A70" s="5">
        <v>68</v>
      </c>
      <c r="B70" s="5" t="s">
        <v>1344</v>
      </c>
      <c r="C70" s="5" t="s">
        <v>1345</v>
      </c>
      <c r="D70" s="5" t="s">
        <v>1923</v>
      </c>
      <c r="E70" s="5" t="s">
        <v>1346</v>
      </c>
      <c r="F70" s="5" t="s">
        <v>552</v>
      </c>
      <c r="G70" s="5" t="s">
        <v>2024</v>
      </c>
      <c r="H70" s="5" t="s">
        <v>2025</v>
      </c>
      <c r="I70" s="5" t="s">
        <v>2026</v>
      </c>
      <c r="J70" s="5" t="s">
        <v>2027</v>
      </c>
      <c r="K70" s="5" t="s">
        <v>2028</v>
      </c>
      <c r="L70" s="5"/>
      <c r="M70" s="5"/>
    </row>
    <row r="71" spans="1:13" ht="45.75" hidden="1" customHeight="1" x14ac:dyDescent="0.25">
      <c r="A71" s="16">
        <v>69</v>
      </c>
      <c r="B71" s="16" t="s">
        <v>1353</v>
      </c>
      <c r="C71" s="16" t="s">
        <v>1345</v>
      </c>
      <c r="D71" s="16" t="s">
        <v>1923</v>
      </c>
      <c r="E71" s="16" t="s">
        <v>1346</v>
      </c>
      <c r="F71" s="16" t="s">
        <v>86</v>
      </c>
      <c r="G71" s="16" t="s">
        <v>2029</v>
      </c>
      <c r="H71" s="16" t="s">
        <v>2030</v>
      </c>
      <c r="I71" s="16" t="s">
        <v>2031</v>
      </c>
      <c r="J71" s="16" t="s">
        <v>2032</v>
      </c>
      <c r="K71" s="16" t="s">
        <v>2033</v>
      </c>
      <c r="L71" s="16" t="s">
        <v>1033</v>
      </c>
      <c r="M71" s="16" t="s">
        <v>2034</v>
      </c>
    </row>
    <row r="72" spans="1:13" ht="45.75" hidden="1" customHeight="1" x14ac:dyDescent="0.25">
      <c r="A72" s="5">
        <v>70</v>
      </c>
      <c r="B72" s="5" t="s">
        <v>1362</v>
      </c>
      <c r="C72" s="5" t="s">
        <v>1345</v>
      </c>
      <c r="D72" s="5" t="s">
        <v>1923</v>
      </c>
      <c r="E72" s="5" t="s">
        <v>1346</v>
      </c>
      <c r="F72" s="5" t="s">
        <v>59</v>
      </c>
      <c r="G72" s="5" t="s">
        <v>2035</v>
      </c>
      <c r="H72" s="5" t="s">
        <v>2036</v>
      </c>
      <c r="I72" s="5" t="s">
        <v>2037</v>
      </c>
      <c r="J72" s="5" t="s">
        <v>2038</v>
      </c>
      <c r="K72" s="5" t="s">
        <v>2039</v>
      </c>
      <c r="L72" s="5"/>
      <c r="M72" s="5"/>
    </row>
    <row r="73" spans="1:13" ht="45.75" hidden="1" customHeight="1" x14ac:dyDescent="0.25">
      <c r="A73" s="5">
        <v>71</v>
      </c>
      <c r="B73" s="5" t="s">
        <v>1376</v>
      </c>
      <c r="C73" s="5" t="s">
        <v>1377</v>
      </c>
      <c r="D73" s="5" t="s">
        <v>1923</v>
      </c>
      <c r="E73" s="5" t="s">
        <v>1118</v>
      </c>
      <c r="F73" s="5" t="s">
        <v>23</v>
      </c>
      <c r="G73" s="5" t="s">
        <v>2040</v>
      </c>
      <c r="H73" s="5" t="s">
        <v>2041</v>
      </c>
      <c r="I73" s="5" t="s">
        <v>2042</v>
      </c>
      <c r="J73" s="5" t="s">
        <v>2043</v>
      </c>
      <c r="K73" s="5" t="s">
        <v>2044</v>
      </c>
      <c r="L73" s="5"/>
      <c r="M73" s="5"/>
    </row>
    <row r="74" spans="1:13" ht="45.75" hidden="1" customHeight="1" x14ac:dyDescent="0.25">
      <c r="A74" s="5">
        <v>72</v>
      </c>
      <c r="B74" s="5" t="s">
        <v>1384</v>
      </c>
      <c r="C74" s="5" t="s">
        <v>1377</v>
      </c>
      <c r="D74" s="5" t="s">
        <v>1923</v>
      </c>
      <c r="E74" s="5" t="s">
        <v>1118</v>
      </c>
      <c r="F74" s="5" t="s">
        <v>23</v>
      </c>
      <c r="G74" s="5" t="s">
        <v>2045</v>
      </c>
      <c r="H74" s="5" t="s">
        <v>2046</v>
      </c>
      <c r="I74" s="5" t="s">
        <v>2047</v>
      </c>
      <c r="J74" s="5" t="s">
        <v>2048</v>
      </c>
      <c r="K74" s="5" t="s">
        <v>2049</v>
      </c>
      <c r="L74" s="5"/>
      <c r="M74" s="5"/>
    </row>
    <row r="75" spans="1:13" ht="60" customHeight="1" x14ac:dyDescent="0.25">
      <c r="A75" s="5">
        <v>73</v>
      </c>
      <c r="B75" s="5" t="s">
        <v>1406</v>
      </c>
      <c r="C75" s="5" t="s">
        <v>1407</v>
      </c>
      <c r="D75" s="5" t="s">
        <v>2050</v>
      </c>
      <c r="E75" s="5" t="s">
        <v>1408</v>
      </c>
      <c r="F75" s="5" t="s">
        <v>552</v>
      </c>
      <c r="G75" s="5" t="s">
        <v>2051</v>
      </c>
      <c r="H75" s="5" t="s">
        <v>2052</v>
      </c>
      <c r="I75" s="5" t="s">
        <v>2053</v>
      </c>
      <c r="J75" s="5" t="s">
        <v>2054</v>
      </c>
      <c r="K75" s="5" t="s">
        <v>2055</v>
      </c>
      <c r="L75" s="5"/>
      <c r="M75" s="5"/>
    </row>
    <row r="76" spans="1:13" ht="60" hidden="1" customHeight="1" x14ac:dyDescent="0.25">
      <c r="A76" s="5">
        <v>74</v>
      </c>
      <c r="B76" s="5" t="s">
        <v>1427</v>
      </c>
      <c r="C76" s="5" t="s">
        <v>1407</v>
      </c>
      <c r="D76" s="5" t="s">
        <v>2050</v>
      </c>
      <c r="E76" s="5" t="s">
        <v>1428</v>
      </c>
      <c r="F76" s="5" t="s">
        <v>23</v>
      </c>
      <c r="G76" s="5" t="s">
        <v>2056</v>
      </c>
      <c r="H76" s="5" t="s">
        <v>2057</v>
      </c>
      <c r="I76" s="5" t="s">
        <v>2058</v>
      </c>
      <c r="J76" s="5" t="s">
        <v>2059</v>
      </c>
      <c r="K76" s="5" t="s">
        <v>2060</v>
      </c>
      <c r="L76" s="5"/>
      <c r="M76" s="5"/>
    </row>
    <row r="77" spans="1:13" ht="75" hidden="1" customHeight="1" x14ac:dyDescent="0.25">
      <c r="A77" s="5">
        <v>75</v>
      </c>
      <c r="B77" s="5" t="s">
        <v>1435</v>
      </c>
      <c r="C77" s="5" t="s">
        <v>1407</v>
      </c>
      <c r="D77" s="5" t="s">
        <v>2050</v>
      </c>
      <c r="E77" s="5" t="s">
        <v>1436</v>
      </c>
      <c r="F77" s="5" t="s">
        <v>23</v>
      </c>
      <c r="G77" s="5" t="s">
        <v>2061</v>
      </c>
      <c r="H77" s="5" t="s">
        <v>2062</v>
      </c>
      <c r="I77" s="5" t="s">
        <v>1438</v>
      </c>
      <c r="J77" s="5" t="s">
        <v>2063</v>
      </c>
      <c r="K77" s="5" t="s">
        <v>2064</v>
      </c>
      <c r="L77" s="5"/>
      <c r="M77" s="5"/>
    </row>
    <row r="78" spans="1:13" ht="75" hidden="1" customHeight="1" x14ac:dyDescent="0.25">
      <c r="A78" s="16">
        <v>76</v>
      </c>
      <c r="B78" s="16" t="s">
        <v>1443</v>
      </c>
      <c r="C78" s="16" t="s">
        <v>1407</v>
      </c>
      <c r="D78" s="16" t="s">
        <v>2050</v>
      </c>
      <c r="E78" s="16" t="s">
        <v>1444</v>
      </c>
      <c r="F78" s="16" t="s">
        <v>23</v>
      </c>
      <c r="G78" s="16" t="s">
        <v>2065</v>
      </c>
      <c r="H78" s="16" t="s">
        <v>2066</v>
      </c>
      <c r="I78" s="16" t="s">
        <v>1438</v>
      </c>
      <c r="J78" s="16" t="s">
        <v>2067</v>
      </c>
      <c r="K78" s="16" t="s">
        <v>2068</v>
      </c>
      <c r="L78" s="16" t="s">
        <v>1106</v>
      </c>
      <c r="M78" s="16"/>
    </row>
    <row r="79" spans="1:13" ht="75" hidden="1" customHeight="1" x14ac:dyDescent="0.25">
      <c r="A79" s="5">
        <v>77</v>
      </c>
      <c r="B79" s="5" t="s">
        <v>1451</v>
      </c>
      <c r="C79" s="5" t="s">
        <v>1452</v>
      </c>
      <c r="D79" s="5" t="s">
        <v>2050</v>
      </c>
      <c r="E79" s="5" t="s">
        <v>1453</v>
      </c>
      <c r="F79" s="5" t="s">
        <v>23</v>
      </c>
      <c r="G79" s="5" t="s">
        <v>2069</v>
      </c>
      <c r="H79" s="5" t="s">
        <v>2070</v>
      </c>
      <c r="I79" s="5" t="s">
        <v>2071</v>
      </c>
      <c r="J79" s="5" t="s">
        <v>2072</v>
      </c>
      <c r="K79" s="5" t="s">
        <v>2073</v>
      </c>
      <c r="L79" s="5"/>
      <c r="M79" s="5"/>
    </row>
    <row r="80" spans="1:13" ht="90" hidden="1" customHeight="1" x14ac:dyDescent="0.25">
      <c r="A80" s="16">
        <v>78</v>
      </c>
      <c r="B80" s="16" t="s">
        <v>1466</v>
      </c>
      <c r="C80" s="16" t="s">
        <v>1452</v>
      </c>
      <c r="D80" s="16" t="s">
        <v>2050</v>
      </c>
      <c r="E80" s="16" t="s">
        <v>1467</v>
      </c>
      <c r="F80" s="16" t="s">
        <v>23</v>
      </c>
      <c r="G80" s="16" t="s">
        <v>2074</v>
      </c>
      <c r="H80" s="16" t="s">
        <v>2075</v>
      </c>
      <c r="I80" s="16" t="s">
        <v>2076</v>
      </c>
      <c r="J80" s="16" t="s">
        <v>2077</v>
      </c>
      <c r="K80" s="16" t="s">
        <v>2078</v>
      </c>
      <c r="L80" s="16" t="s">
        <v>1473</v>
      </c>
      <c r="M80" s="16" t="s">
        <v>2079</v>
      </c>
    </row>
    <row r="81" spans="1:13" ht="60" customHeight="1" x14ac:dyDescent="0.25">
      <c r="A81" s="16">
        <v>79</v>
      </c>
      <c r="B81" s="16" t="s">
        <v>1487</v>
      </c>
      <c r="C81" s="16" t="s">
        <v>1452</v>
      </c>
      <c r="D81" s="16" t="s">
        <v>2050</v>
      </c>
      <c r="E81" s="16" t="s">
        <v>1467</v>
      </c>
      <c r="F81" s="16" t="s">
        <v>32</v>
      </c>
      <c r="G81" s="16" t="s">
        <v>2080</v>
      </c>
      <c r="H81" s="16" t="s">
        <v>2081</v>
      </c>
      <c r="I81" s="16" t="s">
        <v>2082</v>
      </c>
      <c r="J81" s="16" t="s">
        <v>2083</v>
      </c>
      <c r="K81" s="16" t="s">
        <v>2084</v>
      </c>
      <c r="L81" s="16" t="s">
        <v>1493</v>
      </c>
      <c r="M81" s="16" t="s">
        <v>2085</v>
      </c>
    </row>
    <row r="82" spans="1:13" ht="60" customHeight="1" x14ac:dyDescent="0.25">
      <c r="A82" s="16">
        <v>80</v>
      </c>
      <c r="B82" s="16" t="s">
        <v>1513</v>
      </c>
      <c r="C82" s="16" t="s">
        <v>1452</v>
      </c>
      <c r="D82" s="16" t="s">
        <v>2050</v>
      </c>
      <c r="E82" s="16" t="s">
        <v>1514</v>
      </c>
      <c r="F82" s="16" t="s">
        <v>23</v>
      </c>
      <c r="G82" s="16" t="s">
        <v>2086</v>
      </c>
      <c r="H82" s="16" t="s">
        <v>2087</v>
      </c>
      <c r="I82" s="16" t="s">
        <v>2088</v>
      </c>
      <c r="J82" s="16" t="s">
        <v>2089</v>
      </c>
      <c r="K82" s="16" t="s">
        <v>2090</v>
      </c>
      <c r="L82" s="16" t="s">
        <v>1520</v>
      </c>
      <c r="M82" s="16" t="s">
        <v>2091</v>
      </c>
    </row>
    <row r="83" spans="1:13" ht="105" customHeight="1" x14ac:dyDescent="0.25">
      <c r="A83" s="5">
        <v>81</v>
      </c>
      <c r="B83" s="5" t="s">
        <v>1522</v>
      </c>
      <c r="C83" s="5" t="s">
        <v>1452</v>
      </c>
      <c r="D83" s="5" t="s">
        <v>2050</v>
      </c>
      <c r="E83" s="5" t="s">
        <v>1523</v>
      </c>
      <c r="F83" s="5" t="s">
        <v>23</v>
      </c>
      <c r="G83" s="5" t="s">
        <v>2092</v>
      </c>
      <c r="H83" s="5" t="s">
        <v>2093</v>
      </c>
      <c r="I83" s="5" t="s">
        <v>2094</v>
      </c>
      <c r="J83" s="5" t="s">
        <v>2095</v>
      </c>
      <c r="K83" s="5" t="s">
        <v>2096</v>
      </c>
      <c r="L83" s="5"/>
      <c r="M83" s="5"/>
    </row>
    <row r="84" spans="1:13" ht="90" customHeight="1" x14ac:dyDescent="0.25">
      <c r="A84" s="16">
        <v>82</v>
      </c>
      <c r="B84" s="16" t="s">
        <v>1538</v>
      </c>
      <c r="C84" s="16" t="s">
        <v>1452</v>
      </c>
      <c r="D84" s="16" t="s">
        <v>2050</v>
      </c>
      <c r="E84" s="16" t="s">
        <v>1539</v>
      </c>
      <c r="F84" s="16" t="s">
        <v>23</v>
      </c>
      <c r="G84" s="16" t="s">
        <v>2097</v>
      </c>
      <c r="H84" s="16" t="s">
        <v>2098</v>
      </c>
      <c r="I84" s="16" t="s">
        <v>1541</v>
      </c>
      <c r="J84" s="16" t="s">
        <v>2099</v>
      </c>
      <c r="K84" s="16" t="s">
        <v>2100</v>
      </c>
      <c r="L84" s="16" t="s">
        <v>1545</v>
      </c>
      <c r="M84" s="16" t="s">
        <v>2101</v>
      </c>
    </row>
    <row r="85" spans="1:13" ht="90" customHeight="1" x14ac:dyDescent="0.25">
      <c r="A85" s="5">
        <v>83</v>
      </c>
      <c r="B85" s="5" t="s">
        <v>1581</v>
      </c>
      <c r="C85" s="5" t="s">
        <v>1582</v>
      </c>
      <c r="D85" s="5" t="s">
        <v>2050</v>
      </c>
      <c r="E85" s="5" t="s">
        <v>1428</v>
      </c>
      <c r="F85" s="5" t="s">
        <v>23</v>
      </c>
      <c r="G85" s="5" t="s">
        <v>2102</v>
      </c>
      <c r="H85" s="5" t="s">
        <v>2103</v>
      </c>
      <c r="I85" s="5" t="s">
        <v>2104</v>
      </c>
      <c r="J85" s="5" t="s">
        <v>2105</v>
      </c>
      <c r="K85" s="5" t="s">
        <v>2106</v>
      </c>
      <c r="L85" s="5"/>
      <c r="M85" s="5"/>
    </row>
    <row r="86" spans="1:13" ht="45" customHeight="1" x14ac:dyDescent="0.25">
      <c r="A86" s="5">
        <v>84</v>
      </c>
      <c r="B86" s="5" t="s">
        <v>1595</v>
      </c>
      <c r="C86" s="5" t="s">
        <v>1582</v>
      </c>
      <c r="D86" s="5" t="s">
        <v>2050</v>
      </c>
      <c r="E86" s="5" t="s">
        <v>1596</v>
      </c>
      <c r="F86" s="5" t="s">
        <v>32</v>
      </c>
      <c r="G86" s="5" t="s">
        <v>2107</v>
      </c>
      <c r="H86" s="5" t="s">
        <v>2108</v>
      </c>
      <c r="I86" s="5" t="s">
        <v>2109</v>
      </c>
      <c r="J86" s="5" t="s">
        <v>2110</v>
      </c>
      <c r="K86" s="5" t="s">
        <v>2111</v>
      </c>
      <c r="L86" s="5"/>
      <c r="M86" s="5"/>
    </row>
    <row r="87" spans="1:13" x14ac:dyDescent="0.25">
      <c r="A87">
        <v>85</v>
      </c>
      <c r="B87" t="s">
        <v>210</v>
      </c>
      <c r="C87" t="s">
        <v>179</v>
      </c>
      <c r="D87" t="s">
        <v>1755</v>
      </c>
      <c r="E87" t="s">
        <v>180</v>
      </c>
      <c r="F87" t="s">
        <v>86</v>
      </c>
      <c r="G87" t="s">
        <v>2112</v>
      </c>
      <c r="H87" t="s">
        <v>2113</v>
      </c>
      <c r="I87" t="s">
        <v>2114</v>
      </c>
      <c r="J87" t="s">
        <v>2115</v>
      </c>
      <c r="K87" t="s">
        <v>2116</v>
      </c>
      <c r="L87" t="s">
        <v>223</v>
      </c>
      <c r="M87" t="s">
        <v>2117</v>
      </c>
    </row>
    <row r="88" spans="1:13" x14ac:dyDescent="0.25">
      <c r="A88">
        <v>86</v>
      </c>
      <c r="B88" t="s">
        <v>225</v>
      </c>
      <c r="C88" t="s">
        <v>179</v>
      </c>
      <c r="D88" t="s">
        <v>1755</v>
      </c>
      <c r="E88" t="s">
        <v>226</v>
      </c>
      <c r="F88" t="s">
        <v>41</v>
      </c>
      <c r="G88" t="s">
        <v>2118</v>
      </c>
      <c r="H88" t="s">
        <v>2119</v>
      </c>
      <c r="I88" t="s">
        <v>2120</v>
      </c>
      <c r="J88" t="s">
        <v>2121</v>
      </c>
      <c r="K88" t="s">
        <v>2122</v>
      </c>
      <c r="M88" t="s">
        <v>2123</v>
      </c>
    </row>
    <row r="89" spans="1:13" x14ac:dyDescent="0.25">
      <c r="A89">
        <v>87</v>
      </c>
      <c r="B89" t="s">
        <v>267</v>
      </c>
      <c r="C89" t="s">
        <v>234</v>
      </c>
      <c r="D89" t="s">
        <v>1755</v>
      </c>
      <c r="E89" t="s">
        <v>235</v>
      </c>
      <c r="F89" t="s">
        <v>86</v>
      </c>
      <c r="G89" t="s">
        <v>2124</v>
      </c>
      <c r="H89" t="s">
        <v>2125</v>
      </c>
      <c r="I89" t="s">
        <v>2126</v>
      </c>
      <c r="J89" t="s">
        <v>2127</v>
      </c>
      <c r="K89" t="s">
        <v>2128</v>
      </c>
      <c r="L89" t="s">
        <v>273</v>
      </c>
      <c r="M89" t="s">
        <v>2129</v>
      </c>
    </row>
    <row r="90" spans="1:13" x14ac:dyDescent="0.25">
      <c r="A90">
        <v>88</v>
      </c>
      <c r="B90" t="s">
        <v>275</v>
      </c>
      <c r="C90" t="s">
        <v>234</v>
      </c>
      <c r="D90" t="s">
        <v>1755</v>
      </c>
      <c r="E90" t="s">
        <v>235</v>
      </c>
      <c r="F90" t="s">
        <v>59</v>
      </c>
      <c r="G90" t="s">
        <v>2130</v>
      </c>
      <c r="H90" t="s">
        <v>2131</v>
      </c>
      <c r="I90" t="s">
        <v>2132</v>
      </c>
      <c r="J90" t="s">
        <v>2133</v>
      </c>
      <c r="K90" t="s">
        <v>2134</v>
      </c>
      <c r="L90" t="s">
        <v>281</v>
      </c>
      <c r="M90" t="s">
        <v>2123</v>
      </c>
    </row>
    <row r="91" spans="1:13" x14ac:dyDescent="0.25">
      <c r="A91">
        <v>89</v>
      </c>
      <c r="B91" t="s">
        <v>283</v>
      </c>
      <c r="C91" t="s">
        <v>234</v>
      </c>
      <c r="D91" t="s">
        <v>1755</v>
      </c>
      <c r="E91" t="s">
        <v>235</v>
      </c>
      <c r="F91" t="s">
        <v>23</v>
      </c>
      <c r="G91" t="s">
        <v>2135</v>
      </c>
      <c r="H91" t="s">
        <v>2136</v>
      </c>
      <c r="I91" t="s">
        <v>2137</v>
      </c>
      <c r="J91" t="s">
        <v>2138</v>
      </c>
      <c r="K91" t="s">
        <v>2139</v>
      </c>
      <c r="L91" t="s">
        <v>289</v>
      </c>
      <c r="M91" t="s">
        <v>2123</v>
      </c>
    </row>
    <row r="92" spans="1:13" x14ac:dyDescent="0.25">
      <c r="A92">
        <v>90</v>
      </c>
      <c r="B92" t="s">
        <v>291</v>
      </c>
      <c r="C92" t="s">
        <v>234</v>
      </c>
      <c r="D92" t="s">
        <v>1755</v>
      </c>
      <c r="E92" t="s">
        <v>292</v>
      </c>
      <c r="F92" t="s">
        <v>23</v>
      </c>
      <c r="G92" t="s">
        <v>2140</v>
      </c>
      <c r="H92" t="s">
        <v>2141</v>
      </c>
      <c r="I92" t="s">
        <v>2142</v>
      </c>
      <c r="J92" t="s">
        <v>2143</v>
      </c>
      <c r="K92" t="s">
        <v>2144</v>
      </c>
      <c r="L92" t="s">
        <v>298</v>
      </c>
      <c r="M92" t="s">
        <v>2123</v>
      </c>
    </row>
    <row r="93" spans="1:13" x14ac:dyDescent="0.25">
      <c r="A93">
        <v>91</v>
      </c>
      <c r="B93" t="s">
        <v>300</v>
      </c>
      <c r="C93" t="s">
        <v>234</v>
      </c>
      <c r="D93" t="s">
        <v>1755</v>
      </c>
      <c r="E93" t="s">
        <v>244</v>
      </c>
      <c r="F93" t="s">
        <v>23</v>
      </c>
      <c r="G93" t="s">
        <v>2145</v>
      </c>
      <c r="H93" t="s">
        <v>2146</v>
      </c>
      <c r="I93" t="s">
        <v>2147</v>
      </c>
      <c r="J93" t="s">
        <v>2148</v>
      </c>
      <c r="K93" t="s">
        <v>2149</v>
      </c>
      <c r="L93" t="s">
        <v>306</v>
      </c>
      <c r="M93" t="s">
        <v>2123</v>
      </c>
    </row>
    <row r="94" spans="1:13" x14ac:dyDescent="0.25">
      <c r="A94">
        <v>92</v>
      </c>
      <c r="B94" t="s">
        <v>1391</v>
      </c>
      <c r="C94" t="s">
        <v>1377</v>
      </c>
      <c r="D94" t="s">
        <v>1923</v>
      </c>
      <c r="E94" t="s">
        <v>1118</v>
      </c>
      <c r="F94" t="s">
        <v>86</v>
      </c>
      <c r="G94" t="s">
        <v>2150</v>
      </c>
      <c r="H94" t="s">
        <v>2151</v>
      </c>
      <c r="I94" t="s">
        <v>2152</v>
      </c>
      <c r="J94" t="s">
        <v>2153</v>
      </c>
      <c r="K94" t="s">
        <v>2154</v>
      </c>
      <c r="M94" t="s">
        <v>2155</v>
      </c>
    </row>
    <row r="95" spans="1:13" x14ac:dyDescent="0.25">
      <c r="A95">
        <v>93</v>
      </c>
      <c r="B95" t="s">
        <v>1398</v>
      </c>
      <c r="C95" t="s">
        <v>1377</v>
      </c>
      <c r="D95" t="s">
        <v>1923</v>
      </c>
      <c r="E95" t="s">
        <v>1118</v>
      </c>
      <c r="F95" t="s">
        <v>59</v>
      </c>
      <c r="G95" t="s">
        <v>2156</v>
      </c>
      <c r="H95" t="s">
        <v>2157</v>
      </c>
      <c r="I95" t="s">
        <v>2158</v>
      </c>
      <c r="J95" t="s">
        <v>2159</v>
      </c>
      <c r="K95" t="s">
        <v>2160</v>
      </c>
      <c r="L95" t="s">
        <v>1404</v>
      </c>
      <c r="M95" t="s">
        <v>2123</v>
      </c>
    </row>
    <row r="96" spans="1:13" ht="90" customHeight="1" x14ac:dyDescent="0.25">
      <c r="A96" s="5">
        <v>94</v>
      </c>
      <c r="B96" s="5" t="s">
        <v>308</v>
      </c>
      <c r="C96" s="5" t="s">
        <v>234</v>
      </c>
      <c r="D96" s="5" t="s">
        <v>1755</v>
      </c>
      <c r="E96" s="5" t="s">
        <v>309</v>
      </c>
      <c r="F96" s="5" t="s">
        <v>41</v>
      </c>
      <c r="G96" s="5" t="s">
        <v>2161</v>
      </c>
      <c r="H96" s="5" t="s">
        <v>2162</v>
      </c>
      <c r="I96" s="5" t="s">
        <v>2163</v>
      </c>
      <c r="J96" s="5" t="s">
        <v>2164</v>
      </c>
      <c r="K96" s="5" t="s">
        <v>2165</v>
      </c>
      <c r="L96" s="5"/>
      <c r="M96" s="5" t="s">
        <v>2166</v>
      </c>
    </row>
    <row r="97" spans="1:13" ht="90" customHeight="1" x14ac:dyDescent="0.25">
      <c r="A97" s="16">
        <v>95</v>
      </c>
      <c r="B97" s="16" t="s">
        <v>317</v>
      </c>
      <c r="C97" s="16" t="s">
        <v>234</v>
      </c>
      <c r="D97" s="16" t="s">
        <v>1755</v>
      </c>
      <c r="E97" s="16" t="s">
        <v>318</v>
      </c>
      <c r="F97" s="16" t="s">
        <v>59</v>
      </c>
      <c r="G97" s="16" t="s">
        <v>2167</v>
      </c>
      <c r="H97" s="16" t="s">
        <v>2168</v>
      </c>
      <c r="I97" s="16" t="s">
        <v>2169</v>
      </c>
      <c r="J97" s="16" t="s">
        <v>2170</v>
      </c>
      <c r="K97" s="16" t="s">
        <v>2171</v>
      </c>
      <c r="L97" s="16" t="s">
        <v>324</v>
      </c>
      <c r="M97" s="16" t="s">
        <v>2172</v>
      </c>
    </row>
    <row r="98" spans="1:13" ht="75" customHeight="1" x14ac:dyDescent="0.25">
      <c r="A98" s="5">
        <v>96</v>
      </c>
      <c r="B98" s="5" t="s">
        <v>352</v>
      </c>
      <c r="C98" s="5" t="s">
        <v>328</v>
      </c>
      <c r="D98" s="5" t="s">
        <v>1755</v>
      </c>
      <c r="E98" s="5" t="s">
        <v>329</v>
      </c>
      <c r="F98" s="5" t="s">
        <v>23</v>
      </c>
      <c r="G98" s="5" t="s">
        <v>2173</v>
      </c>
      <c r="H98" s="5" t="s">
        <v>2174</v>
      </c>
      <c r="I98" s="5" t="s">
        <v>2175</v>
      </c>
      <c r="J98" s="5" t="s">
        <v>2176</v>
      </c>
      <c r="K98" s="5" t="s">
        <v>2177</v>
      </c>
      <c r="L98" s="5"/>
      <c r="M98" s="5" t="s">
        <v>2178</v>
      </c>
    </row>
    <row r="99" spans="1:13" ht="90" customHeight="1" x14ac:dyDescent="0.25">
      <c r="A99" s="5">
        <v>97</v>
      </c>
      <c r="B99" s="5" t="s">
        <v>359</v>
      </c>
      <c r="C99" s="5" t="s">
        <v>328</v>
      </c>
      <c r="D99" s="5" t="s">
        <v>1755</v>
      </c>
      <c r="E99" s="5" t="s">
        <v>329</v>
      </c>
      <c r="F99" s="5" t="s">
        <v>23</v>
      </c>
      <c r="G99" s="5" t="s">
        <v>2179</v>
      </c>
      <c r="H99" s="5" t="s">
        <v>2180</v>
      </c>
      <c r="I99" s="5" t="s">
        <v>2181</v>
      </c>
      <c r="J99" s="5" t="s">
        <v>2182</v>
      </c>
      <c r="K99" s="5" t="s">
        <v>2183</v>
      </c>
      <c r="L99" s="5"/>
      <c r="M99" s="5" t="s">
        <v>2184</v>
      </c>
    </row>
    <row r="100" spans="1:13" ht="75" customHeight="1" x14ac:dyDescent="0.25">
      <c r="A100" s="16">
        <v>98</v>
      </c>
      <c r="B100" s="16" t="s">
        <v>366</v>
      </c>
      <c r="C100" s="16" t="s">
        <v>328</v>
      </c>
      <c r="D100" s="16" t="s">
        <v>1755</v>
      </c>
      <c r="E100" s="16" t="s">
        <v>329</v>
      </c>
      <c r="F100" s="16" t="s">
        <v>86</v>
      </c>
      <c r="G100" s="16" t="s">
        <v>2185</v>
      </c>
      <c r="H100" s="16" t="s">
        <v>2186</v>
      </c>
      <c r="I100" s="16" t="s">
        <v>2187</v>
      </c>
      <c r="J100" s="16" t="s">
        <v>2188</v>
      </c>
      <c r="K100" s="16" t="s">
        <v>2189</v>
      </c>
      <c r="L100" s="16" t="s">
        <v>372</v>
      </c>
      <c r="M100" s="16" t="s">
        <v>2190</v>
      </c>
    </row>
    <row r="101" spans="1:13" ht="90" customHeight="1" x14ac:dyDescent="0.25">
      <c r="A101" s="16">
        <v>99</v>
      </c>
      <c r="B101" s="16" t="s">
        <v>374</v>
      </c>
      <c r="C101" s="16" t="s">
        <v>328</v>
      </c>
      <c r="D101" s="16" t="s">
        <v>1755</v>
      </c>
      <c r="E101" s="16" t="s">
        <v>329</v>
      </c>
      <c r="F101" s="16" t="s">
        <v>86</v>
      </c>
      <c r="G101" s="16" t="s">
        <v>2191</v>
      </c>
      <c r="H101" s="16" t="s">
        <v>2192</v>
      </c>
      <c r="I101" s="16" t="s">
        <v>2193</v>
      </c>
      <c r="J101" s="16" t="s">
        <v>2194</v>
      </c>
      <c r="K101" s="16" t="s">
        <v>2195</v>
      </c>
      <c r="L101" s="16" t="s">
        <v>380</v>
      </c>
      <c r="M101" s="16" t="s">
        <v>2196</v>
      </c>
    </row>
    <row r="102" spans="1:13" ht="75" customHeight="1" x14ac:dyDescent="0.25">
      <c r="A102" s="16">
        <v>100</v>
      </c>
      <c r="B102" s="16" t="s">
        <v>383</v>
      </c>
      <c r="C102" s="16" t="s">
        <v>328</v>
      </c>
      <c r="D102" s="16" t="s">
        <v>1755</v>
      </c>
      <c r="E102" s="16" t="s">
        <v>329</v>
      </c>
      <c r="F102" s="16" t="s">
        <v>59</v>
      </c>
      <c r="G102" s="16" t="s">
        <v>2197</v>
      </c>
      <c r="H102" s="16" t="s">
        <v>2198</v>
      </c>
      <c r="I102" s="16" t="s">
        <v>2199</v>
      </c>
      <c r="J102" s="16" t="s">
        <v>2200</v>
      </c>
      <c r="K102" s="16" t="s">
        <v>2201</v>
      </c>
      <c r="L102" s="16" t="s">
        <v>389</v>
      </c>
      <c r="M102" s="16" t="s">
        <v>2190</v>
      </c>
    </row>
    <row r="103" spans="1:13" ht="120" customHeight="1" x14ac:dyDescent="0.25">
      <c r="A103" s="5">
        <v>101</v>
      </c>
      <c r="B103" s="5" t="s">
        <v>414</v>
      </c>
      <c r="C103" s="5" t="s">
        <v>392</v>
      </c>
      <c r="D103" s="5" t="s">
        <v>1755</v>
      </c>
      <c r="E103" s="5" t="s">
        <v>415</v>
      </c>
      <c r="F103" s="5" t="s">
        <v>23</v>
      </c>
      <c r="G103" s="5" t="s">
        <v>2202</v>
      </c>
      <c r="H103" s="5" t="s">
        <v>2203</v>
      </c>
      <c r="I103" s="5" t="s">
        <v>2204</v>
      </c>
      <c r="J103" s="5" t="s">
        <v>2205</v>
      </c>
      <c r="K103" s="5" t="s">
        <v>2206</v>
      </c>
      <c r="L103" s="5"/>
      <c r="M103" s="5" t="s">
        <v>2207</v>
      </c>
    </row>
    <row r="104" spans="1:13" ht="75" customHeight="1" x14ac:dyDescent="0.25">
      <c r="A104" s="16">
        <v>102</v>
      </c>
      <c r="B104" s="16" t="s">
        <v>423</v>
      </c>
      <c r="C104" s="16" t="s">
        <v>392</v>
      </c>
      <c r="D104" s="16" t="s">
        <v>1755</v>
      </c>
      <c r="E104" s="16" t="s">
        <v>393</v>
      </c>
      <c r="F104" s="16" t="s">
        <v>23</v>
      </c>
      <c r="G104" s="16" t="s">
        <v>2208</v>
      </c>
      <c r="H104" s="16" t="s">
        <v>2209</v>
      </c>
      <c r="I104" s="16" t="s">
        <v>2210</v>
      </c>
      <c r="J104" s="16" t="s">
        <v>2211</v>
      </c>
      <c r="K104" s="16" t="s">
        <v>2212</v>
      </c>
      <c r="L104" s="16" t="s">
        <v>143</v>
      </c>
      <c r="M104" s="16" t="s">
        <v>2213</v>
      </c>
    </row>
    <row r="105" spans="1:13" ht="60" customHeight="1" x14ac:dyDescent="0.25">
      <c r="A105" s="16">
        <v>103</v>
      </c>
      <c r="B105" s="16" t="s">
        <v>431</v>
      </c>
      <c r="C105" s="16" t="s">
        <v>392</v>
      </c>
      <c r="D105" s="16" t="s">
        <v>1755</v>
      </c>
      <c r="E105" s="16" t="s">
        <v>415</v>
      </c>
      <c r="F105" s="16" t="s">
        <v>86</v>
      </c>
      <c r="G105" s="16" t="s">
        <v>2214</v>
      </c>
      <c r="H105" s="16" t="s">
        <v>2215</v>
      </c>
      <c r="I105" s="16" t="s">
        <v>2216</v>
      </c>
      <c r="J105" s="16" t="s">
        <v>2217</v>
      </c>
      <c r="K105" s="16" t="s">
        <v>2218</v>
      </c>
      <c r="L105" s="16" t="s">
        <v>437</v>
      </c>
      <c r="M105" s="16" t="s">
        <v>2190</v>
      </c>
    </row>
    <row r="106" spans="1:13" ht="75" customHeight="1" x14ac:dyDescent="0.25">
      <c r="A106" s="16">
        <v>104</v>
      </c>
      <c r="B106" s="16" t="s">
        <v>439</v>
      </c>
      <c r="C106" s="16" t="s">
        <v>392</v>
      </c>
      <c r="D106" s="16" t="s">
        <v>1755</v>
      </c>
      <c r="E106" s="16" t="s">
        <v>440</v>
      </c>
      <c r="F106" s="16" t="s">
        <v>86</v>
      </c>
      <c r="G106" s="16" t="s">
        <v>2219</v>
      </c>
      <c r="H106" s="16" t="s">
        <v>2220</v>
      </c>
      <c r="I106" s="16" t="s">
        <v>2221</v>
      </c>
      <c r="J106" s="16" t="s">
        <v>2222</v>
      </c>
      <c r="K106" s="16" t="s">
        <v>2223</v>
      </c>
      <c r="L106" s="16" t="s">
        <v>446</v>
      </c>
      <c r="M106" s="16" t="s">
        <v>2224</v>
      </c>
    </row>
    <row r="107" spans="1:13" ht="75" customHeight="1" x14ac:dyDescent="0.25">
      <c r="A107" s="16">
        <v>105</v>
      </c>
      <c r="B107" s="16" t="s">
        <v>449</v>
      </c>
      <c r="C107" s="16" t="s">
        <v>392</v>
      </c>
      <c r="D107" s="16" t="s">
        <v>1755</v>
      </c>
      <c r="E107" s="16" t="s">
        <v>450</v>
      </c>
      <c r="F107" s="16" t="s">
        <v>86</v>
      </c>
      <c r="G107" s="16" t="s">
        <v>2225</v>
      </c>
      <c r="H107" s="16" t="s">
        <v>2226</v>
      </c>
      <c r="I107" s="16" t="s">
        <v>2227</v>
      </c>
      <c r="J107" s="16" t="s">
        <v>2228</v>
      </c>
      <c r="K107" s="16" t="s">
        <v>2229</v>
      </c>
      <c r="L107" s="16" t="s">
        <v>456</v>
      </c>
      <c r="M107" s="16" t="s">
        <v>2230</v>
      </c>
    </row>
    <row r="108" spans="1:13" ht="75" customHeight="1" x14ac:dyDescent="0.25">
      <c r="A108" s="5">
        <v>106</v>
      </c>
      <c r="B108" s="5" t="s">
        <v>1134</v>
      </c>
      <c r="C108" s="5" t="s">
        <v>1117</v>
      </c>
      <c r="D108" s="5" t="s">
        <v>1923</v>
      </c>
      <c r="E108" s="5" t="s">
        <v>1118</v>
      </c>
      <c r="F108" s="5" t="s">
        <v>552</v>
      </c>
      <c r="G108" s="5" t="s">
        <v>2231</v>
      </c>
      <c r="H108" s="5" t="s">
        <v>2232</v>
      </c>
      <c r="I108" s="5" t="s">
        <v>2233</v>
      </c>
      <c r="J108" s="5" t="s">
        <v>2234</v>
      </c>
      <c r="K108" s="5" t="s">
        <v>2235</v>
      </c>
      <c r="L108" s="5"/>
      <c r="M108" s="5" t="s">
        <v>2236</v>
      </c>
    </row>
    <row r="109" spans="1:13" ht="105" customHeight="1" x14ac:dyDescent="0.25">
      <c r="A109" s="16">
        <v>107</v>
      </c>
      <c r="B109" s="16" t="s">
        <v>1141</v>
      </c>
      <c r="C109" s="16" t="s">
        <v>1117</v>
      </c>
      <c r="D109" s="16" t="s">
        <v>1923</v>
      </c>
      <c r="E109" s="16" t="s">
        <v>1118</v>
      </c>
      <c r="F109" s="16" t="s">
        <v>86</v>
      </c>
      <c r="G109" s="16" t="s">
        <v>2237</v>
      </c>
      <c r="H109" s="16" t="s">
        <v>2238</v>
      </c>
      <c r="I109" s="16" t="s">
        <v>2239</v>
      </c>
      <c r="J109" s="16" t="s">
        <v>2240</v>
      </c>
      <c r="K109" s="16" t="s">
        <v>2241</v>
      </c>
      <c r="L109" s="16" t="s">
        <v>1147</v>
      </c>
      <c r="M109" s="16" t="s">
        <v>2242</v>
      </c>
    </row>
    <row r="110" spans="1:13" ht="90" customHeight="1" x14ac:dyDescent="0.25">
      <c r="A110" s="5">
        <v>108</v>
      </c>
      <c r="B110" s="5" t="s">
        <v>1018</v>
      </c>
      <c r="C110" s="5" t="s">
        <v>960</v>
      </c>
      <c r="D110" s="5" t="s">
        <v>1923</v>
      </c>
      <c r="E110" s="5" t="s">
        <v>981</v>
      </c>
      <c r="F110" s="5" t="s">
        <v>552</v>
      </c>
      <c r="G110" s="5" t="s">
        <v>2243</v>
      </c>
      <c r="H110" s="5" t="s">
        <v>2244</v>
      </c>
      <c r="I110" s="5" t="s">
        <v>2245</v>
      </c>
      <c r="J110" s="5" t="s">
        <v>2246</v>
      </c>
      <c r="K110" s="5" t="s">
        <v>2247</v>
      </c>
      <c r="L110" s="5"/>
      <c r="M110" s="5" t="s">
        <v>2248</v>
      </c>
    </row>
    <row r="111" spans="1:13" ht="75" customHeight="1" x14ac:dyDescent="0.25">
      <c r="A111" s="5">
        <v>109</v>
      </c>
      <c r="B111" s="5" t="s">
        <v>1548</v>
      </c>
      <c r="C111" s="5" t="s">
        <v>1452</v>
      </c>
      <c r="D111" s="5" t="s">
        <v>2050</v>
      </c>
      <c r="E111" s="5" t="s">
        <v>1549</v>
      </c>
      <c r="F111" s="5" t="s">
        <v>552</v>
      </c>
      <c r="G111" s="5" t="s">
        <v>2249</v>
      </c>
      <c r="H111" s="5" t="s">
        <v>2250</v>
      </c>
      <c r="I111" s="5" t="s">
        <v>2251</v>
      </c>
      <c r="J111" s="5" t="s">
        <v>2252</v>
      </c>
      <c r="K111" s="5" t="s">
        <v>2253</v>
      </c>
      <c r="L111" s="5"/>
      <c r="M111" s="5" t="s">
        <v>2254</v>
      </c>
    </row>
    <row r="112" spans="1:13" ht="105" customHeight="1" x14ac:dyDescent="0.25">
      <c r="A112" s="16">
        <v>110</v>
      </c>
      <c r="B112" s="16" t="s">
        <v>1557</v>
      </c>
      <c r="C112" s="16" t="s">
        <v>1452</v>
      </c>
      <c r="D112" s="16" t="s">
        <v>2050</v>
      </c>
      <c r="E112" s="16" t="s">
        <v>1549</v>
      </c>
      <c r="F112" s="16" t="s">
        <v>245</v>
      </c>
      <c r="G112" s="16" t="s">
        <v>2255</v>
      </c>
      <c r="H112" s="16" t="s">
        <v>2256</v>
      </c>
      <c r="I112" s="16" t="s">
        <v>2257</v>
      </c>
      <c r="J112" s="16" t="s">
        <v>2258</v>
      </c>
      <c r="K112" s="16" t="s">
        <v>2259</v>
      </c>
      <c r="L112" s="16" t="s">
        <v>1563</v>
      </c>
      <c r="M112" s="16" t="s">
        <v>2260</v>
      </c>
    </row>
    <row r="113" spans="1:13" ht="210" customHeight="1" x14ac:dyDescent="0.25">
      <c r="A113" s="16">
        <v>111</v>
      </c>
      <c r="B113" s="16" t="s">
        <v>772</v>
      </c>
      <c r="C113" s="16" t="s">
        <v>735</v>
      </c>
      <c r="D113" s="16" t="s">
        <v>1843</v>
      </c>
      <c r="E113" s="16" t="s">
        <v>773</v>
      </c>
      <c r="F113" s="16" t="s">
        <v>23</v>
      </c>
      <c r="G113" s="16" t="s">
        <v>2261</v>
      </c>
      <c r="H113" s="16" t="s">
        <v>2262</v>
      </c>
      <c r="I113" s="16" t="s">
        <v>2263</v>
      </c>
      <c r="J113" s="16" t="s">
        <v>2264</v>
      </c>
      <c r="K113" s="16" t="s">
        <v>2265</v>
      </c>
      <c r="L113" s="16" t="s">
        <v>779</v>
      </c>
      <c r="M113" s="16" t="s">
        <v>2266</v>
      </c>
    </row>
    <row r="114" spans="1:13" ht="75" customHeight="1" x14ac:dyDescent="0.25">
      <c r="A114" s="5">
        <v>112</v>
      </c>
      <c r="B114" s="5" t="s">
        <v>711</v>
      </c>
      <c r="C114" s="5" t="s">
        <v>681</v>
      </c>
      <c r="D114" s="5" t="s">
        <v>1843</v>
      </c>
      <c r="E114" s="5" t="s">
        <v>682</v>
      </c>
      <c r="F114" s="5" t="s">
        <v>32</v>
      </c>
      <c r="G114" s="5" t="s">
        <v>2267</v>
      </c>
      <c r="H114" s="5" t="s">
        <v>2268</v>
      </c>
      <c r="I114" s="5" t="s">
        <v>2269</v>
      </c>
      <c r="J114" s="5" t="s">
        <v>2270</v>
      </c>
      <c r="K114" s="5" t="s">
        <v>2271</v>
      </c>
      <c r="L114" s="5"/>
      <c r="M114" s="5" t="s">
        <v>2272</v>
      </c>
    </row>
    <row r="115" spans="1:13" ht="120" customHeight="1" x14ac:dyDescent="0.25">
      <c r="A115" s="16">
        <v>113</v>
      </c>
      <c r="B115" s="16" t="s">
        <v>470</v>
      </c>
      <c r="C115" s="16" t="s">
        <v>460</v>
      </c>
      <c r="D115" s="16" t="s">
        <v>1755</v>
      </c>
      <c r="E115" s="16" t="s">
        <v>461</v>
      </c>
      <c r="F115" s="16" t="s">
        <v>86</v>
      </c>
      <c r="G115" s="16" t="s">
        <v>2273</v>
      </c>
      <c r="H115" s="16" t="s">
        <v>2274</v>
      </c>
      <c r="I115" s="16" t="s">
        <v>2275</v>
      </c>
      <c r="J115" s="16" t="s">
        <v>2276</v>
      </c>
      <c r="K115" s="16" t="s">
        <v>2277</v>
      </c>
      <c r="L115" s="16" t="s">
        <v>476</v>
      </c>
      <c r="M115" s="16" t="s">
        <v>2278</v>
      </c>
    </row>
    <row r="116" spans="1:13" ht="75" customHeight="1" x14ac:dyDescent="0.25">
      <c r="A116" s="16">
        <v>114</v>
      </c>
      <c r="B116" s="16" t="s">
        <v>508</v>
      </c>
      <c r="C116" s="16" t="s">
        <v>480</v>
      </c>
      <c r="D116" s="16" t="s">
        <v>1755</v>
      </c>
      <c r="E116" s="16" t="s">
        <v>226</v>
      </c>
      <c r="F116" s="16" t="s">
        <v>23</v>
      </c>
      <c r="G116" s="16" t="s">
        <v>2279</v>
      </c>
      <c r="H116" s="16" t="s">
        <v>2280</v>
      </c>
      <c r="I116" s="16" t="s">
        <v>2281</v>
      </c>
      <c r="J116" s="16" t="s">
        <v>2282</v>
      </c>
      <c r="K116" s="16" t="s">
        <v>2283</v>
      </c>
      <c r="L116" s="16" t="s">
        <v>514</v>
      </c>
      <c r="M116" s="16" t="s">
        <v>2190</v>
      </c>
    </row>
    <row r="117" spans="1:13" ht="120" customHeight="1" x14ac:dyDescent="0.25">
      <c r="A117" s="16">
        <v>115</v>
      </c>
      <c r="B117" s="16" t="s">
        <v>516</v>
      </c>
      <c r="C117" s="16" t="s">
        <v>480</v>
      </c>
      <c r="D117" s="16" t="s">
        <v>1755</v>
      </c>
      <c r="E117" s="16" t="s">
        <v>517</v>
      </c>
      <c r="F117" s="16" t="s">
        <v>86</v>
      </c>
      <c r="G117" s="16" t="s">
        <v>2284</v>
      </c>
      <c r="H117" s="16" t="s">
        <v>2285</v>
      </c>
      <c r="I117" s="16" t="s">
        <v>2286</v>
      </c>
      <c r="J117" s="16" t="s">
        <v>2287</v>
      </c>
      <c r="K117" s="16" t="s">
        <v>2288</v>
      </c>
      <c r="L117" s="16" t="s">
        <v>523</v>
      </c>
      <c r="M117" s="16" t="s">
        <v>2289</v>
      </c>
    </row>
    <row r="118" spans="1:13" ht="120" customHeight="1" x14ac:dyDescent="0.25">
      <c r="A118" s="5">
        <v>116</v>
      </c>
      <c r="B118" s="5" t="s">
        <v>551</v>
      </c>
      <c r="C118" s="5" t="s">
        <v>527</v>
      </c>
      <c r="D118" s="5" t="s">
        <v>1755</v>
      </c>
      <c r="E118" s="5" t="s">
        <v>528</v>
      </c>
      <c r="F118" s="5" t="s">
        <v>552</v>
      </c>
      <c r="G118" s="5" t="s">
        <v>2290</v>
      </c>
      <c r="H118" s="5" t="s">
        <v>2291</v>
      </c>
      <c r="I118" s="5" t="s">
        <v>2292</v>
      </c>
      <c r="J118" s="5" t="s">
        <v>2293</v>
      </c>
      <c r="K118" s="5" t="s">
        <v>2294</v>
      </c>
      <c r="L118" s="5"/>
      <c r="M118" s="5" t="s">
        <v>2295</v>
      </c>
    </row>
    <row r="119" spans="1:13" ht="165" customHeight="1" x14ac:dyDescent="0.25">
      <c r="A119" s="5">
        <v>117</v>
      </c>
      <c r="B119" s="5" t="s">
        <v>642</v>
      </c>
      <c r="C119" s="5" t="s">
        <v>561</v>
      </c>
      <c r="D119" s="5" t="s">
        <v>1843</v>
      </c>
      <c r="E119" s="5" t="s">
        <v>562</v>
      </c>
      <c r="F119" s="5" t="s">
        <v>59</v>
      </c>
      <c r="G119" s="5" t="s">
        <v>2296</v>
      </c>
      <c r="H119" s="5" t="s">
        <v>2297</v>
      </c>
      <c r="I119" s="5" t="s">
        <v>2298</v>
      </c>
      <c r="J119" s="5" t="s">
        <v>2299</v>
      </c>
      <c r="K119" s="5" t="s">
        <v>2300</v>
      </c>
      <c r="L119" s="5" t="s">
        <v>648</v>
      </c>
      <c r="M119" s="5" t="s">
        <v>2301</v>
      </c>
    </row>
    <row r="120" spans="1:13" ht="90" customHeight="1" x14ac:dyDescent="0.25">
      <c r="A120" s="5">
        <v>118</v>
      </c>
      <c r="B120" s="5" t="s">
        <v>663</v>
      </c>
      <c r="C120" s="5" t="s">
        <v>561</v>
      </c>
      <c r="D120" s="5" t="s">
        <v>1843</v>
      </c>
      <c r="E120" s="5" t="s">
        <v>570</v>
      </c>
      <c r="F120" s="5" t="s">
        <v>86</v>
      </c>
      <c r="G120" s="5" t="s">
        <v>2302</v>
      </c>
      <c r="H120" s="5" t="s">
        <v>2303</v>
      </c>
      <c r="I120" s="5" t="s">
        <v>2304</v>
      </c>
      <c r="J120" s="5" t="s">
        <v>2305</v>
      </c>
      <c r="K120" s="5" t="s">
        <v>2306</v>
      </c>
      <c r="L120" s="5" t="s">
        <v>669</v>
      </c>
      <c r="M120" s="5" t="s">
        <v>2307</v>
      </c>
    </row>
    <row r="121" spans="1:13" ht="75" customHeight="1" x14ac:dyDescent="0.25">
      <c r="A121" s="5">
        <v>119</v>
      </c>
      <c r="B121" s="5" t="s">
        <v>718</v>
      </c>
      <c r="C121" s="5" t="s">
        <v>681</v>
      </c>
      <c r="D121" s="5" t="s">
        <v>1843</v>
      </c>
      <c r="E121" s="5" t="s">
        <v>682</v>
      </c>
      <c r="F121" s="5" t="s">
        <v>245</v>
      </c>
      <c r="G121" s="5" t="s">
        <v>2308</v>
      </c>
      <c r="H121" s="5" t="s">
        <v>2309</v>
      </c>
      <c r="I121" s="5" t="s">
        <v>2310</v>
      </c>
      <c r="J121" s="5" t="s">
        <v>2311</v>
      </c>
      <c r="K121" s="5" t="s">
        <v>2312</v>
      </c>
      <c r="L121" s="5" t="s">
        <v>724</v>
      </c>
      <c r="M121" s="5" t="s">
        <v>2313</v>
      </c>
    </row>
    <row r="122" spans="1:13" ht="75" customHeight="1" x14ac:dyDescent="0.25">
      <c r="A122" s="5">
        <v>120</v>
      </c>
      <c r="B122" s="5" t="s">
        <v>726</v>
      </c>
      <c r="C122" s="5" t="s">
        <v>681</v>
      </c>
      <c r="D122" s="5" t="s">
        <v>1843</v>
      </c>
      <c r="E122" s="5" t="s">
        <v>682</v>
      </c>
      <c r="F122" s="5" t="s">
        <v>86</v>
      </c>
      <c r="G122" s="5" t="s">
        <v>2314</v>
      </c>
      <c r="H122" s="5" t="s">
        <v>2315</v>
      </c>
      <c r="I122" s="5" t="s">
        <v>2316</v>
      </c>
      <c r="J122" s="5" t="s">
        <v>2317</v>
      </c>
      <c r="K122" s="5" t="s">
        <v>2318</v>
      </c>
      <c r="L122" s="5" t="s">
        <v>732</v>
      </c>
      <c r="M122" s="5" t="s">
        <v>2319</v>
      </c>
    </row>
    <row r="123" spans="1:13" ht="210" customHeight="1" x14ac:dyDescent="0.25">
      <c r="A123" s="5">
        <v>121</v>
      </c>
      <c r="B123" s="5" t="s">
        <v>671</v>
      </c>
      <c r="C123" s="5" t="s">
        <v>561</v>
      </c>
      <c r="D123" s="5" t="s">
        <v>1843</v>
      </c>
      <c r="E123" s="5" t="s">
        <v>672</v>
      </c>
      <c r="F123" s="5" t="s">
        <v>41</v>
      </c>
      <c r="G123" s="5" t="s">
        <v>2320</v>
      </c>
      <c r="H123" s="5" t="s">
        <v>2321</v>
      </c>
      <c r="I123" s="5" t="s">
        <v>674</v>
      </c>
      <c r="J123" s="5" t="s">
        <v>2322</v>
      </c>
      <c r="K123" s="5" t="s">
        <v>2323</v>
      </c>
      <c r="L123" s="5" t="s">
        <v>677</v>
      </c>
      <c r="M123" s="5" t="s">
        <v>2324</v>
      </c>
    </row>
    <row r="124" spans="1:13" ht="180" customHeight="1" x14ac:dyDescent="0.25">
      <c r="A124" s="5">
        <v>122</v>
      </c>
      <c r="B124" s="5" t="s">
        <v>782</v>
      </c>
      <c r="C124" s="5" t="s">
        <v>735</v>
      </c>
      <c r="D124" s="5" t="s">
        <v>1843</v>
      </c>
      <c r="E124" s="5" t="s">
        <v>736</v>
      </c>
      <c r="F124" s="5" t="s">
        <v>245</v>
      </c>
      <c r="G124" s="5" t="s">
        <v>2325</v>
      </c>
      <c r="H124" s="5" t="s">
        <v>2326</v>
      </c>
      <c r="I124" s="5" t="s">
        <v>2327</v>
      </c>
      <c r="J124" s="5" t="s">
        <v>2328</v>
      </c>
      <c r="K124" s="5" t="s">
        <v>2329</v>
      </c>
      <c r="L124" s="5" t="s">
        <v>788</v>
      </c>
      <c r="M124" s="5" t="s">
        <v>2330</v>
      </c>
    </row>
    <row r="125" spans="1:13" ht="120" customHeight="1" x14ac:dyDescent="0.25">
      <c r="A125" s="5">
        <v>123</v>
      </c>
      <c r="B125" s="5" t="s">
        <v>790</v>
      </c>
      <c r="C125" s="5" t="s">
        <v>735</v>
      </c>
      <c r="D125" s="5" t="s">
        <v>1843</v>
      </c>
      <c r="E125" s="5" t="s">
        <v>799</v>
      </c>
      <c r="F125" s="5" t="s">
        <v>23</v>
      </c>
      <c r="G125" s="5" t="s">
        <v>2331</v>
      </c>
      <c r="H125" s="5" t="s">
        <v>2332</v>
      </c>
      <c r="I125" s="5" t="s">
        <v>2333</v>
      </c>
      <c r="J125" s="5" t="s">
        <v>2334</v>
      </c>
      <c r="K125" s="5" t="s">
        <v>2335</v>
      </c>
      <c r="L125" s="5" t="s">
        <v>797</v>
      </c>
      <c r="M125" s="5" t="s">
        <v>2336</v>
      </c>
    </row>
    <row r="126" spans="1:13" ht="90" customHeight="1" x14ac:dyDescent="0.25">
      <c r="A126" s="5">
        <v>124</v>
      </c>
      <c r="B126" s="5" t="s">
        <v>806</v>
      </c>
      <c r="C126" s="5" t="s">
        <v>735</v>
      </c>
      <c r="D126" s="5" t="s">
        <v>1843</v>
      </c>
      <c r="E126" s="5" t="s">
        <v>736</v>
      </c>
      <c r="F126" s="5" t="s">
        <v>86</v>
      </c>
      <c r="G126" s="5" t="s">
        <v>2337</v>
      </c>
      <c r="H126" s="5" t="s">
        <v>2338</v>
      </c>
      <c r="I126" s="5" t="s">
        <v>2339</v>
      </c>
      <c r="J126" s="5" t="s">
        <v>2340</v>
      </c>
      <c r="K126" s="5" t="s">
        <v>2341</v>
      </c>
      <c r="L126" s="5" t="s">
        <v>812</v>
      </c>
      <c r="M126" s="5" t="s">
        <v>2342</v>
      </c>
    </row>
    <row r="127" spans="1:13" ht="210" customHeight="1" x14ac:dyDescent="0.25">
      <c r="A127" s="5">
        <v>125</v>
      </c>
      <c r="B127" s="5" t="s">
        <v>886</v>
      </c>
      <c r="C127" s="5" t="s">
        <v>815</v>
      </c>
      <c r="D127" s="5" t="s">
        <v>1891</v>
      </c>
      <c r="E127" s="5" t="s">
        <v>2343</v>
      </c>
      <c r="F127" s="5" t="s">
        <v>41</v>
      </c>
      <c r="G127" s="5" t="s">
        <v>2344</v>
      </c>
      <c r="H127" s="5" t="s">
        <v>2345</v>
      </c>
      <c r="I127" s="5" t="s">
        <v>2346</v>
      </c>
      <c r="J127" s="5" t="s">
        <v>2347</v>
      </c>
      <c r="K127" s="5" t="s">
        <v>2348</v>
      </c>
      <c r="L127" s="5" t="s">
        <v>891</v>
      </c>
      <c r="M127" s="5" t="s">
        <v>2349</v>
      </c>
    </row>
    <row r="128" spans="1:13" ht="105" customHeight="1" x14ac:dyDescent="0.25">
      <c r="A128" s="5">
        <v>126</v>
      </c>
      <c r="B128" s="5" t="s">
        <v>893</v>
      </c>
      <c r="C128" s="5" t="s">
        <v>815</v>
      </c>
      <c r="D128" s="5" t="s">
        <v>1891</v>
      </c>
      <c r="E128" s="5" t="s">
        <v>823</v>
      </c>
      <c r="F128" s="5" t="s">
        <v>86</v>
      </c>
      <c r="G128" s="5" t="s">
        <v>2350</v>
      </c>
      <c r="H128" s="5" t="s">
        <v>2351</v>
      </c>
      <c r="I128" s="5" t="s">
        <v>2352</v>
      </c>
      <c r="J128" s="5" t="s">
        <v>2353</v>
      </c>
      <c r="K128" s="5" t="s">
        <v>2354</v>
      </c>
      <c r="L128" s="5" t="s">
        <v>899</v>
      </c>
      <c r="M128" s="5" t="s">
        <v>2355</v>
      </c>
    </row>
    <row r="129" spans="1:13" ht="105" customHeight="1" x14ac:dyDescent="0.25">
      <c r="A129" s="5">
        <v>127</v>
      </c>
      <c r="B129" s="5" t="s">
        <v>950</v>
      </c>
      <c r="C129" s="5" t="s">
        <v>902</v>
      </c>
      <c r="D129" s="5" t="s">
        <v>1891</v>
      </c>
      <c r="E129" s="5" t="s">
        <v>951</v>
      </c>
      <c r="F129" s="5" t="s">
        <v>86</v>
      </c>
      <c r="G129" s="5" t="s">
        <v>2356</v>
      </c>
      <c r="H129" s="5" t="s">
        <v>2357</v>
      </c>
      <c r="I129" s="5" t="s">
        <v>2358</v>
      </c>
      <c r="J129" s="5" t="s">
        <v>2359</v>
      </c>
      <c r="K129" s="5" t="s">
        <v>2360</v>
      </c>
      <c r="L129" s="5" t="s">
        <v>957</v>
      </c>
      <c r="M129" s="5" t="s">
        <v>2361</v>
      </c>
    </row>
    <row r="130" spans="1:13" ht="150" customHeight="1" x14ac:dyDescent="0.25">
      <c r="A130" s="5">
        <v>128</v>
      </c>
      <c r="B130" s="5" t="s">
        <v>1026</v>
      </c>
      <c r="C130" s="5" t="s">
        <v>960</v>
      </c>
      <c r="D130" s="5" t="s">
        <v>1923</v>
      </c>
      <c r="E130" s="5" t="s">
        <v>2362</v>
      </c>
      <c r="F130" s="5" t="s">
        <v>86</v>
      </c>
      <c r="G130" s="5" t="s">
        <v>2363</v>
      </c>
      <c r="H130" s="5" t="s">
        <v>2364</v>
      </c>
      <c r="I130" s="5" t="s">
        <v>2365</v>
      </c>
      <c r="J130" s="5" t="s">
        <v>2366</v>
      </c>
      <c r="K130" s="5" t="s">
        <v>2367</v>
      </c>
      <c r="L130" s="5" t="s">
        <v>1033</v>
      </c>
      <c r="M130" s="5" t="s">
        <v>2368</v>
      </c>
    </row>
    <row r="131" spans="1:13" ht="165" customHeight="1" x14ac:dyDescent="0.25">
      <c r="A131" s="5">
        <v>129</v>
      </c>
      <c r="B131" s="5" t="s">
        <v>1036</v>
      </c>
      <c r="C131" s="5" t="s">
        <v>960</v>
      </c>
      <c r="D131" s="5" t="s">
        <v>1923</v>
      </c>
      <c r="E131" s="5" t="s">
        <v>1009</v>
      </c>
      <c r="F131" s="5" t="s">
        <v>86</v>
      </c>
      <c r="G131" s="5" t="s">
        <v>2369</v>
      </c>
      <c r="H131" s="5" t="s">
        <v>2370</v>
      </c>
      <c r="I131" s="5" t="s">
        <v>2371</v>
      </c>
      <c r="J131" s="5" t="s">
        <v>2372</v>
      </c>
      <c r="K131" s="5" t="s">
        <v>2373</v>
      </c>
      <c r="L131" s="5" t="s">
        <v>1042</v>
      </c>
      <c r="M131" s="5" t="s">
        <v>2374</v>
      </c>
    </row>
    <row r="132" spans="1:13" ht="105" customHeight="1" x14ac:dyDescent="0.25">
      <c r="A132" s="5">
        <v>130</v>
      </c>
      <c r="B132" s="5" t="s">
        <v>1044</v>
      </c>
      <c r="C132" s="5" t="s">
        <v>960</v>
      </c>
      <c r="D132" s="5" t="s">
        <v>1923</v>
      </c>
      <c r="E132" s="5" t="s">
        <v>2375</v>
      </c>
      <c r="F132" s="5" t="s">
        <v>86</v>
      </c>
      <c r="G132" s="5" t="s">
        <v>2376</v>
      </c>
      <c r="H132" s="5" t="s">
        <v>2377</v>
      </c>
      <c r="I132" s="5" t="s">
        <v>2378</v>
      </c>
      <c r="J132" s="5" t="s">
        <v>2379</v>
      </c>
      <c r="K132" s="5" t="s">
        <v>2380</v>
      </c>
      <c r="L132" s="5" t="s">
        <v>1050</v>
      </c>
      <c r="M132" s="5" t="s">
        <v>2381</v>
      </c>
    </row>
    <row r="133" spans="1:13" ht="105" customHeight="1" x14ac:dyDescent="0.25">
      <c r="A133" s="5">
        <v>131</v>
      </c>
      <c r="B133" s="5" t="s">
        <v>1052</v>
      </c>
      <c r="C133" s="5" t="s">
        <v>960</v>
      </c>
      <c r="D133" s="5" t="s">
        <v>1923</v>
      </c>
      <c r="E133" s="5" t="s">
        <v>1069</v>
      </c>
      <c r="F133" s="5" t="s">
        <v>23</v>
      </c>
      <c r="G133" s="5" t="s">
        <v>2382</v>
      </c>
      <c r="H133" s="5" t="s">
        <v>2383</v>
      </c>
      <c r="I133" s="5" t="s">
        <v>1054</v>
      </c>
      <c r="J133" s="5" t="s">
        <v>2384</v>
      </c>
      <c r="K133" s="5" t="s">
        <v>2385</v>
      </c>
      <c r="L133" s="5" t="s">
        <v>1058</v>
      </c>
      <c r="M133" s="5" t="s">
        <v>2386</v>
      </c>
    </row>
    <row r="134" spans="1:13" ht="120" customHeight="1" x14ac:dyDescent="0.25">
      <c r="A134" s="5">
        <v>132</v>
      </c>
      <c r="B134" s="5" t="s">
        <v>1068</v>
      </c>
      <c r="C134" s="5" t="s">
        <v>960</v>
      </c>
      <c r="D134" s="5" t="s">
        <v>1923</v>
      </c>
      <c r="E134" s="5" t="s">
        <v>2387</v>
      </c>
      <c r="F134" s="5" t="s">
        <v>23</v>
      </c>
      <c r="G134" s="5" t="s">
        <v>2388</v>
      </c>
      <c r="H134" s="5" t="s">
        <v>2389</v>
      </c>
      <c r="I134" s="5" t="s">
        <v>2390</v>
      </c>
      <c r="J134" s="5" t="s">
        <v>2391</v>
      </c>
      <c r="K134" s="5" t="s">
        <v>2392</v>
      </c>
      <c r="L134" s="5" t="s">
        <v>2393</v>
      </c>
      <c r="M134" s="5" t="s">
        <v>2394</v>
      </c>
    </row>
    <row r="135" spans="1:13" ht="90" customHeight="1" x14ac:dyDescent="0.25">
      <c r="A135" s="5">
        <v>133</v>
      </c>
      <c r="B135" s="5" t="s">
        <v>1083</v>
      </c>
      <c r="C135" s="5" t="s">
        <v>960</v>
      </c>
      <c r="D135" s="5" t="s">
        <v>1923</v>
      </c>
      <c r="E135" s="5" t="s">
        <v>2395</v>
      </c>
      <c r="F135" s="5" t="s">
        <v>23</v>
      </c>
      <c r="G135" s="5" t="s">
        <v>2396</v>
      </c>
      <c r="H135" s="5" t="s">
        <v>2397</v>
      </c>
      <c r="I135" s="5" t="s">
        <v>2398</v>
      </c>
      <c r="J135" s="5" t="s">
        <v>2399</v>
      </c>
      <c r="K135" s="5" t="s">
        <v>2400</v>
      </c>
      <c r="L135" s="5"/>
      <c r="M135" s="5" t="s">
        <v>2401</v>
      </c>
    </row>
    <row r="136" spans="1:13" ht="90" customHeight="1" x14ac:dyDescent="0.25">
      <c r="A136" s="5">
        <v>134</v>
      </c>
      <c r="B136" s="5" t="s">
        <v>1091</v>
      </c>
      <c r="C136" s="5" t="s">
        <v>960</v>
      </c>
      <c r="D136" s="5" t="s">
        <v>1923</v>
      </c>
      <c r="E136" s="5" t="s">
        <v>981</v>
      </c>
      <c r="F136" s="5" t="s">
        <v>86</v>
      </c>
      <c r="G136" s="5" t="s">
        <v>2402</v>
      </c>
      <c r="H136" s="5" t="s">
        <v>2403</v>
      </c>
      <c r="I136" s="5" t="s">
        <v>2404</v>
      </c>
      <c r="J136" s="5" t="s">
        <v>2405</v>
      </c>
      <c r="K136" s="5" t="s">
        <v>2406</v>
      </c>
      <c r="L136" s="5" t="s">
        <v>1097</v>
      </c>
      <c r="M136" s="5" t="s">
        <v>2407</v>
      </c>
    </row>
    <row r="137" spans="1:13" ht="165" customHeight="1" x14ac:dyDescent="0.25">
      <c r="A137" s="5">
        <v>135</v>
      </c>
      <c r="B137" s="5" t="s">
        <v>1099</v>
      </c>
      <c r="C137" s="5" t="s">
        <v>960</v>
      </c>
      <c r="D137" s="5" t="s">
        <v>1923</v>
      </c>
      <c r="E137" s="5" t="s">
        <v>1100</v>
      </c>
      <c r="F137" s="5" t="s">
        <v>23</v>
      </c>
      <c r="G137" s="5" t="s">
        <v>2408</v>
      </c>
      <c r="H137" s="5" t="s">
        <v>2409</v>
      </c>
      <c r="I137" s="5" t="s">
        <v>2410</v>
      </c>
      <c r="J137" s="5" t="s">
        <v>2411</v>
      </c>
      <c r="K137" s="5" t="s">
        <v>2412</v>
      </c>
      <c r="L137" s="5" t="s">
        <v>1106</v>
      </c>
      <c r="M137" s="5" t="s">
        <v>2413</v>
      </c>
    </row>
    <row r="138" spans="1:13" ht="120" customHeight="1" x14ac:dyDescent="0.25">
      <c r="A138" s="5">
        <v>136</v>
      </c>
      <c r="B138" s="5" t="s">
        <v>1108</v>
      </c>
      <c r="C138" s="5" t="s">
        <v>960</v>
      </c>
      <c r="D138" s="5" t="s">
        <v>1923</v>
      </c>
      <c r="E138" s="5" t="s">
        <v>981</v>
      </c>
      <c r="F138" s="5" t="s">
        <v>86</v>
      </c>
      <c r="G138" s="5" t="s">
        <v>2414</v>
      </c>
      <c r="H138" s="5" t="s">
        <v>2415</v>
      </c>
      <c r="I138" s="5" t="s">
        <v>2416</v>
      </c>
      <c r="J138" s="5" t="s">
        <v>2417</v>
      </c>
      <c r="K138" s="5" t="s">
        <v>2418</v>
      </c>
      <c r="L138" s="5" t="s">
        <v>1114</v>
      </c>
      <c r="M138" s="5" t="s">
        <v>2419</v>
      </c>
    </row>
    <row r="139" spans="1:13" ht="165" customHeight="1" x14ac:dyDescent="0.25">
      <c r="A139" s="5">
        <v>137</v>
      </c>
      <c r="B139" s="5" t="s">
        <v>1150</v>
      </c>
      <c r="C139" s="5" t="s">
        <v>1117</v>
      </c>
      <c r="D139" s="5" t="s">
        <v>1923</v>
      </c>
      <c r="E139" s="5" t="s">
        <v>2420</v>
      </c>
      <c r="F139" s="5" t="s">
        <v>86</v>
      </c>
      <c r="G139" s="5" t="s">
        <v>2421</v>
      </c>
      <c r="H139" s="5" t="s">
        <v>2422</v>
      </c>
      <c r="I139" s="5" t="s">
        <v>2423</v>
      </c>
      <c r="J139" s="5" t="s">
        <v>2424</v>
      </c>
      <c r="K139" s="5" t="s">
        <v>2425</v>
      </c>
      <c r="L139" s="5" t="s">
        <v>1157</v>
      </c>
      <c r="M139" s="5" t="s">
        <v>2426</v>
      </c>
    </row>
    <row r="140" spans="1:13" ht="105" customHeight="1" x14ac:dyDescent="0.25">
      <c r="A140" s="5">
        <v>138</v>
      </c>
      <c r="B140" s="5" t="s">
        <v>1159</v>
      </c>
      <c r="C140" s="5" t="s">
        <v>1117</v>
      </c>
      <c r="D140" s="5" t="s">
        <v>1923</v>
      </c>
      <c r="E140" s="5" t="s">
        <v>2427</v>
      </c>
      <c r="F140" s="5" t="s">
        <v>32</v>
      </c>
      <c r="G140" s="5" t="s">
        <v>2428</v>
      </c>
      <c r="H140" s="5" t="s">
        <v>2429</v>
      </c>
      <c r="I140" s="5" t="s">
        <v>2430</v>
      </c>
      <c r="J140" s="5" t="s">
        <v>2431</v>
      </c>
      <c r="K140" s="5" t="s">
        <v>2432</v>
      </c>
      <c r="L140" s="5"/>
      <c r="M140" s="5" t="s">
        <v>2433</v>
      </c>
    </row>
    <row r="141" spans="1:13" ht="90" customHeight="1" x14ac:dyDescent="0.25">
      <c r="A141" s="5">
        <v>139</v>
      </c>
      <c r="B141" s="5" t="s">
        <v>1168</v>
      </c>
      <c r="C141" s="5" t="s">
        <v>1117</v>
      </c>
      <c r="D141" s="5" t="s">
        <v>1923</v>
      </c>
      <c r="E141" s="5" t="s">
        <v>2434</v>
      </c>
      <c r="F141" s="5" t="s">
        <v>86</v>
      </c>
      <c r="G141" s="5" t="s">
        <v>2435</v>
      </c>
      <c r="H141" s="5" t="s">
        <v>2436</v>
      </c>
      <c r="I141" s="5" t="s">
        <v>2437</v>
      </c>
      <c r="J141" s="5" t="s">
        <v>2438</v>
      </c>
      <c r="K141" s="5" t="s">
        <v>2439</v>
      </c>
      <c r="L141" s="5" t="s">
        <v>1175</v>
      </c>
      <c r="M141" s="5" t="s">
        <v>2440</v>
      </c>
    </row>
    <row r="142" spans="1:13" ht="90" customHeight="1" x14ac:dyDescent="0.25">
      <c r="A142" s="5">
        <v>140</v>
      </c>
      <c r="B142" s="5" t="s">
        <v>1178</v>
      </c>
      <c r="C142" s="5" t="s">
        <v>1117</v>
      </c>
      <c r="D142" s="5" t="s">
        <v>1923</v>
      </c>
      <c r="E142" s="5" t="s">
        <v>1179</v>
      </c>
      <c r="F142" s="5" t="s">
        <v>23</v>
      </c>
      <c r="G142" s="5" t="s">
        <v>2441</v>
      </c>
      <c r="H142" s="5" t="s">
        <v>2442</v>
      </c>
      <c r="I142" s="5" t="s">
        <v>2443</v>
      </c>
      <c r="J142" s="5" t="s">
        <v>2444</v>
      </c>
      <c r="K142" s="5" t="s">
        <v>2445</v>
      </c>
      <c r="L142" s="5"/>
      <c r="M142" s="5" t="s">
        <v>2446</v>
      </c>
    </row>
    <row r="143" spans="1:13" ht="150" customHeight="1" x14ac:dyDescent="0.25">
      <c r="A143" s="5">
        <v>141</v>
      </c>
      <c r="B143" s="5" t="s">
        <v>1186</v>
      </c>
      <c r="C143" s="5" t="s">
        <v>1117</v>
      </c>
      <c r="D143" s="5" t="s">
        <v>1923</v>
      </c>
      <c r="E143" s="5" t="s">
        <v>2447</v>
      </c>
      <c r="F143" s="5" t="s">
        <v>86</v>
      </c>
      <c r="G143" s="5" t="s">
        <v>2448</v>
      </c>
      <c r="H143" s="5" t="s">
        <v>2449</v>
      </c>
      <c r="I143" s="5" t="s">
        <v>2450</v>
      </c>
      <c r="J143" s="5" t="s">
        <v>2451</v>
      </c>
      <c r="K143" s="5" t="s">
        <v>2452</v>
      </c>
      <c r="L143" s="5" t="s">
        <v>1193</v>
      </c>
      <c r="M143" s="5" t="s">
        <v>2453</v>
      </c>
    </row>
  </sheetData>
  <autoFilter ref="A2:M95" xr:uid="{00000000-0009-0000-0000-000001000000}">
    <filterColumn colId="2">
      <filters>
        <filter val="SCR-ONB-02"/>
      </filters>
    </filterColumn>
    <filterColumn colId="3">
      <filters>
        <filter val="ONB - Onboarding"/>
      </filters>
    </filterColumn>
  </autoFilter>
  <mergeCells count="1">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R200"/>
  <sheetViews>
    <sheetView showGridLines="0" zoomScaleNormal="100" workbookViewId="0">
      <pane ySplit="2" topLeftCell="A101" activePane="bottomLeft" state="frozen"/>
      <selection pane="bottomLeft" activeCell="A122" sqref="A122:XFD122"/>
    </sheetView>
  </sheetViews>
  <sheetFormatPr defaultColWidth="8.7109375" defaultRowHeight="15" x14ac:dyDescent="0.25"/>
  <cols>
    <col min="1" max="1" width="22" customWidth="1"/>
    <col min="2" max="2" width="20" customWidth="1"/>
    <col min="3" max="3" width="14" customWidth="1"/>
    <col min="4" max="4" width="20" customWidth="1"/>
    <col min="5" max="5" width="12" customWidth="1"/>
    <col min="6" max="6" width="38" customWidth="1"/>
    <col min="7" max="7" width="30" customWidth="1"/>
    <col min="8" max="8" width="48" customWidth="1"/>
    <col min="9" max="9" width="26" customWidth="1"/>
    <col min="10" max="10" width="48" customWidth="1"/>
    <col min="11" max="11" width="10" customWidth="1"/>
    <col min="12" max="12" width="14" customWidth="1"/>
    <col min="13" max="13" width="12" customWidth="1"/>
    <col min="14" max="14" width="10" customWidth="1"/>
    <col min="15" max="16" width="12" customWidth="1"/>
    <col min="17" max="17" width="40" customWidth="1"/>
    <col min="18" max="18" width="50" customWidth="1"/>
  </cols>
  <sheetData>
    <row r="1" spans="1:18" ht="17.25" customHeight="1" x14ac:dyDescent="0.25">
      <c r="A1" s="20" t="s">
        <v>0</v>
      </c>
      <c r="B1" s="21"/>
      <c r="C1" s="21"/>
      <c r="D1" s="21"/>
      <c r="E1" s="21"/>
      <c r="F1" s="21"/>
      <c r="G1" s="21"/>
      <c r="H1" s="21"/>
      <c r="I1" s="21"/>
      <c r="J1" s="21"/>
      <c r="K1" s="21"/>
      <c r="L1" s="21"/>
      <c r="M1" s="21"/>
      <c r="N1" s="21"/>
      <c r="O1" s="21"/>
      <c r="P1" s="21"/>
      <c r="Q1" s="21"/>
      <c r="R1" s="21"/>
    </row>
    <row r="2" spans="1:18" ht="27.75" customHeight="1" x14ac:dyDescent="0.25">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row>
    <row r="3" spans="1:18" ht="69.75" hidden="1" customHeight="1" x14ac:dyDescent="0.25">
      <c r="A3" s="17" t="s">
        <v>19</v>
      </c>
      <c r="B3" s="17" t="s">
        <v>20</v>
      </c>
      <c r="C3" s="17" t="s">
        <v>21</v>
      </c>
      <c r="D3" s="17" t="s">
        <v>22</v>
      </c>
      <c r="E3" s="17" t="s">
        <v>23</v>
      </c>
      <c r="F3" s="17" t="s">
        <v>24</v>
      </c>
      <c r="G3" s="17" t="s">
        <v>25</v>
      </c>
      <c r="H3" s="17" t="s">
        <v>26</v>
      </c>
      <c r="I3" s="17" t="s">
        <v>27</v>
      </c>
      <c r="J3" s="17" t="s">
        <v>28</v>
      </c>
      <c r="K3" s="17" t="s">
        <v>29</v>
      </c>
      <c r="L3" s="18"/>
      <c r="M3" s="18" t="s">
        <v>30</v>
      </c>
      <c r="N3" s="18"/>
      <c r="O3" s="18"/>
      <c r="P3" s="17"/>
      <c r="Q3" s="17"/>
      <c r="R3" s="17"/>
    </row>
    <row r="4" spans="1:18" ht="69.75" hidden="1" customHeight="1" x14ac:dyDescent="0.25">
      <c r="A4" s="17" t="s">
        <v>31</v>
      </c>
      <c r="B4" s="17" t="s">
        <v>20</v>
      </c>
      <c r="C4" s="17" t="s">
        <v>21</v>
      </c>
      <c r="D4" s="17" t="s">
        <v>22</v>
      </c>
      <c r="E4" s="17" t="s">
        <v>32</v>
      </c>
      <c r="F4" s="17" t="s">
        <v>33</v>
      </c>
      <c r="G4" s="17" t="s">
        <v>34</v>
      </c>
      <c r="H4" s="17" t="s">
        <v>35</v>
      </c>
      <c r="I4" s="17" t="s">
        <v>36</v>
      </c>
      <c r="J4" s="17" t="s">
        <v>37</v>
      </c>
      <c r="K4" s="17" t="s">
        <v>38</v>
      </c>
      <c r="L4" s="18"/>
      <c r="M4" s="18" t="s">
        <v>30</v>
      </c>
      <c r="N4" s="18"/>
      <c r="O4" s="18"/>
      <c r="P4" s="17"/>
      <c r="Q4" s="17"/>
      <c r="R4" s="17"/>
    </row>
    <row r="5" spans="1:18" ht="69.75" hidden="1" customHeight="1" x14ac:dyDescent="0.25">
      <c r="A5" s="17" t="s">
        <v>39</v>
      </c>
      <c r="B5" s="17" t="s">
        <v>40</v>
      </c>
      <c r="C5" s="17" t="s">
        <v>21</v>
      </c>
      <c r="D5" s="17" t="s">
        <v>22</v>
      </c>
      <c r="E5" s="17" t="s">
        <v>41</v>
      </c>
      <c r="F5" s="17" t="s">
        <v>42</v>
      </c>
      <c r="G5" s="17" t="s">
        <v>43</v>
      </c>
      <c r="H5" s="17" t="s">
        <v>44</v>
      </c>
      <c r="I5" s="17" t="s">
        <v>45</v>
      </c>
      <c r="J5" s="17" t="s">
        <v>46</v>
      </c>
      <c r="K5" s="17" t="s">
        <v>38</v>
      </c>
      <c r="L5" s="18"/>
      <c r="M5" s="18" t="s">
        <v>30</v>
      </c>
      <c r="N5" s="18"/>
      <c r="O5" s="18"/>
      <c r="P5" s="17"/>
      <c r="Q5" s="17"/>
      <c r="R5" s="17"/>
    </row>
    <row r="6" spans="1:18" ht="69.75" hidden="1" customHeight="1" x14ac:dyDescent="0.25">
      <c r="A6" s="17" t="s">
        <v>47</v>
      </c>
      <c r="B6" s="17" t="s">
        <v>48</v>
      </c>
      <c r="C6" s="17" t="s">
        <v>49</v>
      </c>
      <c r="D6" s="17" t="s">
        <v>50</v>
      </c>
      <c r="E6" s="17" t="s">
        <v>23</v>
      </c>
      <c r="F6" s="17" t="s">
        <v>51</v>
      </c>
      <c r="G6" s="17" t="s">
        <v>52</v>
      </c>
      <c r="H6" s="17" t="s">
        <v>53</v>
      </c>
      <c r="I6" s="17" t="s">
        <v>54</v>
      </c>
      <c r="J6" s="17" t="s">
        <v>55</v>
      </c>
      <c r="K6" s="17" t="s">
        <v>29</v>
      </c>
      <c r="L6" s="18"/>
      <c r="M6" s="18" t="s">
        <v>30</v>
      </c>
      <c r="N6" s="18"/>
      <c r="O6" s="18"/>
      <c r="P6" s="17"/>
      <c r="Q6" s="17"/>
      <c r="R6" s="17" t="s">
        <v>56</v>
      </c>
    </row>
    <row r="7" spans="1:18" ht="69.75" hidden="1" customHeight="1" x14ac:dyDescent="0.25">
      <c r="A7" s="17" t="s">
        <v>57</v>
      </c>
      <c r="B7" s="17" t="s">
        <v>58</v>
      </c>
      <c r="C7" s="17" t="s">
        <v>49</v>
      </c>
      <c r="D7" s="17" t="s">
        <v>50</v>
      </c>
      <c r="E7" s="17" t="s">
        <v>59</v>
      </c>
      <c r="F7" s="17" t="s">
        <v>60</v>
      </c>
      <c r="G7" s="17" t="s">
        <v>61</v>
      </c>
      <c r="H7" s="17" t="s">
        <v>62</v>
      </c>
      <c r="I7" s="17" t="s">
        <v>63</v>
      </c>
      <c r="J7" s="17" t="s">
        <v>64</v>
      </c>
      <c r="K7" s="17" t="s">
        <v>29</v>
      </c>
      <c r="L7" s="18"/>
      <c r="M7" s="18" t="s">
        <v>30</v>
      </c>
      <c r="N7" s="18"/>
      <c r="O7" s="18"/>
      <c r="P7" s="17"/>
      <c r="Q7" s="17"/>
      <c r="R7" s="17" t="s">
        <v>65</v>
      </c>
    </row>
    <row r="8" spans="1:18" ht="69.75" hidden="1" customHeight="1" x14ac:dyDescent="0.25">
      <c r="A8" s="17" t="s">
        <v>66</v>
      </c>
      <c r="B8" s="17" t="s">
        <v>67</v>
      </c>
      <c r="C8" s="17" t="s">
        <v>49</v>
      </c>
      <c r="D8" s="17" t="s">
        <v>50</v>
      </c>
      <c r="E8" s="17" t="s">
        <v>23</v>
      </c>
      <c r="F8" s="17" t="s">
        <v>68</v>
      </c>
      <c r="G8" s="17" t="s">
        <v>69</v>
      </c>
      <c r="H8" s="17" t="s">
        <v>70</v>
      </c>
      <c r="I8" s="17" t="s">
        <v>71</v>
      </c>
      <c r="J8" s="17" t="s">
        <v>72</v>
      </c>
      <c r="K8" s="17" t="s">
        <v>38</v>
      </c>
      <c r="L8" s="18"/>
      <c r="M8" s="18" t="s">
        <v>30</v>
      </c>
      <c r="N8" s="18"/>
      <c r="O8" s="18"/>
      <c r="P8" s="17"/>
      <c r="Q8" s="17" t="s">
        <v>73</v>
      </c>
      <c r="R8" s="17"/>
    </row>
    <row r="9" spans="1:18" ht="69.75" hidden="1" customHeight="1" x14ac:dyDescent="0.25">
      <c r="A9" s="19" t="s">
        <v>74</v>
      </c>
      <c r="B9" s="19" t="s">
        <v>75</v>
      </c>
      <c r="C9" s="19" t="s">
        <v>49</v>
      </c>
      <c r="D9" s="19" t="s">
        <v>76</v>
      </c>
      <c r="E9" s="19" t="s">
        <v>23</v>
      </c>
      <c r="F9" s="19" t="s">
        <v>77</v>
      </c>
      <c r="G9" s="19" t="s">
        <v>78</v>
      </c>
      <c r="H9" s="19" t="s">
        <v>79</v>
      </c>
      <c r="I9" s="19" t="s">
        <v>80</v>
      </c>
      <c r="J9" s="19" t="s">
        <v>81</v>
      </c>
      <c r="K9" s="19" t="s">
        <v>38</v>
      </c>
      <c r="L9" s="18"/>
      <c r="M9" s="18" t="s">
        <v>30</v>
      </c>
      <c r="N9" s="18"/>
      <c r="O9" s="18"/>
      <c r="P9" s="19" t="s">
        <v>82</v>
      </c>
      <c r="Q9" s="19" t="s">
        <v>83</v>
      </c>
      <c r="R9" s="17"/>
    </row>
    <row r="10" spans="1:18" ht="69.75" hidden="1" customHeight="1" x14ac:dyDescent="0.25">
      <c r="A10" s="19" t="s">
        <v>84</v>
      </c>
      <c r="B10" s="19" t="s">
        <v>85</v>
      </c>
      <c r="C10" s="19" t="s">
        <v>49</v>
      </c>
      <c r="D10" s="19" t="s">
        <v>50</v>
      </c>
      <c r="E10" s="19" t="s">
        <v>86</v>
      </c>
      <c r="F10" s="19" t="s">
        <v>87</v>
      </c>
      <c r="G10" s="19" t="s">
        <v>88</v>
      </c>
      <c r="H10" s="19" t="s">
        <v>89</v>
      </c>
      <c r="I10" s="19" t="s">
        <v>90</v>
      </c>
      <c r="J10" s="19" t="s">
        <v>91</v>
      </c>
      <c r="K10" s="19" t="s">
        <v>38</v>
      </c>
      <c r="L10" s="18"/>
      <c r="M10" s="18" t="s">
        <v>30</v>
      </c>
      <c r="N10" s="18"/>
      <c r="O10" s="18"/>
      <c r="P10" s="19" t="s">
        <v>92</v>
      </c>
      <c r="Q10" s="19" t="s">
        <v>93</v>
      </c>
      <c r="R10" s="17"/>
    </row>
    <row r="11" spans="1:18" ht="69.75" hidden="1" customHeight="1" x14ac:dyDescent="0.25">
      <c r="A11" s="17" t="s">
        <v>94</v>
      </c>
      <c r="B11" s="17" t="s">
        <v>95</v>
      </c>
      <c r="C11" s="17" t="s">
        <v>96</v>
      </c>
      <c r="D11" s="17" t="s">
        <v>97</v>
      </c>
      <c r="E11" s="17" t="s">
        <v>23</v>
      </c>
      <c r="F11" s="17" t="s">
        <v>98</v>
      </c>
      <c r="G11" s="17" t="s">
        <v>99</v>
      </c>
      <c r="H11" s="17" t="s">
        <v>100</v>
      </c>
      <c r="I11" s="17" t="s">
        <v>101</v>
      </c>
      <c r="J11" s="17" t="s">
        <v>102</v>
      </c>
      <c r="K11" s="17" t="s">
        <v>29</v>
      </c>
      <c r="L11" s="18"/>
      <c r="M11" s="18" t="s">
        <v>30</v>
      </c>
      <c r="N11" s="18"/>
      <c r="O11" s="18"/>
      <c r="P11" s="17"/>
      <c r="Q11" s="17"/>
      <c r="R11" s="17"/>
    </row>
    <row r="12" spans="1:18" ht="69.75" hidden="1" customHeight="1" x14ac:dyDescent="0.25">
      <c r="A12" s="17" t="s">
        <v>103</v>
      </c>
      <c r="B12" s="17" t="s">
        <v>104</v>
      </c>
      <c r="C12" s="17" t="s">
        <v>96</v>
      </c>
      <c r="D12" s="17" t="s">
        <v>97</v>
      </c>
      <c r="E12" s="17" t="s">
        <v>32</v>
      </c>
      <c r="F12" s="17" t="s">
        <v>105</v>
      </c>
      <c r="G12" s="17" t="s">
        <v>106</v>
      </c>
      <c r="H12" s="17" t="s">
        <v>107</v>
      </c>
      <c r="I12" s="17" t="s">
        <v>108</v>
      </c>
      <c r="J12" s="17" t="s">
        <v>109</v>
      </c>
      <c r="K12" s="17" t="s">
        <v>29</v>
      </c>
      <c r="L12" s="18"/>
      <c r="M12" s="18" t="s">
        <v>30</v>
      </c>
      <c r="N12" s="18"/>
      <c r="O12" s="18"/>
      <c r="P12" s="17"/>
      <c r="Q12" s="17"/>
      <c r="R12" s="17"/>
    </row>
    <row r="13" spans="1:18" ht="69.75" hidden="1" customHeight="1" x14ac:dyDescent="0.25">
      <c r="A13" s="17" t="s">
        <v>110</v>
      </c>
      <c r="B13" s="17" t="s">
        <v>111</v>
      </c>
      <c r="C13" s="17" t="s">
        <v>96</v>
      </c>
      <c r="D13" s="17" t="s">
        <v>97</v>
      </c>
      <c r="E13" s="17" t="s">
        <v>23</v>
      </c>
      <c r="F13" s="17" t="s">
        <v>112</v>
      </c>
      <c r="G13" s="17" t="s">
        <v>113</v>
      </c>
      <c r="H13" s="17" t="s">
        <v>114</v>
      </c>
      <c r="I13" s="17" t="s">
        <v>115</v>
      </c>
      <c r="J13" s="17" t="s">
        <v>116</v>
      </c>
      <c r="K13" s="17" t="s">
        <v>117</v>
      </c>
      <c r="L13" s="18"/>
      <c r="M13" s="18" t="s">
        <v>30</v>
      </c>
      <c r="N13" s="18"/>
      <c r="O13" s="18"/>
      <c r="P13" s="17"/>
      <c r="Q13" s="17"/>
      <c r="R13" s="17" t="s">
        <v>118</v>
      </c>
    </row>
    <row r="14" spans="1:18" ht="69.75" hidden="1" customHeight="1" x14ac:dyDescent="0.25">
      <c r="A14" s="19" t="s">
        <v>119</v>
      </c>
      <c r="B14" s="19" t="s">
        <v>120</v>
      </c>
      <c r="C14" s="19" t="s">
        <v>96</v>
      </c>
      <c r="D14" s="19" t="s">
        <v>97</v>
      </c>
      <c r="E14" s="19" t="s">
        <v>86</v>
      </c>
      <c r="F14" s="19" t="s">
        <v>121</v>
      </c>
      <c r="G14" s="19" t="s">
        <v>122</v>
      </c>
      <c r="H14" s="19" t="s">
        <v>123</v>
      </c>
      <c r="I14" s="19" t="s">
        <v>124</v>
      </c>
      <c r="J14" s="19" t="s">
        <v>125</v>
      </c>
      <c r="K14" s="19" t="s">
        <v>38</v>
      </c>
      <c r="L14" s="18"/>
      <c r="M14" s="18" t="s">
        <v>30</v>
      </c>
      <c r="N14" s="18"/>
      <c r="O14" s="18"/>
      <c r="P14" s="19" t="s">
        <v>126</v>
      </c>
      <c r="Q14" s="19" t="s">
        <v>127</v>
      </c>
      <c r="R14" s="17"/>
    </row>
    <row r="15" spans="1:18" ht="69.75" hidden="1" customHeight="1" x14ac:dyDescent="0.25">
      <c r="A15" s="19" t="s">
        <v>128</v>
      </c>
      <c r="B15" s="19" t="s">
        <v>129</v>
      </c>
      <c r="C15" s="19" t="s">
        <v>96</v>
      </c>
      <c r="D15" s="19" t="s">
        <v>97</v>
      </c>
      <c r="E15" s="19" t="s">
        <v>32</v>
      </c>
      <c r="F15" s="19" t="s">
        <v>130</v>
      </c>
      <c r="G15" s="19" t="s">
        <v>131</v>
      </c>
      <c r="H15" s="19" t="s">
        <v>132</v>
      </c>
      <c r="I15" s="19" t="s">
        <v>133</v>
      </c>
      <c r="J15" s="19" t="s">
        <v>134</v>
      </c>
      <c r="K15" s="19" t="s">
        <v>38</v>
      </c>
      <c r="L15" s="18"/>
      <c r="M15" s="18" t="s">
        <v>30</v>
      </c>
      <c r="N15" s="18"/>
      <c r="O15" s="18"/>
      <c r="P15" s="19" t="s">
        <v>135</v>
      </c>
      <c r="Q15" s="19" t="s">
        <v>136</v>
      </c>
      <c r="R15" s="17"/>
    </row>
    <row r="16" spans="1:18" ht="69.75" hidden="1" customHeight="1" x14ac:dyDescent="0.25">
      <c r="A16" s="19" t="s">
        <v>137</v>
      </c>
      <c r="B16" s="19" t="s">
        <v>138</v>
      </c>
      <c r="C16" s="19" t="s">
        <v>96</v>
      </c>
      <c r="D16" s="19" t="s">
        <v>97</v>
      </c>
      <c r="E16" s="19" t="s">
        <v>23</v>
      </c>
      <c r="F16" s="19" t="s">
        <v>139</v>
      </c>
      <c r="G16" s="19" t="s">
        <v>122</v>
      </c>
      <c r="H16" s="19" t="s">
        <v>140</v>
      </c>
      <c r="I16" s="19" t="s">
        <v>141</v>
      </c>
      <c r="J16" s="19" t="s">
        <v>142</v>
      </c>
      <c r="K16" s="19" t="s">
        <v>38</v>
      </c>
      <c r="L16" s="18"/>
      <c r="M16" s="18" t="s">
        <v>30</v>
      </c>
      <c r="N16" s="18"/>
      <c r="O16" s="18"/>
      <c r="P16" s="19" t="s">
        <v>143</v>
      </c>
      <c r="Q16" s="19" t="s">
        <v>93</v>
      </c>
      <c r="R16" s="17"/>
    </row>
    <row r="17" spans="1:18" ht="69.75" hidden="1" customHeight="1" x14ac:dyDescent="0.25">
      <c r="A17" s="19" t="s">
        <v>144</v>
      </c>
      <c r="B17" s="19" t="s">
        <v>145</v>
      </c>
      <c r="C17" s="19" t="s">
        <v>96</v>
      </c>
      <c r="D17" s="19" t="s">
        <v>97</v>
      </c>
      <c r="E17" s="19" t="s">
        <v>86</v>
      </c>
      <c r="F17" s="19" t="s">
        <v>146</v>
      </c>
      <c r="G17" s="19" t="s">
        <v>147</v>
      </c>
      <c r="H17" s="19" t="s">
        <v>148</v>
      </c>
      <c r="I17" s="19" t="s">
        <v>90</v>
      </c>
      <c r="J17" s="19" t="s">
        <v>149</v>
      </c>
      <c r="K17" s="19" t="s">
        <v>29</v>
      </c>
      <c r="L17" s="18"/>
      <c r="M17" s="18" t="s">
        <v>30</v>
      </c>
      <c r="N17" s="18"/>
      <c r="O17" s="18"/>
      <c r="P17" s="19" t="s">
        <v>92</v>
      </c>
      <c r="Q17" s="19" t="s">
        <v>150</v>
      </c>
      <c r="R17" s="17"/>
    </row>
    <row r="18" spans="1:18" ht="69.75" hidden="1" customHeight="1" x14ac:dyDescent="0.25">
      <c r="A18" s="19" t="s">
        <v>151</v>
      </c>
      <c r="B18" s="19" t="s">
        <v>152</v>
      </c>
      <c r="C18" s="19" t="s">
        <v>153</v>
      </c>
      <c r="D18" s="19" t="s">
        <v>154</v>
      </c>
      <c r="E18" s="19" t="s">
        <v>23</v>
      </c>
      <c r="F18" s="19" t="s">
        <v>155</v>
      </c>
      <c r="G18" s="19" t="s">
        <v>156</v>
      </c>
      <c r="H18" s="19" t="s">
        <v>157</v>
      </c>
      <c r="I18" s="19" t="s">
        <v>158</v>
      </c>
      <c r="J18" s="19" t="s">
        <v>159</v>
      </c>
      <c r="K18" s="19" t="s">
        <v>117</v>
      </c>
      <c r="L18" s="18"/>
      <c r="M18" s="18" t="s">
        <v>30</v>
      </c>
      <c r="N18" s="18"/>
      <c r="O18" s="18"/>
      <c r="P18" s="19" t="s">
        <v>160</v>
      </c>
      <c r="Q18" s="19" t="s">
        <v>161</v>
      </c>
      <c r="R18" s="17"/>
    </row>
    <row r="19" spans="1:18" ht="69.75" hidden="1" customHeight="1" x14ac:dyDescent="0.25">
      <c r="A19" s="17" t="s">
        <v>162</v>
      </c>
      <c r="B19" s="17" t="s">
        <v>163</v>
      </c>
      <c r="C19" s="17" t="s">
        <v>153</v>
      </c>
      <c r="D19" s="17" t="s">
        <v>164</v>
      </c>
      <c r="E19" s="17" t="s">
        <v>23</v>
      </c>
      <c r="F19" s="17" t="s">
        <v>165</v>
      </c>
      <c r="G19" s="17" t="s">
        <v>166</v>
      </c>
      <c r="H19" s="17" t="s">
        <v>167</v>
      </c>
      <c r="I19" s="17" t="s">
        <v>168</v>
      </c>
      <c r="J19" s="17" t="s">
        <v>169</v>
      </c>
      <c r="K19" s="17" t="s">
        <v>38</v>
      </c>
      <c r="L19" s="18"/>
      <c r="M19" s="18" t="s">
        <v>30</v>
      </c>
      <c r="N19" s="18"/>
      <c r="O19" s="18"/>
      <c r="P19" s="17"/>
      <c r="Q19" s="17"/>
      <c r="R19" s="17"/>
    </row>
    <row r="20" spans="1:18" ht="69.75" hidden="1" customHeight="1" x14ac:dyDescent="0.25">
      <c r="A20" s="19" t="s">
        <v>170</v>
      </c>
      <c r="B20" s="19" t="s">
        <v>171</v>
      </c>
      <c r="C20" s="19" t="s">
        <v>153</v>
      </c>
      <c r="D20" s="19" t="s">
        <v>154</v>
      </c>
      <c r="E20" s="19" t="s">
        <v>86</v>
      </c>
      <c r="F20" s="19" t="s">
        <v>172</v>
      </c>
      <c r="G20" s="19" t="s">
        <v>173</v>
      </c>
      <c r="H20" s="19" t="s">
        <v>174</v>
      </c>
      <c r="I20" s="19" t="s">
        <v>90</v>
      </c>
      <c r="J20" s="19" t="s">
        <v>175</v>
      </c>
      <c r="K20" s="19" t="s">
        <v>117</v>
      </c>
      <c r="L20" s="18"/>
      <c r="M20" s="18" t="s">
        <v>30</v>
      </c>
      <c r="N20" s="18"/>
      <c r="O20" s="18"/>
      <c r="P20" s="19" t="s">
        <v>176</v>
      </c>
      <c r="Q20" s="19" t="s">
        <v>93</v>
      </c>
      <c r="R20" s="17"/>
    </row>
    <row r="21" spans="1:18" ht="69.75" hidden="1" customHeight="1" x14ac:dyDescent="0.25">
      <c r="A21" s="17" t="s">
        <v>177</v>
      </c>
      <c r="B21" s="17" t="s">
        <v>178</v>
      </c>
      <c r="C21" s="17" t="s">
        <v>179</v>
      </c>
      <c r="D21" s="17" t="s">
        <v>180</v>
      </c>
      <c r="E21" s="17" t="s">
        <v>23</v>
      </c>
      <c r="F21" s="17" t="s">
        <v>181</v>
      </c>
      <c r="G21" s="17" t="s">
        <v>182</v>
      </c>
      <c r="H21" s="17" t="s">
        <v>183</v>
      </c>
      <c r="I21" s="17" t="s">
        <v>184</v>
      </c>
      <c r="J21" s="17" t="s">
        <v>185</v>
      </c>
      <c r="K21" s="17" t="s">
        <v>29</v>
      </c>
      <c r="L21" s="18"/>
      <c r="M21" s="18" t="s">
        <v>30</v>
      </c>
      <c r="N21" s="18"/>
      <c r="O21" s="18"/>
      <c r="P21" s="17"/>
      <c r="Q21" s="17"/>
      <c r="R21" s="17"/>
    </row>
    <row r="22" spans="1:18" ht="69.75" hidden="1" customHeight="1" x14ac:dyDescent="0.25">
      <c r="A22" s="17" t="s">
        <v>186</v>
      </c>
      <c r="B22" s="17" t="s">
        <v>187</v>
      </c>
      <c r="C22" s="17" t="s">
        <v>179</v>
      </c>
      <c r="D22" s="17" t="s">
        <v>180</v>
      </c>
      <c r="E22" s="17" t="s">
        <v>23</v>
      </c>
      <c r="F22" s="17" t="s">
        <v>188</v>
      </c>
      <c r="G22" s="17" t="s">
        <v>189</v>
      </c>
      <c r="H22" s="17" t="s">
        <v>190</v>
      </c>
      <c r="I22" s="17" t="s">
        <v>191</v>
      </c>
      <c r="J22" s="17" t="s">
        <v>192</v>
      </c>
      <c r="K22" s="17" t="s">
        <v>38</v>
      </c>
      <c r="L22" s="18"/>
      <c r="M22" s="18" t="s">
        <v>30</v>
      </c>
      <c r="N22" s="18"/>
      <c r="O22" s="18"/>
      <c r="P22" s="17"/>
      <c r="Q22" s="17"/>
      <c r="R22" s="17"/>
    </row>
    <row r="23" spans="1:18" ht="69.75" hidden="1" customHeight="1" x14ac:dyDescent="0.25">
      <c r="A23" s="17" t="s">
        <v>193</v>
      </c>
      <c r="B23" s="17" t="s">
        <v>194</v>
      </c>
      <c r="C23" s="17" t="s">
        <v>179</v>
      </c>
      <c r="D23" s="17" t="s">
        <v>195</v>
      </c>
      <c r="E23" s="17" t="s">
        <v>23</v>
      </c>
      <c r="F23" s="17" t="s">
        <v>196</v>
      </c>
      <c r="G23" s="17" t="s">
        <v>197</v>
      </c>
      <c r="H23" s="17" t="s">
        <v>198</v>
      </c>
      <c r="I23" s="17" t="s">
        <v>199</v>
      </c>
      <c r="J23" s="17" t="s">
        <v>200</v>
      </c>
      <c r="K23" s="17" t="s">
        <v>117</v>
      </c>
      <c r="L23" s="18"/>
      <c r="M23" s="18" t="s">
        <v>30</v>
      </c>
      <c r="N23" s="18"/>
      <c r="O23" s="18"/>
      <c r="P23" s="17"/>
      <c r="Q23" s="17"/>
      <c r="R23" s="17"/>
    </row>
    <row r="24" spans="1:18" ht="69.75" hidden="1" customHeight="1" x14ac:dyDescent="0.25">
      <c r="A24" s="19" t="s">
        <v>201</v>
      </c>
      <c r="B24" s="19" t="s">
        <v>194</v>
      </c>
      <c r="C24" s="19" t="s">
        <v>179</v>
      </c>
      <c r="D24" s="19" t="s">
        <v>195</v>
      </c>
      <c r="E24" s="19" t="s">
        <v>32</v>
      </c>
      <c r="F24" s="19" t="s">
        <v>202</v>
      </c>
      <c r="G24" s="19" t="s">
        <v>203</v>
      </c>
      <c r="H24" s="19" t="s">
        <v>204</v>
      </c>
      <c r="I24" s="19" t="s">
        <v>205</v>
      </c>
      <c r="J24" s="19" t="s">
        <v>206</v>
      </c>
      <c r="K24" s="19" t="s">
        <v>38</v>
      </c>
      <c r="L24" s="18"/>
      <c r="M24" s="18" t="s">
        <v>30</v>
      </c>
      <c r="N24" s="18"/>
      <c r="O24" s="18"/>
      <c r="P24" s="19" t="s">
        <v>207</v>
      </c>
      <c r="Q24" s="19" t="s">
        <v>208</v>
      </c>
      <c r="R24" s="17"/>
    </row>
    <row r="25" spans="1:18" ht="69.75" hidden="1" customHeight="1" x14ac:dyDescent="0.25">
      <c r="A25" s="17" t="s">
        <v>209</v>
      </c>
      <c r="B25" s="17" t="s">
        <v>210</v>
      </c>
      <c r="C25" s="17" t="s">
        <v>179</v>
      </c>
      <c r="D25" s="17" t="s">
        <v>180</v>
      </c>
      <c r="E25" s="17" t="s">
        <v>59</v>
      </c>
      <c r="F25" s="17" t="s">
        <v>211</v>
      </c>
      <c r="G25" s="17" t="s">
        <v>212</v>
      </c>
      <c r="H25" s="17" t="s">
        <v>213</v>
      </c>
      <c r="I25" s="17" t="s">
        <v>214</v>
      </c>
      <c r="J25" s="17" t="s">
        <v>215</v>
      </c>
      <c r="K25" s="17" t="s">
        <v>38</v>
      </c>
      <c r="L25" s="18"/>
      <c r="M25" s="18" t="s">
        <v>30</v>
      </c>
      <c r="N25" s="18"/>
      <c r="O25" s="18"/>
      <c r="P25" s="17"/>
      <c r="Q25" s="17" t="s">
        <v>216</v>
      </c>
      <c r="R25" s="17"/>
    </row>
    <row r="26" spans="1:18" ht="69.75" hidden="1" customHeight="1" x14ac:dyDescent="0.25">
      <c r="A26" s="19" t="s">
        <v>217</v>
      </c>
      <c r="B26" s="19" t="s">
        <v>210</v>
      </c>
      <c r="C26" s="19" t="s">
        <v>179</v>
      </c>
      <c r="D26" s="19" t="s">
        <v>180</v>
      </c>
      <c r="E26" s="19" t="s">
        <v>32</v>
      </c>
      <c r="F26" s="19" t="s">
        <v>218</v>
      </c>
      <c r="G26" s="19" t="s">
        <v>219</v>
      </c>
      <c r="H26" s="19" t="s">
        <v>220</v>
      </c>
      <c r="I26" s="19" t="s">
        <v>221</v>
      </c>
      <c r="J26" s="19" t="s">
        <v>222</v>
      </c>
      <c r="K26" s="19" t="s">
        <v>38</v>
      </c>
      <c r="L26" s="18"/>
      <c r="M26" s="18" t="s">
        <v>30</v>
      </c>
      <c r="N26" s="18"/>
      <c r="O26" s="18"/>
      <c r="P26" s="19" t="s">
        <v>223</v>
      </c>
      <c r="Q26" s="19" t="s">
        <v>208</v>
      </c>
      <c r="R26" s="17"/>
    </row>
    <row r="27" spans="1:18" ht="69.75" hidden="1" customHeight="1" x14ac:dyDescent="0.25">
      <c r="A27" s="17" t="s">
        <v>224</v>
      </c>
      <c r="B27" s="17" t="s">
        <v>225</v>
      </c>
      <c r="C27" s="17" t="s">
        <v>179</v>
      </c>
      <c r="D27" s="17" t="s">
        <v>226</v>
      </c>
      <c r="E27" s="17" t="s">
        <v>41</v>
      </c>
      <c r="F27" s="17" t="s">
        <v>227</v>
      </c>
      <c r="G27" s="17" t="s">
        <v>228</v>
      </c>
      <c r="H27" s="17" t="s">
        <v>229</v>
      </c>
      <c r="I27" s="17" t="s">
        <v>230</v>
      </c>
      <c r="J27" s="17" t="s">
        <v>231</v>
      </c>
      <c r="K27" s="17" t="s">
        <v>117</v>
      </c>
      <c r="L27" s="18"/>
      <c r="M27" s="18" t="s">
        <v>30</v>
      </c>
      <c r="N27" s="18"/>
      <c r="O27" s="18"/>
      <c r="P27" s="17"/>
      <c r="Q27" s="17" t="s">
        <v>208</v>
      </c>
      <c r="R27" s="17"/>
    </row>
    <row r="28" spans="1:18" ht="69.75" hidden="1" customHeight="1" x14ac:dyDescent="0.25">
      <c r="A28" s="17" t="s">
        <v>232</v>
      </c>
      <c r="B28" s="17" t="s">
        <v>233</v>
      </c>
      <c r="C28" s="17" t="s">
        <v>234</v>
      </c>
      <c r="D28" s="17" t="s">
        <v>235</v>
      </c>
      <c r="E28" s="17" t="s">
        <v>23</v>
      </c>
      <c r="F28" s="17" t="s">
        <v>236</v>
      </c>
      <c r="G28" s="17" t="s">
        <v>237</v>
      </c>
      <c r="H28" s="17" t="s">
        <v>238</v>
      </c>
      <c r="I28" s="17" t="s">
        <v>239</v>
      </c>
      <c r="J28" s="17" t="s">
        <v>240</v>
      </c>
      <c r="K28" s="17" t="s">
        <v>29</v>
      </c>
      <c r="L28" s="18"/>
      <c r="M28" s="18" t="s">
        <v>30</v>
      </c>
      <c r="N28" s="18"/>
      <c r="O28" s="18"/>
      <c r="P28" s="17"/>
      <c r="Q28" s="17"/>
      <c r="R28" s="17" t="s">
        <v>241</v>
      </c>
    </row>
    <row r="29" spans="1:18" ht="69.75" hidden="1" customHeight="1" x14ac:dyDescent="0.25">
      <c r="A29" s="17" t="s">
        <v>242</v>
      </c>
      <c r="B29" s="17" t="s">
        <v>243</v>
      </c>
      <c r="C29" s="17" t="s">
        <v>234</v>
      </c>
      <c r="D29" s="17" t="s">
        <v>244</v>
      </c>
      <c r="E29" s="17" t="s">
        <v>245</v>
      </c>
      <c r="F29" s="17" t="s">
        <v>246</v>
      </c>
      <c r="G29" s="17" t="s">
        <v>247</v>
      </c>
      <c r="H29" s="17" t="s">
        <v>248</v>
      </c>
      <c r="I29" s="17" t="s">
        <v>249</v>
      </c>
      <c r="J29" s="17" t="s">
        <v>250</v>
      </c>
      <c r="K29" s="17" t="s">
        <v>29</v>
      </c>
      <c r="L29" s="18"/>
      <c r="M29" s="18" t="s">
        <v>30</v>
      </c>
      <c r="N29" s="18"/>
      <c r="O29" s="18"/>
      <c r="P29" s="17"/>
      <c r="Q29" s="17"/>
      <c r="R29" s="17"/>
    </row>
    <row r="30" spans="1:18" ht="69.75" hidden="1" customHeight="1" x14ac:dyDescent="0.25">
      <c r="A30" s="17" t="s">
        <v>251</v>
      </c>
      <c r="B30" s="17" t="s">
        <v>243</v>
      </c>
      <c r="C30" s="17" t="s">
        <v>234</v>
      </c>
      <c r="D30" s="17" t="s">
        <v>244</v>
      </c>
      <c r="E30" s="17" t="s">
        <v>59</v>
      </c>
      <c r="F30" s="17" t="s">
        <v>252</v>
      </c>
      <c r="G30" s="17" t="s">
        <v>253</v>
      </c>
      <c r="H30" s="17" t="s">
        <v>254</v>
      </c>
      <c r="I30" s="17" t="s">
        <v>255</v>
      </c>
      <c r="J30" s="17" t="s">
        <v>256</v>
      </c>
      <c r="K30" s="17" t="s">
        <v>29</v>
      </c>
      <c r="L30" s="18"/>
      <c r="M30" s="18" t="s">
        <v>30</v>
      </c>
      <c r="N30" s="18"/>
      <c r="O30" s="18"/>
      <c r="P30" s="17"/>
      <c r="Q30" s="17" t="s">
        <v>208</v>
      </c>
      <c r="R30" s="17"/>
    </row>
    <row r="31" spans="1:18" ht="69.75" hidden="1" customHeight="1" x14ac:dyDescent="0.25">
      <c r="A31" s="17" t="s">
        <v>257</v>
      </c>
      <c r="B31" s="17" t="s">
        <v>258</v>
      </c>
      <c r="C31" s="17" t="s">
        <v>234</v>
      </c>
      <c r="D31" s="17" t="s">
        <v>259</v>
      </c>
      <c r="E31" s="17" t="s">
        <v>23</v>
      </c>
      <c r="F31" s="17" t="s">
        <v>260</v>
      </c>
      <c r="G31" s="17" t="s">
        <v>261</v>
      </c>
      <c r="H31" s="17" t="s">
        <v>262</v>
      </c>
      <c r="I31" s="17" t="s">
        <v>263</v>
      </c>
      <c r="J31" s="17" t="s">
        <v>264</v>
      </c>
      <c r="K31" s="17" t="s">
        <v>29</v>
      </c>
      <c r="L31" s="18"/>
      <c r="M31" s="18" t="s">
        <v>30</v>
      </c>
      <c r="N31" s="18"/>
      <c r="O31" s="18"/>
      <c r="P31" s="17"/>
      <c r="Q31" s="17" t="s">
        <v>265</v>
      </c>
      <c r="R31" s="17"/>
    </row>
    <row r="32" spans="1:18" ht="69.75" hidden="1" customHeight="1" x14ac:dyDescent="0.25">
      <c r="A32" s="19" t="s">
        <v>266</v>
      </c>
      <c r="B32" s="19" t="s">
        <v>267</v>
      </c>
      <c r="C32" s="19" t="s">
        <v>234</v>
      </c>
      <c r="D32" s="19" t="s">
        <v>235</v>
      </c>
      <c r="E32" s="19" t="s">
        <v>23</v>
      </c>
      <c r="F32" s="19" t="s">
        <v>268</v>
      </c>
      <c r="G32" s="19" t="s">
        <v>269</v>
      </c>
      <c r="H32" s="19" t="s">
        <v>270</v>
      </c>
      <c r="I32" s="19" t="s">
        <v>271</v>
      </c>
      <c r="J32" s="19" t="s">
        <v>272</v>
      </c>
      <c r="K32" s="19" t="s">
        <v>117</v>
      </c>
      <c r="L32" s="18"/>
      <c r="M32" s="18" t="s">
        <v>30</v>
      </c>
      <c r="N32" s="18"/>
      <c r="O32" s="18"/>
      <c r="P32" s="19" t="s">
        <v>273</v>
      </c>
      <c r="Q32" s="19" t="s">
        <v>208</v>
      </c>
      <c r="R32" s="17"/>
    </row>
    <row r="33" spans="1:18" ht="69.75" hidden="1" customHeight="1" x14ac:dyDescent="0.25">
      <c r="A33" s="19" t="s">
        <v>274</v>
      </c>
      <c r="B33" s="19" t="s">
        <v>275</v>
      </c>
      <c r="C33" s="19" t="s">
        <v>234</v>
      </c>
      <c r="D33" s="19" t="s">
        <v>235</v>
      </c>
      <c r="E33" s="19" t="s">
        <v>59</v>
      </c>
      <c r="F33" s="19" t="s">
        <v>276</v>
      </c>
      <c r="G33" s="19" t="s">
        <v>277</v>
      </c>
      <c r="H33" s="19" t="s">
        <v>278</v>
      </c>
      <c r="I33" s="19" t="s">
        <v>279</v>
      </c>
      <c r="J33" s="19" t="s">
        <v>280</v>
      </c>
      <c r="K33" s="19" t="s">
        <v>38</v>
      </c>
      <c r="L33" s="18"/>
      <c r="M33" s="18" t="s">
        <v>30</v>
      </c>
      <c r="N33" s="18"/>
      <c r="O33" s="18"/>
      <c r="P33" s="19" t="s">
        <v>281</v>
      </c>
      <c r="Q33" s="19" t="s">
        <v>208</v>
      </c>
      <c r="R33" s="17"/>
    </row>
    <row r="34" spans="1:18" ht="69.75" hidden="1" customHeight="1" x14ac:dyDescent="0.25">
      <c r="A34" s="19" t="s">
        <v>282</v>
      </c>
      <c r="B34" s="19" t="s">
        <v>283</v>
      </c>
      <c r="C34" s="19" t="s">
        <v>234</v>
      </c>
      <c r="D34" s="19" t="s">
        <v>235</v>
      </c>
      <c r="E34" s="19" t="s">
        <v>23</v>
      </c>
      <c r="F34" s="19" t="s">
        <v>284</v>
      </c>
      <c r="G34" s="19" t="s">
        <v>285</v>
      </c>
      <c r="H34" s="19" t="s">
        <v>286</v>
      </c>
      <c r="I34" s="19" t="s">
        <v>287</v>
      </c>
      <c r="J34" s="19" t="s">
        <v>288</v>
      </c>
      <c r="K34" s="19" t="s">
        <v>38</v>
      </c>
      <c r="L34" s="18"/>
      <c r="M34" s="18" t="s">
        <v>30</v>
      </c>
      <c r="N34" s="18"/>
      <c r="O34" s="18"/>
      <c r="P34" s="19" t="s">
        <v>289</v>
      </c>
      <c r="Q34" s="19" t="s">
        <v>208</v>
      </c>
      <c r="R34" s="17"/>
    </row>
    <row r="35" spans="1:18" ht="69.75" hidden="1" customHeight="1" x14ac:dyDescent="0.25">
      <c r="A35" s="19" t="s">
        <v>290</v>
      </c>
      <c r="B35" s="19" t="s">
        <v>291</v>
      </c>
      <c r="C35" s="19" t="s">
        <v>234</v>
      </c>
      <c r="D35" s="19" t="s">
        <v>292</v>
      </c>
      <c r="E35" s="19" t="s">
        <v>23</v>
      </c>
      <c r="F35" s="19" t="s">
        <v>293</v>
      </c>
      <c r="G35" s="19" t="s">
        <v>294</v>
      </c>
      <c r="H35" s="19" t="s">
        <v>295</v>
      </c>
      <c r="I35" s="19" t="s">
        <v>296</v>
      </c>
      <c r="J35" s="19" t="s">
        <v>297</v>
      </c>
      <c r="K35" s="19" t="s">
        <v>38</v>
      </c>
      <c r="L35" s="18"/>
      <c r="M35" s="18" t="s">
        <v>30</v>
      </c>
      <c r="N35" s="18"/>
      <c r="O35" s="18"/>
      <c r="P35" s="19" t="s">
        <v>298</v>
      </c>
      <c r="Q35" s="19" t="s">
        <v>208</v>
      </c>
      <c r="R35" s="17"/>
    </row>
    <row r="36" spans="1:18" ht="69.75" hidden="1" customHeight="1" x14ac:dyDescent="0.25">
      <c r="A36" s="19" t="s">
        <v>299</v>
      </c>
      <c r="B36" s="19" t="s">
        <v>300</v>
      </c>
      <c r="C36" s="19" t="s">
        <v>234</v>
      </c>
      <c r="D36" s="19" t="s">
        <v>244</v>
      </c>
      <c r="E36" s="19" t="s">
        <v>23</v>
      </c>
      <c r="F36" s="19" t="s">
        <v>301</v>
      </c>
      <c r="G36" s="19" t="s">
        <v>302</v>
      </c>
      <c r="H36" s="19" t="s">
        <v>303</v>
      </c>
      <c r="I36" s="19" t="s">
        <v>304</v>
      </c>
      <c r="J36" s="19" t="s">
        <v>305</v>
      </c>
      <c r="K36" s="19" t="s">
        <v>117</v>
      </c>
      <c r="L36" s="18"/>
      <c r="M36" s="18" t="s">
        <v>30</v>
      </c>
      <c r="N36" s="18"/>
      <c r="O36" s="18"/>
      <c r="P36" s="19" t="s">
        <v>306</v>
      </c>
      <c r="Q36" s="19" t="s">
        <v>208</v>
      </c>
      <c r="R36" s="17"/>
    </row>
    <row r="37" spans="1:18" ht="75" hidden="1" customHeight="1" x14ac:dyDescent="0.25">
      <c r="A37" s="17" t="s">
        <v>307</v>
      </c>
      <c r="B37" s="17" t="s">
        <v>308</v>
      </c>
      <c r="C37" s="17" t="s">
        <v>234</v>
      </c>
      <c r="D37" s="17" t="s">
        <v>309</v>
      </c>
      <c r="E37" s="17" t="s">
        <v>41</v>
      </c>
      <c r="F37" s="17" t="s">
        <v>310</v>
      </c>
      <c r="G37" s="17" t="s">
        <v>311</v>
      </c>
      <c r="H37" s="17" t="s">
        <v>312</v>
      </c>
      <c r="I37" s="17" t="s">
        <v>313</v>
      </c>
      <c r="J37" s="17" t="s">
        <v>314</v>
      </c>
      <c r="K37" s="17" t="s">
        <v>29</v>
      </c>
      <c r="L37" s="18"/>
      <c r="M37" s="18" t="s">
        <v>30</v>
      </c>
      <c r="N37" s="18"/>
      <c r="O37" s="18"/>
      <c r="P37" s="17"/>
      <c r="Q37" s="17" t="s">
        <v>315</v>
      </c>
      <c r="R37" s="17"/>
    </row>
    <row r="38" spans="1:18" ht="90" hidden="1" customHeight="1" x14ac:dyDescent="0.25">
      <c r="A38" s="19" t="s">
        <v>316</v>
      </c>
      <c r="B38" s="19" t="s">
        <v>317</v>
      </c>
      <c r="C38" s="19" t="s">
        <v>234</v>
      </c>
      <c r="D38" s="19" t="s">
        <v>318</v>
      </c>
      <c r="E38" s="19" t="s">
        <v>59</v>
      </c>
      <c r="F38" s="19" t="s">
        <v>319</v>
      </c>
      <c r="G38" s="19" t="s">
        <v>320</v>
      </c>
      <c r="H38" s="19" t="s">
        <v>321</v>
      </c>
      <c r="I38" s="19" t="s">
        <v>322</v>
      </c>
      <c r="J38" s="19" t="s">
        <v>323</v>
      </c>
      <c r="K38" s="19" t="s">
        <v>38</v>
      </c>
      <c r="L38" s="18"/>
      <c r="M38" s="18" t="s">
        <v>30</v>
      </c>
      <c r="N38" s="18"/>
      <c r="O38" s="18"/>
      <c r="P38" s="19" t="s">
        <v>324</v>
      </c>
      <c r="Q38" s="19" t="s">
        <v>325</v>
      </c>
      <c r="R38" s="17"/>
    </row>
    <row r="39" spans="1:18" ht="69.75" hidden="1" customHeight="1" x14ac:dyDescent="0.25">
      <c r="A39" s="17" t="s">
        <v>326</v>
      </c>
      <c r="B39" s="17" t="s">
        <v>327</v>
      </c>
      <c r="C39" s="17" t="s">
        <v>328</v>
      </c>
      <c r="D39" s="17" t="s">
        <v>329</v>
      </c>
      <c r="E39" s="17" t="s">
        <v>23</v>
      </c>
      <c r="F39" s="17" t="s">
        <v>330</v>
      </c>
      <c r="G39" s="17" t="s">
        <v>331</v>
      </c>
      <c r="H39" s="17" t="s">
        <v>332</v>
      </c>
      <c r="I39" s="17" t="s">
        <v>333</v>
      </c>
      <c r="J39" s="17" t="s">
        <v>334</v>
      </c>
      <c r="K39" s="17" t="s">
        <v>38</v>
      </c>
      <c r="L39" s="18"/>
      <c r="M39" s="18" t="s">
        <v>30</v>
      </c>
      <c r="N39" s="18"/>
      <c r="O39" s="18"/>
      <c r="P39" s="17"/>
      <c r="Q39" s="17"/>
      <c r="R39" s="17"/>
    </row>
    <row r="40" spans="1:18" ht="69.75" hidden="1" customHeight="1" x14ac:dyDescent="0.25">
      <c r="A40" s="19" t="s">
        <v>335</v>
      </c>
      <c r="B40" s="19" t="s">
        <v>336</v>
      </c>
      <c r="C40" s="19" t="s">
        <v>328</v>
      </c>
      <c r="D40" s="19" t="s">
        <v>329</v>
      </c>
      <c r="E40" s="19" t="s">
        <v>86</v>
      </c>
      <c r="F40" s="19" t="s">
        <v>337</v>
      </c>
      <c r="G40" s="19" t="s">
        <v>338</v>
      </c>
      <c r="H40" s="19" t="s">
        <v>339</v>
      </c>
      <c r="I40" s="19" t="s">
        <v>340</v>
      </c>
      <c r="J40" s="19" t="s">
        <v>341</v>
      </c>
      <c r="K40" s="19" t="s">
        <v>29</v>
      </c>
      <c r="L40" s="18"/>
      <c r="M40" s="18" t="s">
        <v>30</v>
      </c>
      <c r="N40" s="18"/>
      <c r="O40" s="18"/>
      <c r="P40" s="19" t="s">
        <v>342</v>
      </c>
      <c r="Q40" s="19" t="s">
        <v>343</v>
      </c>
      <c r="R40" s="17"/>
    </row>
    <row r="41" spans="1:18" ht="90" hidden="1" customHeight="1" x14ac:dyDescent="0.25">
      <c r="A41" s="17" t="s">
        <v>344</v>
      </c>
      <c r="B41" s="17" t="s">
        <v>336</v>
      </c>
      <c r="C41" s="17" t="s">
        <v>328</v>
      </c>
      <c r="D41" s="17" t="s">
        <v>329</v>
      </c>
      <c r="E41" s="17" t="s">
        <v>86</v>
      </c>
      <c r="F41" s="17" t="s">
        <v>345</v>
      </c>
      <c r="G41" s="17" t="s">
        <v>346</v>
      </c>
      <c r="H41" s="17" t="s">
        <v>347</v>
      </c>
      <c r="I41" s="17" t="s">
        <v>348</v>
      </c>
      <c r="J41" s="17" t="s">
        <v>349</v>
      </c>
      <c r="K41" s="17" t="s">
        <v>38</v>
      </c>
      <c r="L41" s="18"/>
      <c r="M41" s="18" t="s">
        <v>30</v>
      </c>
      <c r="N41" s="18"/>
      <c r="O41" s="18"/>
      <c r="P41" s="17"/>
      <c r="Q41" s="17" t="s">
        <v>350</v>
      </c>
      <c r="R41" s="17"/>
    </row>
    <row r="42" spans="1:18" ht="120" hidden="1" customHeight="1" x14ac:dyDescent="0.25">
      <c r="A42" s="17" t="s">
        <v>351</v>
      </c>
      <c r="B42" s="17" t="s">
        <v>352</v>
      </c>
      <c r="C42" s="17" t="s">
        <v>328</v>
      </c>
      <c r="D42" s="17" t="s">
        <v>329</v>
      </c>
      <c r="E42" s="17" t="s">
        <v>23</v>
      </c>
      <c r="F42" s="17" t="s">
        <v>353</v>
      </c>
      <c r="G42" s="17" t="s">
        <v>354</v>
      </c>
      <c r="H42" s="17" t="s">
        <v>355</v>
      </c>
      <c r="I42" s="17" t="s">
        <v>356</v>
      </c>
      <c r="J42" s="17" t="s">
        <v>357</v>
      </c>
      <c r="K42" s="17" t="s">
        <v>38</v>
      </c>
      <c r="L42" s="18"/>
      <c r="M42" s="18" t="s">
        <v>30</v>
      </c>
      <c r="N42" s="18"/>
      <c r="O42" s="18"/>
      <c r="P42" s="17"/>
      <c r="Q42" s="17" t="s">
        <v>325</v>
      </c>
      <c r="R42" s="17"/>
    </row>
    <row r="43" spans="1:18" ht="105" hidden="1" customHeight="1" x14ac:dyDescent="0.25">
      <c r="A43" s="17" t="s">
        <v>358</v>
      </c>
      <c r="B43" s="17" t="s">
        <v>359</v>
      </c>
      <c r="C43" s="17" t="s">
        <v>328</v>
      </c>
      <c r="D43" s="17" t="s">
        <v>329</v>
      </c>
      <c r="E43" s="17" t="s">
        <v>23</v>
      </c>
      <c r="F43" s="17" t="s">
        <v>360</v>
      </c>
      <c r="G43" s="17" t="s">
        <v>361</v>
      </c>
      <c r="H43" s="17" t="s">
        <v>362</v>
      </c>
      <c r="I43" s="17" t="s">
        <v>363</v>
      </c>
      <c r="J43" s="17" t="s">
        <v>364</v>
      </c>
      <c r="K43" s="17" t="s">
        <v>38</v>
      </c>
      <c r="L43" s="18"/>
      <c r="M43" s="18" t="s">
        <v>30</v>
      </c>
      <c r="N43" s="18"/>
      <c r="O43" s="18"/>
      <c r="P43" s="17"/>
      <c r="Q43" s="17" t="s">
        <v>325</v>
      </c>
      <c r="R43" s="17"/>
    </row>
    <row r="44" spans="1:18" ht="135" hidden="1" customHeight="1" x14ac:dyDescent="0.25">
      <c r="A44" s="19" t="s">
        <v>365</v>
      </c>
      <c r="B44" s="19" t="s">
        <v>366</v>
      </c>
      <c r="C44" s="19" t="s">
        <v>328</v>
      </c>
      <c r="D44" s="19" t="s">
        <v>329</v>
      </c>
      <c r="E44" s="19" t="s">
        <v>86</v>
      </c>
      <c r="F44" s="19" t="s">
        <v>367</v>
      </c>
      <c r="G44" s="19" t="s">
        <v>368</v>
      </c>
      <c r="H44" s="19" t="s">
        <v>369</v>
      </c>
      <c r="I44" s="19" t="s">
        <v>370</v>
      </c>
      <c r="J44" s="19" t="s">
        <v>371</v>
      </c>
      <c r="K44" s="19" t="s">
        <v>117</v>
      </c>
      <c r="L44" s="18"/>
      <c r="M44" s="18" t="s">
        <v>30</v>
      </c>
      <c r="N44" s="18"/>
      <c r="O44" s="18"/>
      <c r="P44" s="19" t="s">
        <v>372</v>
      </c>
      <c r="Q44" s="19" t="s">
        <v>325</v>
      </c>
      <c r="R44" s="17"/>
    </row>
    <row r="45" spans="1:18" ht="105" hidden="1" customHeight="1" x14ac:dyDescent="0.25">
      <c r="A45" s="19" t="s">
        <v>373</v>
      </c>
      <c r="B45" s="19" t="s">
        <v>374</v>
      </c>
      <c r="C45" s="19" t="s">
        <v>328</v>
      </c>
      <c r="D45" s="19" t="s">
        <v>329</v>
      </c>
      <c r="E45" s="19" t="s">
        <v>86</v>
      </c>
      <c r="F45" s="19" t="s">
        <v>375</v>
      </c>
      <c r="G45" s="19" t="s">
        <v>376</v>
      </c>
      <c r="H45" s="19" t="s">
        <v>377</v>
      </c>
      <c r="I45" s="19" t="s">
        <v>378</v>
      </c>
      <c r="J45" s="19" t="s">
        <v>379</v>
      </c>
      <c r="K45" s="19" t="s">
        <v>29</v>
      </c>
      <c r="L45" s="18"/>
      <c r="M45" s="18" t="s">
        <v>30</v>
      </c>
      <c r="N45" s="18"/>
      <c r="O45" s="18"/>
      <c r="P45" s="19" t="s">
        <v>380</v>
      </c>
      <c r="Q45" s="19" t="s">
        <v>381</v>
      </c>
      <c r="R45" s="17"/>
    </row>
    <row r="46" spans="1:18" ht="90" hidden="1" customHeight="1" x14ac:dyDescent="0.25">
      <c r="A46" s="19" t="s">
        <v>382</v>
      </c>
      <c r="B46" s="19" t="s">
        <v>383</v>
      </c>
      <c r="C46" s="19" t="s">
        <v>328</v>
      </c>
      <c r="D46" s="19" t="s">
        <v>329</v>
      </c>
      <c r="E46" s="19" t="s">
        <v>59</v>
      </c>
      <c r="F46" s="19" t="s">
        <v>384</v>
      </c>
      <c r="G46" s="19" t="s">
        <v>385</v>
      </c>
      <c r="H46" s="19" t="s">
        <v>386</v>
      </c>
      <c r="I46" s="19" t="s">
        <v>387</v>
      </c>
      <c r="J46" s="19" t="s">
        <v>388</v>
      </c>
      <c r="K46" s="19" t="s">
        <v>38</v>
      </c>
      <c r="L46" s="18"/>
      <c r="M46" s="18" t="s">
        <v>30</v>
      </c>
      <c r="N46" s="18"/>
      <c r="O46" s="18"/>
      <c r="P46" s="19" t="s">
        <v>389</v>
      </c>
      <c r="Q46" s="19" t="s">
        <v>325</v>
      </c>
      <c r="R46" s="17"/>
    </row>
    <row r="47" spans="1:18" ht="69.75" hidden="1" customHeight="1" x14ac:dyDescent="0.25">
      <c r="A47" s="17" t="s">
        <v>390</v>
      </c>
      <c r="B47" s="17" t="s">
        <v>391</v>
      </c>
      <c r="C47" s="17" t="s">
        <v>392</v>
      </c>
      <c r="D47" s="17" t="s">
        <v>393</v>
      </c>
      <c r="E47" s="17" t="s">
        <v>23</v>
      </c>
      <c r="F47" s="17" t="s">
        <v>394</v>
      </c>
      <c r="G47" s="17" t="s">
        <v>395</v>
      </c>
      <c r="H47" s="17" t="s">
        <v>396</v>
      </c>
      <c r="I47" s="17" t="s">
        <v>397</v>
      </c>
      <c r="J47" s="17" t="s">
        <v>398</v>
      </c>
      <c r="K47" s="17" t="s">
        <v>29</v>
      </c>
      <c r="L47" s="18"/>
      <c r="M47" s="18" t="s">
        <v>30</v>
      </c>
      <c r="N47" s="18"/>
      <c r="O47" s="18"/>
      <c r="P47" s="17"/>
      <c r="Q47" s="17"/>
      <c r="R47" s="17"/>
    </row>
    <row r="48" spans="1:18" ht="69.75" hidden="1" customHeight="1" x14ac:dyDescent="0.25">
      <c r="A48" s="19" t="s">
        <v>399</v>
      </c>
      <c r="B48" s="19" t="s">
        <v>400</v>
      </c>
      <c r="C48" s="19" t="s">
        <v>392</v>
      </c>
      <c r="D48" s="19" t="s">
        <v>393</v>
      </c>
      <c r="E48" s="19" t="s">
        <v>86</v>
      </c>
      <c r="F48" s="19" t="s">
        <v>401</v>
      </c>
      <c r="G48" s="19" t="s">
        <v>402</v>
      </c>
      <c r="H48" s="19" t="s">
        <v>403</v>
      </c>
      <c r="I48" s="19" t="s">
        <v>404</v>
      </c>
      <c r="J48" s="19" t="s">
        <v>405</v>
      </c>
      <c r="K48" s="19" t="s">
        <v>29</v>
      </c>
      <c r="L48" s="18"/>
      <c r="M48" s="18" t="s">
        <v>30</v>
      </c>
      <c r="N48" s="18"/>
      <c r="O48" s="18"/>
      <c r="P48" s="19" t="s">
        <v>342</v>
      </c>
      <c r="Q48" s="19"/>
      <c r="R48" s="17"/>
    </row>
    <row r="49" spans="1:18" ht="69.75" hidden="1" customHeight="1" x14ac:dyDescent="0.25">
      <c r="A49" s="17" t="s">
        <v>406</v>
      </c>
      <c r="B49" s="17" t="s">
        <v>407</v>
      </c>
      <c r="C49" s="17" t="s">
        <v>392</v>
      </c>
      <c r="D49" s="17" t="s">
        <v>393</v>
      </c>
      <c r="E49" s="17" t="s">
        <v>86</v>
      </c>
      <c r="F49" s="17" t="s">
        <v>408</v>
      </c>
      <c r="G49" s="17" t="s">
        <v>409</v>
      </c>
      <c r="H49" s="17" t="s">
        <v>410</v>
      </c>
      <c r="I49" s="17" t="s">
        <v>411</v>
      </c>
      <c r="J49" s="17" t="s">
        <v>412</v>
      </c>
      <c r="K49" s="17" t="s">
        <v>38</v>
      </c>
      <c r="L49" s="18"/>
      <c r="M49" s="18" t="s">
        <v>30</v>
      </c>
      <c r="N49" s="18"/>
      <c r="O49" s="18"/>
      <c r="P49" s="17"/>
      <c r="Q49" s="17"/>
      <c r="R49" s="17"/>
    </row>
    <row r="50" spans="1:18" ht="120" hidden="1" customHeight="1" x14ac:dyDescent="0.25">
      <c r="A50" s="17" t="s">
        <v>413</v>
      </c>
      <c r="B50" s="17" t="s">
        <v>414</v>
      </c>
      <c r="C50" s="17" t="s">
        <v>392</v>
      </c>
      <c r="D50" s="17" t="s">
        <v>415</v>
      </c>
      <c r="E50" s="17" t="s">
        <v>23</v>
      </c>
      <c r="F50" s="17" t="s">
        <v>416</v>
      </c>
      <c r="G50" s="17" t="s">
        <v>417</v>
      </c>
      <c r="H50" s="17" t="s">
        <v>418</v>
      </c>
      <c r="I50" s="17" t="s">
        <v>419</v>
      </c>
      <c r="J50" s="17" t="s">
        <v>420</v>
      </c>
      <c r="K50" s="17" t="s">
        <v>38</v>
      </c>
      <c r="L50" s="18"/>
      <c r="M50" s="18" t="s">
        <v>30</v>
      </c>
      <c r="N50" s="18"/>
      <c r="O50" s="18"/>
      <c r="P50" s="17"/>
      <c r="Q50" s="17" t="s">
        <v>421</v>
      </c>
      <c r="R50" s="17"/>
    </row>
    <row r="51" spans="1:18" ht="120" hidden="1" customHeight="1" x14ac:dyDescent="0.25">
      <c r="A51" s="19" t="s">
        <v>422</v>
      </c>
      <c r="B51" s="19" t="s">
        <v>423</v>
      </c>
      <c r="C51" s="19" t="s">
        <v>392</v>
      </c>
      <c r="D51" s="19" t="s">
        <v>393</v>
      </c>
      <c r="E51" s="19" t="s">
        <v>23</v>
      </c>
      <c r="F51" s="19" t="s">
        <v>424</v>
      </c>
      <c r="G51" s="19" t="s">
        <v>425</v>
      </c>
      <c r="H51" s="19" t="s">
        <v>426</v>
      </c>
      <c r="I51" s="19" t="s">
        <v>427</v>
      </c>
      <c r="J51" s="19" t="s">
        <v>428</v>
      </c>
      <c r="K51" s="19" t="s">
        <v>38</v>
      </c>
      <c r="L51" s="18"/>
      <c r="M51" s="18" t="s">
        <v>30</v>
      </c>
      <c r="N51" s="18"/>
      <c r="O51" s="18"/>
      <c r="P51" s="19" t="s">
        <v>143</v>
      </c>
      <c r="Q51" s="19" t="s">
        <v>429</v>
      </c>
      <c r="R51" s="17"/>
    </row>
    <row r="52" spans="1:18" ht="135" hidden="1" customHeight="1" x14ac:dyDescent="0.25">
      <c r="A52" s="19" t="s">
        <v>430</v>
      </c>
      <c r="B52" s="19" t="s">
        <v>431</v>
      </c>
      <c r="C52" s="19" t="s">
        <v>392</v>
      </c>
      <c r="D52" s="19" t="s">
        <v>415</v>
      </c>
      <c r="E52" s="19" t="s">
        <v>86</v>
      </c>
      <c r="F52" s="19" t="s">
        <v>432</v>
      </c>
      <c r="G52" s="19" t="s">
        <v>433</v>
      </c>
      <c r="H52" s="19" t="s">
        <v>434</v>
      </c>
      <c r="I52" s="19" t="s">
        <v>435</v>
      </c>
      <c r="J52" s="19" t="s">
        <v>436</v>
      </c>
      <c r="K52" s="19" t="s">
        <v>38</v>
      </c>
      <c r="L52" s="18"/>
      <c r="M52" s="18" t="s">
        <v>30</v>
      </c>
      <c r="N52" s="18"/>
      <c r="O52" s="18"/>
      <c r="P52" s="19" t="s">
        <v>437</v>
      </c>
      <c r="Q52" s="19" t="s">
        <v>325</v>
      </c>
      <c r="R52" s="17"/>
    </row>
    <row r="53" spans="1:18" ht="150" hidden="1" customHeight="1" x14ac:dyDescent="0.25">
      <c r="A53" s="19" t="s">
        <v>438</v>
      </c>
      <c r="B53" s="19" t="s">
        <v>439</v>
      </c>
      <c r="C53" s="19" t="s">
        <v>392</v>
      </c>
      <c r="D53" s="19" t="s">
        <v>440</v>
      </c>
      <c r="E53" s="19" t="s">
        <v>86</v>
      </c>
      <c r="F53" s="19" t="s">
        <v>441</v>
      </c>
      <c r="G53" s="19" t="s">
        <v>442</v>
      </c>
      <c r="H53" s="19" t="s">
        <v>443</v>
      </c>
      <c r="I53" s="19" t="s">
        <v>444</v>
      </c>
      <c r="J53" s="19" t="s">
        <v>445</v>
      </c>
      <c r="K53" s="19" t="s">
        <v>38</v>
      </c>
      <c r="L53" s="18"/>
      <c r="M53" s="18" t="s">
        <v>30</v>
      </c>
      <c r="N53" s="18"/>
      <c r="O53" s="18"/>
      <c r="P53" s="19" t="s">
        <v>446</v>
      </c>
      <c r="Q53" s="19" t="s">
        <v>447</v>
      </c>
      <c r="R53" s="17"/>
    </row>
    <row r="54" spans="1:18" ht="60" hidden="1" customHeight="1" x14ac:dyDescent="0.25">
      <c r="A54" s="19" t="s">
        <v>448</v>
      </c>
      <c r="B54" s="19" t="s">
        <v>449</v>
      </c>
      <c r="C54" s="19" t="s">
        <v>392</v>
      </c>
      <c r="D54" s="19" t="s">
        <v>450</v>
      </c>
      <c r="E54" s="19" t="s">
        <v>86</v>
      </c>
      <c r="F54" s="19" t="s">
        <v>451</v>
      </c>
      <c r="G54" s="19" t="s">
        <v>452</v>
      </c>
      <c r="H54" s="19" t="s">
        <v>453</v>
      </c>
      <c r="I54" s="19" t="s">
        <v>454</v>
      </c>
      <c r="J54" s="19" t="s">
        <v>455</v>
      </c>
      <c r="K54" s="19" t="s">
        <v>29</v>
      </c>
      <c r="L54" s="18"/>
      <c r="M54" s="18" t="s">
        <v>30</v>
      </c>
      <c r="N54" s="18"/>
      <c r="O54" s="18"/>
      <c r="P54" s="19" t="s">
        <v>456</v>
      </c>
      <c r="Q54" s="19" t="s">
        <v>457</v>
      </c>
      <c r="R54" s="17"/>
    </row>
    <row r="55" spans="1:18" ht="69.75" hidden="1" customHeight="1" x14ac:dyDescent="0.25">
      <c r="A55" s="17" t="s">
        <v>458</v>
      </c>
      <c r="B55" s="17" t="s">
        <v>459</v>
      </c>
      <c r="C55" s="17" t="s">
        <v>460</v>
      </c>
      <c r="D55" s="17" t="s">
        <v>461</v>
      </c>
      <c r="E55" s="17" t="s">
        <v>32</v>
      </c>
      <c r="F55" s="17" t="s">
        <v>462</v>
      </c>
      <c r="G55" s="17" t="s">
        <v>463</v>
      </c>
      <c r="H55" s="17" t="s">
        <v>464</v>
      </c>
      <c r="I55" s="17" t="s">
        <v>465</v>
      </c>
      <c r="J55" s="17" t="s">
        <v>466</v>
      </c>
      <c r="K55" s="17" t="s">
        <v>467</v>
      </c>
      <c r="L55" s="18"/>
      <c r="M55" s="18" t="s">
        <v>30</v>
      </c>
      <c r="N55" s="18"/>
      <c r="O55" s="18"/>
      <c r="P55" s="17"/>
      <c r="Q55" s="17" t="s">
        <v>468</v>
      </c>
      <c r="R55" s="17"/>
    </row>
    <row r="56" spans="1:18" ht="105" hidden="1" customHeight="1" x14ac:dyDescent="0.25">
      <c r="A56" s="19" t="s">
        <v>469</v>
      </c>
      <c r="B56" s="19" t="s">
        <v>470</v>
      </c>
      <c r="C56" s="19" t="s">
        <v>460</v>
      </c>
      <c r="D56" s="19" t="s">
        <v>461</v>
      </c>
      <c r="E56" s="19" t="s">
        <v>86</v>
      </c>
      <c r="F56" s="19" t="s">
        <v>471</v>
      </c>
      <c r="G56" s="19" t="s">
        <v>472</v>
      </c>
      <c r="H56" s="19" t="s">
        <v>473</v>
      </c>
      <c r="I56" s="19" t="s">
        <v>474</v>
      </c>
      <c r="J56" s="19" t="s">
        <v>475</v>
      </c>
      <c r="K56" s="19" t="s">
        <v>29</v>
      </c>
      <c r="L56" s="18"/>
      <c r="M56" s="18" t="s">
        <v>30</v>
      </c>
      <c r="N56" s="18"/>
      <c r="O56" s="18"/>
      <c r="P56" s="19" t="s">
        <v>476</v>
      </c>
      <c r="Q56" s="19" t="s">
        <v>477</v>
      </c>
      <c r="R56" s="17"/>
    </row>
    <row r="57" spans="1:18" ht="69.75" hidden="1" customHeight="1" x14ac:dyDescent="0.25">
      <c r="A57" s="17" t="s">
        <v>478</v>
      </c>
      <c r="B57" s="17" t="s">
        <v>479</v>
      </c>
      <c r="C57" s="17" t="s">
        <v>480</v>
      </c>
      <c r="D57" s="17" t="s">
        <v>195</v>
      </c>
      <c r="E57" s="17" t="s">
        <v>23</v>
      </c>
      <c r="F57" s="17" t="s">
        <v>481</v>
      </c>
      <c r="G57" s="17" t="s">
        <v>482</v>
      </c>
      <c r="H57" s="17" t="s">
        <v>483</v>
      </c>
      <c r="I57" s="17" t="s">
        <v>484</v>
      </c>
      <c r="J57" s="17" t="s">
        <v>485</v>
      </c>
      <c r="K57" s="17" t="s">
        <v>38</v>
      </c>
      <c r="L57" s="18"/>
      <c r="M57" s="18" t="s">
        <v>30</v>
      </c>
      <c r="N57" s="18"/>
      <c r="O57" s="18"/>
      <c r="P57" s="17"/>
      <c r="Q57" s="17"/>
      <c r="R57" s="17"/>
    </row>
    <row r="58" spans="1:18" ht="75" hidden="1" customHeight="1" x14ac:dyDescent="0.25">
      <c r="A58" s="17" t="s">
        <v>486</v>
      </c>
      <c r="B58" s="17" t="s">
        <v>479</v>
      </c>
      <c r="C58" s="17" t="s">
        <v>480</v>
      </c>
      <c r="D58" s="17" t="s">
        <v>195</v>
      </c>
      <c r="E58" s="17" t="s">
        <v>86</v>
      </c>
      <c r="F58" s="17" t="s">
        <v>487</v>
      </c>
      <c r="G58" s="17" t="s">
        <v>482</v>
      </c>
      <c r="H58" s="17" t="s">
        <v>488</v>
      </c>
      <c r="I58" s="17" t="s">
        <v>489</v>
      </c>
      <c r="J58" s="17" t="s">
        <v>490</v>
      </c>
      <c r="K58" s="17" t="s">
        <v>117</v>
      </c>
      <c r="L58" s="18"/>
      <c r="M58" s="18" t="s">
        <v>30</v>
      </c>
      <c r="N58" s="18"/>
      <c r="O58" s="18"/>
      <c r="P58" s="17"/>
      <c r="Q58" s="17" t="s">
        <v>491</v>
      </c>
      <c r="R58" s="17"/>
    </row>
    <row r="59" spans="1:18" ht="69.75" hidden="1" customHeight="1" x14ac:dyDescent="0.25">
      <c r="A59" s="19" t="s">
        <v>492</v>
      </c>
      <c r="B59" s="19" t="s">
        <v>493</v>
      </c>
      <c r="C59" s="19" t="s">
        <v>480</v>
      </c>
      <c r="D59" s="19" t="s">
        <v>309</v>
      </c>
      <c r="E59" s="19" t="s">
        <v>23</v>
      </c>
      <c r="F59" s="19" t="s">
        <v>494</v>
      </c>
      <c r="G59" s="19" t="s">
        <v>495</v>
      </c>
      <c r="H59" s="19" t="s">
        <v>496</v>
      </c>
      <c r="I59" s="19" t="s">
        <v>497</v>
      </c>
      <c r="J59" s="19" t="s">
        <v>498</v>
      </c>
      <c r="K59" s="19" t="s">
        <v>29</v>
      </c>
      <c r="L59" s="18"/>
      <c r="M59" s="18" t="s">
        <v>30</v>
      </c>
      <c r="N59" s="18"/>
      <c r="O59" s="18"/>
      <c r="P59" s="19" t="s">
        <v>499</v>
      </c>
      <c r="Q59" s="19" t="s">
        <v>500</v>
      </c>
      <c r="R59" s="17"/>
    </row>
    <row r="60" spans="1:18" ht="105" hidden="1" customHeight="1" x14ac:dyDescent="0.25">
      <c r="A60" s="17" t="s">
        <v>501</v>
      </c>
      <c r="B60" s="17" t="s">
        <v>493</v>
      </c>
      <c r="C60" s="17" t="s">
        <v>480</v>
      </c>
      <c r="D60" s="17" t="s">
        <v>309</v>
      </c>
      <c r="E60" s="17" t="s">
        <v>59</v>
      </c>
      <c r="F60" s="17" t="s">
        <v>502</v>
      </c>
      <c r="G60" s="17" t="s">
        <v>495</v>
      </c>
      <c r="H60" s="17" t="s">
        <v>503</v>
      </c>
      <c r="I60" s="17" t="s">
        <v>504</v>
      </c>
      <c r="J60" s="17" t="s">
        <v>505</v>
      </c>
      <c r="K60" s="17" t="s">
        <v>38</v>
      </c>
      <c r="L60" s="18"/>
      <c r="M60" s="18" t="s">
        <v>30</v>
      </c>
      <c r="N60" s="18"/>
      <c r="O60" s="18"/>
      <c r="P60" s="17"/>
      <c r="Q60" s="17" t="s">
        <v>506</v>
      </c>
      <c r="R60" s="17"/>
    </row>
    <row r="61" spans="1:18" ht="75" hidden="1" customHeight="1" x14ac:dyDescent="0.25">
      <c r="A61" s="19" t="s">
        <v>507</v>
      </c>
      <c r="B61" s="19" t="s">
        <v>508</v>
      </c>
      <c r="C61" s="19" t="s">
        <v>480</v>
      </c>
      <c r="D61" s="19" t="s">
        <v>226</v>
      </c>
      <c r="E61" s="19" t="s">
        <v>23</v>
      </c>
      <c r="F61" s="19" t="s">
        <v>509</v>
      </c>
      <c r="G61" s="19" t="s">
        <v>510</v>
      </c>
      <c r="H61" s="19" t="s">
        <v>511</v>
      </c>
      <c r="I61" s="19" t="s">
        <v>512</v>
      </c>
      <c r="J61" s="19" t="s">
        <v>513</v>
      </c>
      <c r="K61" s="19" t="s">
        <v>117</v>
      </c>
      <c r="L61" s="18"/>
      <c r="M61" s="18" t="s">
        <v>30</v>
      </c>
      <c r="N61" s="18"/>
      <c r="O61" s="18"/>
      <c r="P61" s="19" t="s">
        <v>514</v>
      </c>
      <c r="Q61" s="19" t="s">
        <v>325</v>
      </c>
      <c r="R61" s="17"/>
    </row>
    <row r="62" spans="1:18" ht="105" hidden="1" customHeight="1" x14ac:dyDescent="0.25">
      <c r="A62" s="19" t="s">
        <v>515</v>
      </c>
      <c r="B62" s="19" t="s">
        <v>516</v>
      </c>
      <c r="C62" s="19" t="s">
        <v>480</v>
      </c>
      <c r="D62" s="19" t="s">
        <v>517</v>
      </c>
      <c r="E62" s="19" t="s">
        <v>86</v>
      </c>
      <c r="F62" s="19" t="s">
        <v>518</v>
      </c>
      <c r="G62" s="19" t="s">
        <v>519</v>
      </c>
      <c r="H62" s="19" t="s">
        <v>520</v>
      </c>
      <c r="I62" s="19" t="s">
        <v>521</v>
      </c>
      <c r="J62" s="19" t="s">
        <v>522</v>
      </c>
      <c r="K62" s="19" t="s">
        <v>29</v>
      </c>
      <c r="L62" s="18"/>
      <c r="M62" s="18" t="s">
        <v>30</v>
      </c>
      <c r="N62" s="18"/>
      <c r="O62" s="18"/>
      <c r="P62" s="19" t="s">
        <v>523</v>
      </c>
      <c r="Q62" s="19" t="s">
        <v>524</v>
      </c>
      <c r="R62" s="17"/>
    </row>
    <row r="63" spans="1:18" ht="69.75" hidden="1" customHeight="1" x14ac:dyDescent="0.25">
      <c r="A63" s="17" t="s">
        <v>525</v>
      </c>
      <c r="B63" s="17" t="s">
        <v>526</v>
      </c>
      <c r="C63" s="17" t="s">
        <v>527</v>
      </c>
      <c r="D63" s="17" t="s">
        <v>528</v>
      </c>
      <c r="E63" s="17" t="s">
        <v>23</v>
      </c>
      <c r="F63" s="17" t="s">
        <v>529</v>
      </c>
      <c r="G63" s="17" t="s">
        <v>530</v>
      </c>
      <c r="H63" s="17" t="s">
        <v>531</v>
      </c>
      <c r="I63" s="17" t="s">
        <v>532</v>
      </c>
      <c r="J63" s="17" t="s">
        <v>533</v>
      </c>
      <c r="K63" s="17" t="s">
        <v>29</v>
      </c>
      <c r="L63" s="18"/>
      <c r="M63" s="18" t="s">
        <v>30</v>
      </c>
      <c r="N63" s="18"/>
      <c r="O63" s="18"/>
      <c r="P63" s="17"/>
      <c r="Q63" s="17"/>
      <c r="R63" s="17"/>
    </row>
    <row r="64" spans="1:18" ht="69.75" hidden="1" customHeight="1" x14ac:dyDescent="0.25">
      <c r="A64" s="17" t="s">
        <v>534</v>
      </c>
      <c r="B64" s="17" t="s">
        <v>535</v>
      </c>
      <c r="C64" s="17" t="s">
        <v>527</v>
      </c>
      <c r="D64" s="17" t="s">
        <v>536</v>
      </c>
      <c r="E64" s="17" t="s">
        <v>23</v>
      </c>
      <c r="F64" s="17" t="s">
        <v>537</v>
      </c>
      <c r="G64" s="17" t="s">
        <v>538</v>
      </c>
      <c r="H64" s="17" t="s">
        <v>539</v>
      </c>
      <c r="I64" s="17" t="s">
        <v>540</v>
      </c>
      <c r="J64" s="17" t="s">
        <v>541</v>
      </c>
      <c r="K64" s="17" t="s">
        <v>29</v>
      </c>
      <c r="L64" s="18"/>
      <c r="M64" s="18" t="s">
        <v>30</v>
      </c>
      <c r="N64" s="18"/>
      <c r="O64" s="18"/>
      <c r="P64" s="17"/>
      <c r="Q64" s="17"/>
      <c r="R64" s="17"/>
    </row>
    <row r="65" spans="1:18" ht="69.75" hidden="1" customHeight="1" x14ac:dyDescent="0.25">
      <c r="A65" s="17" t="s">
        <v>542</v>
      </c>
      <c r="B65" s="17" t="s">
        <v>543</v>
      </c>
      <c r="C65" s="17" t="s">
        <v>527</v>
      </c>
      <c r="D65" s="17" t="s">
        <v>544</v>
      </c>
      <c r="E65" s="17" t="s">
        <v>59</v>
      </c>
      <c r="F65" s="17" t="s">
        <v>545</v>
      </c>
      <c r="G65" s="17" t="s">
        <v>546</v>
      </c>
      <c r="H65" s="17" t="s">
        <v>547</v>
      </c>
      <c r="I65" s="17" t="s">
        <v>548</v>
      </c>
      <c r="J65" s="17" t="s">
        <v>549</v>
      </c>
      <c r="K65" s="17" t="s">
        <v>29</v>
      </c>
      <c r="L65" s="18"/>
      <c r="M65" s="18" t="s">
        <v>30</v>
      </c>
      <c r="N65" s="18"/>
      <c r="O65" s="18"/>
      <c r="P65" s="17"/>
      <c r="Q65" s="17"/>
      <c r="R65" s="17"/>
    </row>
    <row r="66" spans="1:18" ht="90" hidden="1" customHeight="1" x14ac:dyDescent="0.25">
      <c r="A66" s="17" t="s">
        <v>550</v>
      </c>
      <c r="B66" s="17" t="s">
        <v>551</v>
      </c>
      <c r="C66" s="17" t="s">
        <v>527</v>
      </c>
      <c r="D66" s="17" t="s">
        <v>528</v>
      </c>
      <c r="E66" s="17" t="s">
        <v>552</v>
      </c>
      <c r="F66" s="17" t="s">
        <v>553</v>
      </c>
      <c r="G66" s="17" t="s">
        <v>554</v>
      </c>
      <c r="H66" s="17" t="s">
        <v>555</v>
      </c>
      <c r="I66" s="17" t="s">
        <v>556</v>
      </c>
      <c r="J66" s="17" t="s">
        <v>557</v>
      </c>
      <c r="K66" s="17" t="s">
        <v>29</v>
      </c>
      <c r="L66" s="18"/>
      <c r="M66" s="18" t="s">
        <v>30</v>
      </c>
      <c r="N66" s="18"/>
      <c r="O66" s="18"/>
      <c r="P66" s="17"/>
      <c r="Q66" s="17" t="s">
        <v>558</v>
      </c>
      <c r="R66" s="17"/>
    </row>
    <row r="67" spans="1:18" ht="69.75" hidden="1" customHeight="1" x14ac:dyDescent="0.25">
      <c r="A67" s="17" t="s">
        <v>559</v>
      </c>
      <c r="B67" s="17" t="s">
        <v>560</v>
      </c>
      <c r="C67" s="17" t="s">
        <v>561</v>
      </c>
      <c r="D67" s="17" t="s">
        <v>562</v>
      </c>
      <c r="E67" s="17" t="s">
        <v>23</v>
      </c>
      <c r="F67" s="17" t="s">
        <v>563</v>
      </c>
      <c r="G67" s="17" t="s">
        <v>564</v>
      </c>
      <c r="H67" s="17" t="s">
        <v>565</v>
      </c>
      <c r="I67" s="17" t="s">
        <v>566</v>
      </c>
      <c r="J67" s="17" t="s">
        <v>567</v>
      </c>
      <c r="K67" s="17" t="s">
        <v>29</v>
      </c>
      <c r="L67" s="18"/>
      <c r="M67" s="18" t="s">
        <v>30</v>
      </c>
      <c r="N67" s="18"/>
      <c r="O67" s="18"/>
      <c r="P67" s="17"/>
      <c r="Q67" s="17"/>
      <c r="R67" s="17" t="s">
        <v>568</v>
      </c>
    </row>
    <row r="68" spans="1:18" ht="69.75" hidden="1" customHeight="1" x14ac:dyDescent="0.25">
      <c r="A68" s="17" t="s">
        <v>569</v>
      </c>
      <c r="B68" s="17" t="s">
        <v>560</v>
      </c>
      <c r="C68" s="17" t="s">
        <v>561</v>
      </c>
      <c r="D68" s="17" t="s">
        <v>570</v>
      </c>
      <c r="E68" s="17" t="s">
        <v>32</v>
      </c>
      <c r="F68" s="17" t="s">
        <v>571</v>
      </c>
      <c r="G68" s="17" t="s">
        <v>572</v>
      </c>
      <c r="H68" s="17" t="s">
        <v>573</v>
      </c>
      <c r="I68" s="17" t="s">
        <v>574</v>
      </c>
      <c r="J68" s="17" t="s">
        <v>575</v>
      </c>
      <c r="K68" s="17" t="s">
        <v>38</v>
      </c>
      <c r="L68" s="18"/>
      <c r="M68" s="18" t="s">
        <v>30</v>
      </c>
      <c r="N68" s="18"/>
      <c r="O68" s="18"/>
      <c r="P68" s="17"/>
      <c r="Q68" s="17"/>
      <c r="R68" s="17" t="s">
        <v>576</v>
      </c>
    </row>
    <row r="69" spans="1:18" ht="69.75" hidden="1" customHeight="1" x14ac:dyDescent="0.25">
      <c r="A69" s="17" t="s">
        <v>577</v>
      </c>
      <c r="B69" s="17" t="s">
        <v>560</v>
      </c>
      <c r="C69" s="17" t="s">
        <v>561</v>
      </c>
      <c r="D69" s="17" t="s">
        <v>578</v>
      </c>
      <c r="E69" s="17" t="s">
        <v>59</v>
      </c>
      <c r="F69" s="17" t="s">
        <v>579</v>
      </c>
      <c r="G69" s="17" t="s">
        <v>580</v>
      </c>
      <c r="H69" s="17" t="s">
        <v>581</v>
      </c>
      <c r="I69" s="17" t="s">
        <v>582</v>
      </c>
      <c r="J69" s="17" t="s">
        <v>583</v>
      </c>
      <c r="K69" s="17" t="s">
        <v>38</v>
      </c>
      <c r="L69" s="18"/>
      <c r="M69" s="18" t="s">
        <v>30</v>
      </c>
      <c r="N69" s="18"/>
      <c r="O69" s="18"/>
      <c r="P69" s="17"/>
      <c r="Q69" s="17" t="s">
        <v>584</v>
      </c>
      <c r="R69" s="17"/>
    </row>
    <row r="70" spans="1:18" ht="69.75" hidden="1" customHeight="1" x14ac:dyDescent="0.25">
      <c r="A70" s="19" t="s">
        <v>585</v>
      </c>
      <c r="B70" s="19" t="s">
        <v>560</v>
      </c>
      <c r="C70" s="19" t="s">
        <v>561</v>
      </c>
      <c r="D70" s="19" t="s">
        <v>570</v>
      </c>
      <c r="E70" s="19" t="s">
        <v>59</v>
      </c>
      <c r="F70" s="19" t="s">
        <v>586</v>
      </c>
      <c r="G70" s="19" t="s">
        <v>587</v>
      </c>
      <c r="H70" s="19" t="s">
        <v>588</v>
      </c>
      <c r="I70" s="19" t="s">
        <v>589</v>
      </c>
      <c r="J70" s="19" t="s">
        <v>590</v>
      </c>
      <c r="K70" s="19" t="s">
        <v>38</v>
      </c>
      <c r="L70" s="18"/>
      <c r="M70" s="18" t="s">
        <v>30</v>
      </c>
      <c r="N70" s="18"/>
      <c r="O70" s="18"/>
      <c r="P70" s="19" t="s">
        <v>591</v>
      </c>
      <c r="Q70" s="19" t="s">
        <v>592</v>
      </c>
      <c r="R70" s="17"/>
    </row>
    <row r="71" spans="1:18" ht="69.75" hidden="1" customHeight="1" x14ac:dyDescent="0.25">
      <c r="A71" s="19" t="s">
        <v>593</v>
      </c>
      <c r="B71" s="19" t="s">
        <v>560</v>
      </c>
      <c r="C71" s="19" t="s">
        <v>561</v>
      </c>
      <c r="D71" s="19" t="s">
        <v>570</v>
      </c>
      <c r="E71" s="19" t="s">
        <v>32</v>
      </c>
      <c r="F71" s="19" t="s">
        <v>594</v>
      </c>
      <c r="G71" s="19" t="s">
        <v>595</v>
      </c>
      <c r="H71" s="19" t="s">
        <v>596</v>
      </c>
      <c r="I71" s="19" t="s">
        <v>597</v>
      </c>
      <c r="J71" s="19" t="s">
        <v>598</v>
      </c>
      <c r="K71" s="19" t="s">
        <v>38</v>
      </c>
      <c r="L71" s="18"/>
      <c r="M71" s="18" t="s">
        <v>30</v>
      </c>
      <c r="N71" s="18"/>
      <c r="O71" s="18"/>
      <c r="P71" s="19" t="s">
        <v>599</v>
      </c>
      <c r="Q71" s="19" t="s">
        <v>600</v>
      </c>
      <c r="R71" s="17"/>
    </row>
    <row r="72" spans="1:18" ht="90" hidden="1" customHeight="1" x14ac:dyDescent="0.25">
      <c r="A72" s="19" t="s">
        <v>601</v>
      </c>
      <c r="B72" s="19" t="s">
        <v>560</v>
      </c>
      <c r="C72" s="19" t="s">
        <v>561</v>
      </c>
      <c r="D72" s="19" t="s">
        <v>570</v>
      </c>
      <c r="E72" s="19" t="s">
        <v>23</v>
      </c>
      <c r="F72" s="19" t="s">
        <v>602</v>
      </c>
      <c r="G72" s="19" t="s">
        <v>603</v>
      </c>
      <c r="H72" s="19" t="s">
        <v>604</v>
      </c>
      <c r="I72" s="19" t="s">
        <v>605</v>
      </c>
      <c r="J72" s="19" t="s">
        <v>606</v>
      </c>
      <c r="K72" s="19" t="s">
        <v>38</v>
      </c>
      <c r="L72" s="18"/>
      <c r="M72" s="18" t="s">
        <v>30</v>
      </c>
      <c r="N72" s="18"/>
      <c r="O72" s="18"/>
      <c r="P72" s="19" t="s">
        <v>607</v>
      </c>
      <c r="Q72" s="19" t="s">
        <v>608</v>
      </c>
      <c r="R72" s="17"/>
    </row>
    <row r="73" spans="1:18" ht="69.75" hidden="1" customHeight="1" x14ac:dyDescent="0.25">
      <c r="A73" s="19" t="s">
        <v>609</v>
      </c>
      <c r="B73" s="19" t="s">
        <v>610</v>
      </c>
      <c r="C73" s="19" t="s">
        <v>561</v>
      </c>
      <c r="D73" s="19" t="s">
        <v>570</v>
      </c>
      <c r="E73" s="19" t="s">
        <v>59</v>
      </c>
      <c r="F73" s="19" t="s">
        <v>611</v>
      </c>
      <c r="G73" s="19" t="s">
        <v>612</v>
      </c>
      <c r="H73" s="19" t="s">
        <v>613</v>
      </c>
      <c r="I73" s="19" t="s">
        <v>614</v>
      </c>
      <c r="J73" s="19" t="s">
        <v>615</v>
      </c>
      <c r="K73" s="19" t="s">
        <v>29</v>
      </c>
      <c r="L73" s="18"/>
      <c r="M73" s="18" t="s">
        <v>30</v>
      </c>
      <c r="N73" s="18"/>
      <c r="O73" s="18"/>
      <c r="P73" s="19" t="s">
        <v>616</v>
      </c>
      <c r="Q73" s="19" t="s">
        <v>617</v>
      </c>
      <c r="R73" s="17"/>
    </row>
    <row r="74" spans="1:18" ht="90" hidden="1" customHeight="1" x14ac:dyDescent="0.25">
      <c r="A74" s="17" t="s">
        <v>618</v>
      </c>
      <c r="B74" s="17" t="s">
        <v>610</v>
      </c>
      <c r="C74" s="17" t="s">
        <v>561</v>
      </c>
      <c r="D74" s="17" t="s">
        <v>570</v>
      </c>
      <c r="E74" s="17" t="s">
        <v>23</v>
      </c>
      <c r="F74" s="17" t="s">
        <v>619</v>
      </c>
      <c r="G74" s="17" t="s">
        <v>620</v>
      </c>
      <c r="H74" s="17" t="s">
        <v>621</v>
      </c>
      <c r="I74" s="17" t="s">
        <v>622</v>
      </c>
      <c r="J74" s="17" t="s">
        <v>623</v>
      </c>
      <c r="K74" s="17" t="s">
        <v>38</v>
      </c>
      <c r="L74" s="18"/>
      <c r="M74" s="18" t="s">
        <v>30</v>
      </c>
      <c r="N74" s="18"/>
      <c r="O74" s="18"/>
      <c r="P74" s="17"/>
      <c r="Q74" s="17" t="s">
        <v>624</v>
      </c>
      <c r="R74" s="17"/>
    </row>
    <row r="75" spans="1:18" ht="150" hidden="1" customHeight="1" x14ac:dyDescent="0.25">
      <c r="A75" s="17" t="s">
        <v>625</v>
      </c>
      <c r="B75" s="17" t="s">
        <v>610</v>
      </c>
      <c r="C75" s="17" t="s">
        <v>561</v>
      </c>
      <c r="D75" s="17" t="s">
        <v>570</v>
      </c>
      <c r="E75" s="17" t="s">
        <v>23</v>
      </c>
      <c r="F75" s="17" t="s">
        <v>626</v>
      </c>
      <c r="G75" s="17" t="s">
        <v>627</v>
      </c>
      <c r="H75" s="17" t="s">
        <v>628</v>
      </c>
      <c r="I75" s="17" t="s">
        <v>629</v>
      </c>
      <c r="J75" s="17" t="s">
        <v>630</v>
      </c>
      <c r="K75" s="17" t="s">
        <v>117</v>
      </c>
      <c r="L75" s="18"/>
      <c r="M75" s="18" t="s">
        <v>30</v>
      </c>
      <c r="N75" s="18"/>
      <c r="O75" s="18"/>
      <c r="P75" s="17"/>
      <c r="Q75" s="17" t="s">
        <v>631</v>
      </c>
      <c r="R75" s="17"/>
    </row>
    <row r="76" spans="1:18" ht="69.75" hidden="1" customHeight="1" x14ac:dyDescent="0.25">
      <c r="A76" s="17" t="s">
        <v>632</v>
      </c>
      <c r="B76" s="17" t="s">
        <v>633</v>
      </c>
      <c r="C76" s="17" t="s">
        <v>561</v>
      </c>
      <c r="D76" s="17" t="s">
        <v>634</v>
      </c>
      <c r="E76" s="17" t="s">
        <v>59</v>
      </c>
      <c r="F76" s="17" t="s">
        <v>635</v>
      </c>
      <c r="G76" s="17" t="s">
        <v>636</v>
      </c>
      <c r="H76" s="17" t="s">
        <v>637</v>
      </c>
      <c r="I76" s="17" t="s">
        <v>638</v>
      </c>
      <c r="J76" s="17" t="s">
        <v>639</v>
      </c>
      <c r="K76" s="17" t="s">
        <v>29</v>
      </c>
      <c r="L76" s="18"/>
      <c r="M76" s="18" t="s">
        <v>30</v>
      </c>
      <c r="N76" s="18"/>
      <c r="O76" s="18"/>
      <c r="P76" s="17"/>
      <c r="Q76" s="17"/>
      <c r="R76" s="17" t="s">
        <v>640</v>
      </c>
    </row>
    <row r="77" spans="1:18" ht="105" hidden="1" customHeight="1" x14ac:dyDescent="0.25">
      <c r="A77" s="19" t="s">
        <v>641</v>
      </c>
      <c r="B77" s="19" t="s">
        <v>642</v>
      </c>
      <c r="C77" s="19" t="s">
        <v>561</v>
      </c>
      <c r="D77" s="19" t="s">
        <v>562</v>
      </c>
      <c r="E77" s="19" t="s">
        <v>59</v>
      </c>
      <c r="F77" s="19" t="s">
        <v>643</v>
      </c>
      <c r="G77" s="19" t="s">
        <v>644</v>
      </c>
      <c r="H77" s="19" t="s">
        <v>645</v>
      </c>
      <c r="I77" s="19" t="s">
        <v>646</v>
      </c>
      <c r="J77" s="19" t="s">
        <v>647</v>
      </c>
      <c r="K77" s="19" t="s">
        <v>29</v>
      </c>
      <c r="L77" s="18"/>
      <c r="M77" s="18" t="s">
        <v>30</v>
      </c>
      <c r="N77" s="18"/>
      <c r="O77" s="18"/>
      <c r="P77" s="19" t="s">
        <v>648</v>
      </c>
      <c r="Q77" s="19" t="s">
        <v>325</v>
      </c>
      <c r="R77" s="17"/>
    </row>
    <row r="78" spans="1:18" ht="90" hidden="1" customHeight="1" x14ac:dyDescent="0.25">
      <c r="A78" s="19" t="s">
        <v>649</v>
      </c>
      <c r="B78" s="19" t="s">
        <v>642</v>
      </c>
      <c r="C78" s="19" t="s">
        <v>561</v>
      </c>
      <c r="D78" s="19" t="s">
        <v>562</v>
      </c>
      <c r="E78" s="19" t="s">
        <v>59</v>
      </c>
      <c r="F78" s="19" t="s">
        <v>650</v>
      </c>
      <c r="G78" s="19" t="s">
        <v>651</v>
      </c>
      <c r="H78" s="19" t="s">
        <v>652</v>
      </c>
      <c r="I78" s="19" t="s">
        <v>653</v>
      </c>
      <c r="J78" s="19" t="s">
        <v>654</v>
      </c>
      <c r="K78" s="19" t="s">
        <v>29</v>
      </c>
      <c r="L78" s="18"/>
      <c r="M78" s="18" t="s">
        <v>30</v>
      </c>
      <c r="N78" s="18"/>
      <c r="O78" s="18"/>
      <c r="P78" s="19" t="s">
        <v>648</v>
      </c>
      <c r="Q78" s="19" t="s">
        <v>325</v>
      </c>
      <c r="R78" s="17"/>
    </row>
    <row r="79" spans="1:18" ht="90" hidden="1" customHeight="1" x14ac:dyDescent="0.25">
      <c r="A79" s="19" t="s">
        <v>655</v>
      </c>
      <c r="B79" s="19" t="s">
        <v>642</v>
      </c>
      <c r="C79" s="19" t="s">
        <v>561</v>
      </c>
      <c r="D79" s="19" t="s">
        <v>562</v>
      </c>
      <c r="E79" s="19" t="s">
        <v>59</v>
      </c>
      <c r="F79" s="19" t="s">
        <v>656</v>
      </c>
      <c r="G79" s="19" t="s">
        <v>657</v>
      </c>
      <c r="H79" s="19" t="s">
        <v>658</v>
      </c>
      <c r="I79" s="19" t="s">
        <v>659</v>
      </c>
      <c r="J79" s="19" t="s">
        <v>660</v>
      </c>
      <c r="K79" s="19" t="s">
        <v>38</v>
      </c>
      <c r="L79" s="18"/>
      <c r="M79" s="18" t="s">
        <v>30</v>
      </c>
      <c r="N79" s="18"/>
      <c r="O79" s="18"/>
      <c r="P79" s="19" t="s">
        <v>648</v>
      </c>
      <c r="Q79" s="19" t="s">
        <v>661</v>
      </c>
      <c r="R79" s="17"/>
    </row>
    <row r="80" spans="1:18" ht="120" hidden="1" customHeight="1" x14ac:dyDescent="0.25">
      <c r="A80" s="19" t="s">
        <v>662</v>
      </c>
      <c r="B80" s="19" t="s">
        <v>663</v>
      </c>
      <c r="C80" s="19" t="s">
        <v>561</v>
      </c>
      <c r="D80" s="19" t="s">
        <v>570</v>
      </c>
      <c r="E80" s="19" t="s">
        <v>86</v>
      </c>
      <c r="F80" s="19" t="s">
        <v>664</v>
      </c>
      <c r="G80" s="19" t="s">
        <v>665</v>
      </c>
      <c r="H80" s="19" t="s">
        <v>666</v>
      </c>
      <c r="I80" s="19" t="s">
        <v>667</v>
      </c>
      <c r="J80" s="19" t="s">
        <v>668</v>
      </c>
      <c r="K80" s="19" t="s">
        <v>38</v>
      </c>
      <c r="L80" s="18"/>
      <c r="M80" s="18" t="s">
        <v>30</v>
      </c>
      <c r="N80" s="18"/>
      <c r="O80" s="18"/>
      <c r="P80" s="19" t="s">
        <v>669</v>
      </c>
      <c r="Q80" s="19" t="s">
        <v>325</v>
      </c>
      <c r="R80" s="17"/>
    </row>
    <row r="81" spans="1:18" ht="120" hidden="1" customHeight="1" x14ac:dyDescent="0.25">
      <c r="A81" s="19" t="s">
        <v>670</v>
      </c>
      <c r="B81" s="19" t="s">
        <v>671</v>
      </c>
      <c r="C81" s="19" t="s">
        <v>561</v>
      </c>
      <c r="D81" s="19" t="s">
        <v>672</v>
      </c>
      <c r="E81" s="19" t="s">
        <v>41</v>
      </c>
      <c r="F81" s="19" t="s">
        <v>673</v>
      </c>
      <c r="G81" s="19" t="s">
        <v>674</v>
      </c>
      <c r="H81" s="19" t="s">
        <v>675</v>
      </c>
      <c r="I81" s="19" t="s">
        <v>574</v>
      </c>
      <c r="J81" s="19" t="s">
        <v>676</v>
      </c>
      <c r="K81" s="19" t="s">
        <v>117</v>
      </c>
      <c r="L81" s="18"/>
      <c r="M81" s="18" t="s">
        <v>30</v>
      </c>
      <c r="N81" s="18"/>
      <c r="O81" s="18"/>
      <c r="P81" s="19" t="s">
        <v>677</v>
      </c>
      <c r="Q81" s="19" t="s">
        <v>678</v>
      </c>
      <c r="R81" s="17"/>
    </row>
    <row r="82" spans="1:18" ht="69.75" hidden="1" customHeight="1" x14ac:dyDescent="0.25">
      <c r="A82" s="17" t="s">
        <v>679</v>
      </c>
      <c r="B82" s="17" t="s">
        <v>680</v>
      </c>
      <c r="C82" s="17" t="s">
        <v>681</v>
      </c>
      <c r="D82" s="17" t="s">
        <v>682</v>
      </c>
      <c r="E82" s="17" t="s">
        <v>23</v>
      </c>
      <c r="F82" s="17" t="s">
        <v>683</v>
      </c>
      <c r="G82" s="17" t="s">
        <v>684</v>
      </c>
      <c r="H82" s="17" t="s">
        <v>685</v>
      </c>
      <c r="I82" s="17" t="s">
        <v>686</v>
      </c>
      <c r="J82" s="17" t="s">
        <v>687</v>
      </c>
      <c r="K82" s="17" t="s">
        <v>29</v>
      </c>
      <c r="L82" s="18"/>
      <c r="M82" s="18" t="s">
        <v>30</v>
      </c>
      <c r="N82" s="18"/>
      <c r="O82" s="18"/>
      <c r="P82" s="17"/>
      <c r="Q82" s="17"/>
      <c r="R82" s="17"/>
    </row>
    <row r="83" spans="1:18" ht="69.75" hidden="1" customHeight="1" x14ac:dyDescent="0.25">
      <c r="A83" s="19" t="s">
        <v>688</v>
      </c>
      <c r="B83" s="19" t="s">
        <v>689</v>
      </c>
      <c r="C83" s="19" t="s">
        <v>681</v>
      </c>
      <c r="D83" s="19" t="s">
        <v>682</v>
      </c>
      <c r="E83" s="19" t="s">
        <v>59</v>
      </c>
      <c r="F83" s="19" t="s">
        <v>690</v>
      </c>
      <c r="G83" s="19" t="s">
        <v>691</v>
      </c>
      <c r="H83" s="19" t="s">
        <v>692</v>
      </c>
      <c r="I83" s="19" t="s">
        <v>693</v>
      </c>
      <c r="J83" s="19" t="s">
        <v>694</v>
      </c>
      <c r="K83" s="19" t="s">
        <v>38</v>
      </c>
      <c r="L83" s="18"/>
      <c r="M83" s="18" t="s">
        <v>30</v>
      </c>
      <c r="N83" s="18"/>
      <c r="O83" s="18"/>
      <c r="P83" s="19" t="s">
        <v>591</v>
      </c>
      <c r="Q83" s="19" t="s">
        <v>695</v>
      </c>
      <c r="R83" s="17"/>
    </row>
    <row r="84" spans="1:18" ht="75" hidden="1" customHeight="1" x14ac:dyDescent="0.25">
      <c r="A84" s="17" t="s">
        <v>696</v>
      </c>
      <c r="B84" s="17" t="s">
        <v>689</v>
      </c>
      <c r="C84" s="17" t="s">
        <v>681</v>
      </c>
      <c r="D84" s="17" t="s">
        <v>682</v>
      </c>
      <c r="E84" s="17" t="s">
        <v>23</v>
      </c>
      <c r="F84" s="17" t="s">
        <v>697</v>
      </c>
      <c r="G84" s="17" t="s">
        <v>698</v>
      </c>
      <c r="H84" s="17" t="s">
        <v>699</v>
      </c>
      <c r="I84" s="17" t="s">
        <v>700</v>
      </c>
      <c r="J84" s="17" t="s">
        <v>701</v>
      </c>
      <c r="K84" s="17" t="s">
        <v>38</v>
      </c>
      <c r="L84" s="18"/>
      <c r="M84" s="18" t="s">
        <v>30</v>
      </c>
      <c r="N84" s="18"/>
      <c r="O84" s="18"/>
      <c r="P84" s="17"/>
      <c r="Q84" s="17" t="s">
        <v>702</v>
      </c>
      <c r="R84" s="17"/>
    </row>
    <row r="85" spans="1:18" ht="105" hidden="1" customHeight="1" x14ac:dyDescent="0.25">
      <c r="A85" s="19" t="s">
        <v>703</v>
      </c>
      <c r="B85" s="19" t="s">
        <v>689</v>
      </c>
      <c r="C85" s="19" t="s">
        <v>681</v>
      </c>
      <c r="D85" s="19" t="s">
        <v>682</v>
      </c>
      <c r="E85" s="19" t="s">
        <v>32</v>
      </c>
      <c r="F85" s="19" t="s">
        <v>704</v>
      </c>
      <c r="G85" s="19" t="s">
        <v>705</v>
      </c>
      <c r="H85" s="19" t="s">
        <v>706</v>
      </c>
      <c r="I85" s="19" t="s">
        <v>707</v>
      </c>
      <c r="J85" s="19" t="s">
        <v>708</v>
      </c>
      <c r="K85" s="19" t="s">
        <v>38</v>
      </c>
      <c r="L85" s="18"/>
      <c r="M85" s="18" t="s">
        <v>30</v>
      </c>
      <c r="N85" s="18"/>
      <c r="O85" s="18"/>
      <c r="P85" s="19" t="s">
        <v>591</v>
      </c>
      <c r="Q85" s="19" t="s">
        <v>709</v>
      </c>
      <c r="R85" s="17"/>
    </row>
    <row r="86" spans="1:18" ht="105" hidden="1" customHeight="1" x14ac:dyDescent="0.25">
      <c r="A86" s="17" t="s">
        <v>710</v>
      </c>
      <c r="B86" s="17" t="s">
        <v>711</v>
      </c>
      <c r="C86" s="17" t="s">
        <v>681</v>
      </c>
      <c r="D86" s="17" t="s">
        <v>682</v>
      </c>
      <c r="E86" s="17" t="s">
        <v>32</v>
      </c>
      <c r="F86" s="17" t="s">
        <v>712</v>
      </c>
      <c r="G86" s="17" t="s">
        <v>713</v>
      </c>
      <c r="H86" s="17" t="s">
        <v>714</v>
      </c>
      <c r="I86" s="17" t="s">
        <v>715</v>
      </c>
      <c r="J86" s="17" t="s">
        <v>716</v>
      </c>
      <c r="K86" s="17" t="s">
        <v>117</v>
      </c>
      <c r="L86" s="18"/>
      <c r="M86" s="18" t="s">
        <v>30</v>
      </c>
      <c r="N86" s="18"/>
      <c r="O86" s="18"/>
      <c r="P86" s="17"/>
      <c r="Q86" s="17" t="s">
        <v>325</v>
      </c>
      <c r="R86" s="17"/>
    </row>
    <row r="87" spans="1:18" ht="75" hidden="1" customHeight="1" x14ac:dyDescent="0.25">
      <c r="A87" s="19" t="s">
        <v>717</v>
      </c>
      <c r="B87" s="19" t="s">
        <v>718</v>
      </c>
      <c r="C87" s="19" t="s">
        <v>681</v>
      </c>
      <c r="D87" s="19" t="s">
        <v>682</v>
      </c>
      <c r="E87" s="19" t="s">
        <v>245</v>
      </c>
      <c r="F87" s="19" t="s">
        <v>719</v>
      </c>
      <c r="G87" s="19" t="s">
        <v>720</v>
      </c>
      <c r="H87" s="19" t="s">
        <v>721</v>
      </c>
      <c r="I87" s="19" t="s">
        <v>722</v>
      </c>
      <c r="J87" s="19" t="s">
        <v>723</v>
      </c>
      <c r="K87" s="19" t="s">
        <v>29</v>
      </c>
      <c r="L87" s="18"/>
      <c r="M87" s="18" t="s">
        <v>30</v>
      </c>
      <c r="N87" s="18"/>
      <c r="O87" s="18"/>
      <c r="P87" s="19" t="s">
        <v>724</v>
      </c>
      <c r="Q87" s="19" t="s">
        <v>325</v>
      </c>
      <c r="R87" s="17"/>
    </row>
    <row r="88" spans="1:18" ht="75" hidden="1" customHeight="1" x14ac:dyDescent="0.25">
      <c r="A88" s="19" t="s">
        <v>725</v>
      </c>
      <c r="B88" s="19" t="s">
        <v>726</v>
      </c>
      <c r="C88" s="19" t="s">
        <v>681</v>
      </c>
      <c r="D88" s="19" t="s">
        <v>682</v>
      </c>
      <c r="E88" s="19" t="s">
        <v>86</v>
      </c>
      <c r="F88" s="19" t="s">
        <v>727</v>
      </c>
      <c r="G88" s="19" t="s">
        <v>728</v>
      </c>
      <c r="H88" s="19" t="s">
        <v>729</v>
      </c>
      <c r="I88" s="19" t="s">
        <v>730</v>
      </c>
      <c r="J88" s="19" t="s">
        <v>731</v>
      </c>
      <c r="K88" s="19" t="s">
        <v>38</v>
      </c>
      <c r="L88" s="18"/>
      <c r="M88" s="18" t="s">
        <v>30</v>
      </c>
      <c r="N88" s="18"/>
      <c r="O88" s="18"/>
      <c r="P88" s="19" t="s">
        <v>732</v>
      </c>
      <c r="Q88" s="19" t="s">
        <v>325</v>
      </c>
      <c r="R88" s="17"/>
    </row>
    <row r="89" spans="1:18" ht="69.75" hidden="1" customHeight="1" x14ac:dyDescent="0.25">
      <c r="A89" s="17" t="s">
        <v>733</v>
      </c>
      <c r="B89" s="17" t="s">
        <v>734</v>
      </c>
      <c r="C89" s="17" t="s">
        <v>735</v>
      </c>
      <c r="D89" s="17" t="s">
        <v>736</v>
      </c>
      <c r="E89" s="17" t="s">
        <v>245</v>
      </c>
      <c r="F89" s="17" t="s">
        <v>737</v>
      </c>
      <c r="G89" s="17" t="s">
        <v>738</v>
      </c>
      <c r="H89" s="17" t="s">
        <v>739</v>
      </c>
      <c r="I89" s="17" t="s">
        <v>740</v>
      </c>
      <c r="J89" s="17" t="s">
        <v>741</v>
      </c>
      <c r="K89" s="17" t="s">
        <v>29</v>
      </c>
      <c r="L89" s="18"/>
      <c r="M89" s="18" t="s">
        <v>30</v>
      </c>
      <c r="N89" s="18"/>
      <c r="O89" s="18"/>
      <c r="P89" s="17"/>
      <c r="Q89" s="17"/>
      <c r="R89" s="17"/>
    </row>
    <row r="90" spans="1:18" ht="69.75" hidden="1" customHeight="1" x14ac:dyDescent="0.25">
      <c r="A90" s="19" t="s">
        <v>742</v>
      </c>
      <c r="B90" s="19" t="s">
        <v>743</v>
      </c>
      <c r="C90" s="19" t="s">
        <v>735</v>
      </c>
      <c r="D90" s="19" t="s">
        <v>736</v>
      </c>
      <c r="E90" s="19" t="s">
        <v>23</v>
      </c>
      <c r="F90" s="19" t="s">
        <v>744</v>
      </c>
      <c r="G90" s="19" t="s">
        <v>745</v>
      </c>
      <c r="H90" s="19" t="s">
        <v>746</v>
      </c>
      <c r="I90" s="19" t="s">
        <v>168</v>
      </c>
      <c r="J90" s="19" t="s">
        <v>747</v>
      </c>
      <c r="K90" s="19" t="s">
        <v>38</v>
      </c>
      <c r="L90" s="18"/>
      <c r="M90" s="18" t="s">
        <v>30</v>
      </c>
      <c r="N90" s="18"/>
      <c r="O90" s="18"/>
      <c r="P90" s="19" t="s">
        <v>748</v>
      </c>
      <c r="Q90" s="19"/>
      <c r="R90" s="17"/>
    </row>
    <row r="91" spans="1:18" ht="69.75" hidden="1" customHeight="1" x14ac:dyDescent="0.25">
      <c r="A91" s="17" t="s">
        <v>749</v>
      </c>
      <c r="B91" s="17" t="s">
        <v>750</v>
      </c>
      <c r="C91" s="17" t="s">
        <v>735</v>
      </c>
      <c r="D91" s="17" t="s">
        <v>751</v>
      </c>
      <c r="E91" s="17" t="s">
        <v>23</v>
      </c>
      <c r="F91" s="17" t="s">
        <v>752</v>
      </c>
      <c r="G91" s="17" t="s">
        <v>753</v>
      </c>
      <c r="H91" s="17" t="s">
        <v>754</v>
      </c>
      <c r="I91" s="17" t="s">
        <v>755</v>
      </c>
      <c r="J91" s="17" t="s">
        <v>756</v>
      </c>
      <c r="K91" s="17" t="s">
        <v>29</v>
      </c>
      <c r="L91" s="18"/>
      <c r="M91" s="18" t="s">
        <v>30</v>
      </c>
      <c r="N91" s="18"/>
      <c r="O91" s="18"/>
      <c r="P91" s="17"/>
      <c r="Q91" s="17"/>
      <c r="R91" s="17"/>
    </row>
    <row r="92" spans="1:18" ht="69.75" hidden="1" customHeight="1" x14ac:dyDescent="0.25">
      <c r="A92" s="17" t="s">
        <v>757</v>
      </c>
      <c r="B92" s="17" t="s">
        <v>758</v>
      </c>
      <c r="C92" s="17" t="s">
        <v>735</v>
      </c>
      <c r="D92" s="17" t="s">
        <v>759</v>
      </c>
      <c r="E92" s="17" t="s">
        <v>23</v>
      </c>
      <c r="F92" s="17" t="s">
        <v>760</v>
      </c>
      <c r="G92" s="17" t="s">
        <v>761</v>
      </c>
      <c r="H92" s="17" t="s">
        <v>762</v>
      </c>
      <c r="I92" s="17" t="s">
        <v>574</v>
      </c>
      <c r="J92" s="17" t="s">
        <v>763</v>
      </c>
      <c r="K92" s="17" t="s">
        <v>117</v>
      </c>
      <c r="L92" s="18"/>
      <c r="M92" s="18" t="s">
        <v>30</v>
      </c>
      <c r="N92" s="18"/>
      <c r="O92" s="18"/>
      <c r="P92" s="17"/>
      <c r="Q92" s="17"/>
      <c r="R92" s="17"/>
    </row>
    <row r="93" spans="1:18" ht="105" hidden="1" customHeight="1" x14ac:dyDescent="0.25">
      <c r="A93" s="17" t="s">
        <v>764</v>
      </c>
      <c r="B93" s="17" t="s">
        <v>758</v>
      </c>
      <c r="C93" s="17" t="s">
        <v>735</v>
      </c>
      <c r="D93" s="17" t="s">
        <v>759</v>
      </c>
      <c r="E93" s="17" t="s">
        <v>23</v>
      </c>
      <c r="F93" s="17" t="s">
        <v>765</v>
      </c>
      <c r="G93" s="17" t="s">
        <v>766</v>
      </c>
      <c r="H93" s="17" t="s">
        <v>767</v>
      </c>
      <c r="I93" s="17" t="s">
        <v>768</v>
      </c>
      <c r="J93" s="17" t="s">
        <v>769</v>
      </c>
      <c r="K93" s="17" t="s">
        <v>38</v>
      </c>
      <c r="L93" s="18"/>
      <c r="M93" s="18" t="s">
        <v>30</v>
      </c>
      <c r="N93" s="18"/>
      <c r="O93" s="18"/>
      <c r="P93" s="17"/>
      <c r="Q93" s="17" t="s">
        <v>770</v>
      </c>
      <c r="R93" s="17"/>
    </row>
    <row r="94" spans="1:18" ht="75" hidden="1" customHeight="1" x14ac:dyDescent="0.25">
      <c r="A94" s="19" t="s">
        <v>771</v>
      </c>
      <c r="B94" s="19" t="s">
        <v>772</v>
      </c>
      <c r="C94" s="19" t="s">
        <v>735</v>
      </c>
      <c r="D94" s="19" t="s">
        <v>773</v>
      </c>
      <c r="E94" s="19" t="s">
        <v>23</v>
      </c>
      <c r="F94" s="19" t="s">
        <v>774</v>
      </c>
      <c r="G94" s="19" t="s">
        <v>775</v>
      </c>
      <c r="H94" s="19" t="s">
        <v>776</v>
      </c>
      <c r="I94" s="19" t="s">
        <v>777</v>
      </c>
      <c r="J94" s="19" t="s">
        <v>778</v>
      </c>
      <c r="K94" s="19" t="s">
        <v>38</v>
      </c>
      <c r="L94" s="18"/>
      <c r="M94" s="18" t="s">
        <v>30</v>
      </c>
      <c r="N94" s="18"/>
      <c r="O94" s="18"/>
      <c r="P94" s="19" t="s">
        <v>779</v>
      </c>
      <c r="Q94" s="19" t="s">
        <v>780</v>
      </c>
      <c r="R94" s="17"/>
    </row>
    <row r="95" spans="1:18" ht="75" hidden="1" customHeight="1" x14ac:dyDescent="0.25">
      <c r="A95" s="19" t="s">
        <v>781</v>
      </c>
      <c r="B95" s="19" t="s">
        <v>782</v>
      </c>
      <c r="C95" s="19" t="s">
        <v>735</v>
      </c>
      <c r="D95" s="19" t="s">
        <v>736</v>
      </c>
      <c r="E95" s="19" t="s">
        <v>245</v>
      </c>
      <c r="F95" s="19" t="s">
        <v>783</v>
      </c>
      <c r="G95" s="19" t="s">
        <v>784</v>
      </c>
      <c r="H95" s="19" t="s">
        <v>785</v>
      </c>
      <c r="I95" s="19" t="s">
        <v>786</v>
      </c>
      <c r="J95" s="19" t="s">
        <v>787</v>
      </c>
      <c r="K95" s="19" t="s">
        <v>38</v>
      </c>
      <c r="L95" s="18"/>
      <c r="M95" s="18" t="s">
        <v>30</v>
      </c>
      <c r="N95" s="18"/>
      <c r="O95" s="18"/>
      <c r="P95" s="19" t="s">
        <v>788</v>
      </c>
      <c r="Q95" s="19" t="s">
        <v>678</v>
      </c>
      <c r="R95" s="17"/>
    </row>
    <row r="96" spans="1:18" ht="90" customHeight="1" x14ac:dyDescent="0.25">
      <c r="A96" s="19" t="s">
        <v>789</v>
      </c>
      <c r="B96" s="19" t="s">
        <v>790</v>
      </c>
      <c r="C96" s="19" t="s">
        <v>735</v>
      </c>
      <c r="D96" s="19" t="s">
        <v>791</v>
      </c>
      <c r="E96" s="19" t="s">
        <v>23</v>
      </c>
      <c r="F96" s="19" t="s">
        <v>792</v>
      </c>
      <c r="G96" s="19" t="s">
        <v>793</v>
      </c>
      <c r="H96" s="19" t="s">
        <v>794</v>
      </c>
      <c r="I96" s="19" t="s">
        <v>795</v>
      </c>
      <c r="J96" s="19" t="s">
        <v>796</v>
      </c>
      <c r="K96" s="19" t="s">
        <v>38</v>
      </c>
      <c r="L96" s="18"/>
      <c r="M96" s="18" t="s">
        <v>30</v>
      </c>
      <c r="N96" s="18"/>
      <c r="O96" s="18"/>
      <c r="P96" s="19" t="s">
        <v>797</v>
      </c>
      <c r="Q96" s="19" t="s">
        <v>678</v>
      </c>
      <c r="R96" s="17"/>
    </row>
    <row r="97" spans="1:18" ht="120" customHeight="1" x14ac:dyDescent="0.25">
      <c r="A97" s="19" t="s">
        <v>798</v>
      </c>
      <c r="B97" s="19" t="s">
        <v>790</v>
      </c>
      <c r="C97" s="19" t="s">
        <v>735</v>
      </c>
      <c r="D97" s="19" t="s">
        <v>799</v>
      </c>
      <c r="E97" s="19" t="s">
        <v>23</v>
      </c>
      <c r="F97" s="19" t="s">
        <v>800</v>
      </c>
      <c r="G97" s="19" t="s">
        <v>801</v>
      </c>
      <c r="H97" s="19" t="s">
        <v>802</v>
      </c>
      <c r="I97" s="19" t="s">
        <v>803</v>
      </c>
      <c r="J97" s="19" t="s">
        <v>804</v>
      </c>
      <c r="K97" s="19" t="s">
        <v>38</v>
      </c>
      <c r="L97" s="18"/>
      <c r="M97" s="18" t="s">
        <v>30</v>
      </c>
      <c r="N97" s="18"/>
      <c r="O97" s="18"/>
      <c r="P97" s="19" t="s">
        <v>797</v>
      </c>
      <c r="Q97" s="19" t="s">
        <v>678</v>
      </c>
      <c r="R97" s="17"/>
    </row>
    <row r="98" spans="1:18" ht="165" customHeight="1" x14ac:dyDescent="0.25">
      <c r="A98" s="19" t="s">
        <v>805</v>
      </c>
      <c r="B98" s="19" t="s">
        <v>806</v>
      </c>
      <c r="C98" s="19" t="s">
        <v>735</v>
      </c>
      <c r="D98" s="19" t="s">
        <v>736</v>
      </c>
      <c r="E98" s="19" t="s">
        <v>86</v>
      </c>
      <c r="F98" s="19" t="s">
        <v>807</v>
      </c>
      <c r="G98" s="19" t="s">
        <v>808</v>
      </c>
      <c r="H98" s="19" t="s">
        <v>809</v>
      </c>
      <c r="I98" s="19" t="s">
        <v>810</v>
      </c>
      <c r="J98" s="19" t="s">
        <v>811</v>
      </c>
      <c r="K98" s="19" t="s">
        <v>38</v>
      </c>
      <c r="L98" s="18"/>
      <c r="M98" s="18" t="s">
        <v>30</v>
      </c>
      <c r="N98" s="18"/>
      <c r="O98" s="18"/>
      <c r="P98" s="19" t="s">
        <v>812</v>
      </c>
      <c r="Q98" s="19" t="s">
        <v>678</v>
      </c>
      <c r="R98" s="17"/>
    </row>
    <row r="99" spans="1:18" ht="69.75" customHeight="1" x14ac:dyDescent="0.25">
      <c r="A99" s="17" t="s">
        <v>813</v>
      </c>
      <c r="B99" s="17" t="s">
        <v>814</v>
      </c>
      <c r="C99" s="17" t="s">
        <v>815</v>
      </c>
      <c r="D99" s="17" t="s">
        <v>816</v>
      </c>
      <c r="E99" s="17" t="s">
        <v>23</v>
      </c>
      <c r="F99" s="17" t="s">
        <v>817</v>
      </c>
      <c r="G99" s="17" t="s">
        <v>818</v>
      </c>
      <c r="H99" s="17" t="s">
        <v>819</v>
      </c>
      <c r="I99" s="17" t="s">
        <v>820</v>
      </c>
      <c r="J99" s="17" t="s">
        <v>821</v>
      </c>
      <c r="K99" s="17" t="s">
        <v>29</v>
      </c>
      <c r="L99" s="18"/>
      <c r="M99" s="18" t="s">
        <v>30</v>
      </c>
      <c r="N99" s="18"/>
      <c r="O99" s="18"/>
      <c r="P99" s="17"/>
      <c r="Q99" s="17"/>
      <c r="R99" s="17"/>
    </row>
    <row r="100" spans="1:18" ht="180" customHeight="1" x14ac:dyDescent="0.25">
      <c r="A100" s="19" t="s">
        <v>822</v>
      </c>
      <c r="B100" s="19" t="s">
        <v>814</v>
      </c>
      <c r="C100" s="19" t="s">
        <v>815</v>
      </c>
      <c r="D100" s="19" t="s">
        <v>823</v>
      </c>
      <c r="E100" s="19" t="s">
        <v>59</v>
      </c>
      <c r="F100" s="19" t="s">
        <v>824</v>
      </c>
      <c r="G100" s="19" t="s">
        <v>825</v>
      </c>
      <c r="H100" s="19" t="s">
        <v>826</v>
      </c>
      <c r="I100" s="19" t="s">
        <v>827</v>
      </c>
      <c r="J100" s="19" t="s">
        <v>828</v>
      </c>
      <c r="K100" s="19" t="s">
        <v>38</v>
      </c>
      <c r="L100" s="18"/>
      <c r="M100" s="18" t="s">
        <v>30</v>
      </c>
      <c r="N100" s="18"/>
      <c r="O100" s="18"/>
      <c r="P100" s="19" t="s">
        <v>779</v>
      </c>
      <c r="Q100" s="19" t="s">
        <v>829</v>
      </c>
      <c r="R100" s="17"/>
    </row>
    <row r="101" spans="1:18" ht="105" customHeight="1" x14ac:dyDescent="0.25">
      <c r="A101" s="17" t="s">
        <v>830</v>
      </c>
      <c r="B101" s="17" t="s">
        <v>814</v>
      </c>
      <c r="C101" s="17" t="s">
        <v>815</v>
      </c>
      <c r="D101" s="17" t="s">
        <v>816</v>
      </c>
      <c r="E101" s="17" t="s">
        <v>23</v>
      </c>
      <c r="F101" s="17" t="s">
        <v>831</v>
      </c>
      <c r="G101" s="17" t="s">
        <v>832</v>
      </c>
      <c r="H101" s="17" t="s">
        <v>833</v>
      </c>
      <c r="I101" s="17" t="s">
        <v>834</v>
      </c>
      <c r="J101" s="17" t="s">
        <v>835</v>
      </c>
      <c r="K101" s="17" t="s">
        <v>38</v>
      </c>
      <c r="L101" s="18"/>
      <c r="M101" s="18" t="s">
        <v>30</v>
      </c>
      <c r="N101" s="18"/>
      <c r="O101" s="18"/>
      <c r="P101" s="17"/>
      <c r="Q101" s="17" t="s">
        <v>836</v>
      </c>
      <c r="R101" s="17"/>
    </row>
    <row r="102" spans="1:18" ht="69.75" hidden="1" customHeight="1" x14ac:dyDescent="0.25">
      <c r="A102" s="17" t="s">
        <v>837</v>
      </c>
      <c r="B102" s="17" t="s">
        <v>838</v>
      </c>
      <c r="C102" s="17" t="s">
        <v>815</v>
      </c>
      <c r="D102" s="17" t="s">
        <v>839</v>
      </c>
      <c r="E102" s="17" t="s">
        <v>23</v>
      </c>
      <c r="F102" s="17" t="s">
        <v>840</v>
      </c>
      <c r="G102" s="17" t="s">
        <v>841</v>
      </c>
      <c r="H102" s="17" t="s">
        <v>842</v>
      </c>
      <c r="I102" s="17" t="s">
        <v>843</v>
      </c>
      <c r="J102" s="17" t="s">
        <v>844</v>
      </c>
      <c r="K102" s="17" t="s">
        <v>29</v>
      </c>
      <c r="L102" s="18"/>
      <c r="M102" s="18" t="s">
        <v>30</v>
      </c>
      <c r="N102" s="18"/>
      <c r="O102" s="18"/>
      <c r="P102" s="17"/>
      <c r="Q102" s="17"/>
      <c r="R102" s="17"/>
    </row>
    <row r="103" spans="1:18" ht="69.75" hidden="1" customHeight="1" x14ac:dyDescent="0.25">
      <c r="A103" s="17" t="s">
        <v>845</v>
      </c>
      <c r="B103" s="17" t="s">
        <v>838</v>
      </c>
      <c r="C103" s="17" t="s">
        <v>815</v>
      </c>
      <c r="D103" s="17" t="s">
        <v>846</v>
      </c>
      <c r="E103" s="17" t="s">
        <v>59</v>
      </c>
      <c r="F103" s="17" t="s">
        <v>847</v>
      </c>
      <c r="G103" s="17" t="s">
        <v>848</v>
      </c>
      <c r="H103" s="17" t="s">
        <v>849</v>
      </c>
      <c r="I103" s="17" t="s">
        <v>582</v>
      </c>
      <c r="J103" s="17" t="s">
        <v>850</v>
      </c>
      <c r="K103" s="17" t="s">
        <v>38</v>
      </c>
      <c r="L103" s="18"/>
      <c r="M103" s="18" t="s">
        <v>30</v>
      </c>
      <c r="N103" s="18"/>
      <c r="O103" s="18"/>
      <c r="P103" s="17"/>
      <c r="Q103" s="17" t="s">
        <v>851</v>
      </c>
      <c r="R103" s="17"/>
    </row>
    <row r="104" spans="1:18" ht="120" hidden="1" customHeight="1" x14ac:dyDescent="0.25">
      <c r="A104" s="17" t="s">
        <v>852</v>
      </c>
      <c r="B104" s="17" t="s">
        <v>838</v>
      </c>
      <c r="C104" s="17" t="s">
        <v>815</v>
      </c>
      <c r="D104" s="17" t="s">
        <v>853</v>
      </c>
      <c r="E104" s="17" t="s">
        <v>23</v>
      </c>
      <c r="F104" s="17" t="s">
        <v>854</v>
      </c>
      <c r="G104" s="17" t="s">
        <v>855</v>
      </c>
      <c r="H104" s="17" t="s">
        <v>856</v>
      </c>
      <c r="I104" s="17" t="s">
        <v>574</v>
      </c>
      <c r="J104" s="17" t="s">
        <v>857</v>
      </c>
      <c r="K104" s="17" t="s">
        <v>117</v>
      </c>
      <c r="L104" s="18"/>
      <c r="M104" s="18" t="s">
        <v>30</v>
      </c>
      <c r="N104" s="18"/>
      <c r="O104" s="18"/>
      <c r="P104" s="17"/>
      <c r="Q104" s="17" t="s">
        <v>858</v>
      </c>
      <c r="R104" s="17"/>
    </row>
    <row r="105" spans="1:18" ht="69.75" hidden="1" customHeight="1" x14ac:dyDescent="0.25">
      <c r="A105" s="17" t="s">
        <v>859</v>
      </c>
      <c r="B105" s="17" t="s">
        <v>860</v>
      </c>
      <c r="C105" s="17" t="s">
        <v>815</v>
      </c>
      <c r="D105" s="17" t="s">
        <v>861</v>
      </c>
      <c r="E105" s="17" t="s">
        <v>59</v>
      </c>
      <c r="F105" s="17" t="s">
        <v>862</v>
      </c>
      <c r="G105" s="17" t="s">
        <v>863</v>
      </c>
      <c r="H105" s="17" t="s">
        <v>864</v>
      </c>
      <c r="I105" s="17" t="s">
        <v>865</v>
      </c>
      <c r="J105" s="17" t="s">
        <v>866</v>
      </c>
      <c r="K105" s="17" t="s">
        <v>29</v>
      </c>
      <c r="L105" s="18"/>
      <c r="M105" s="18" t="s">
        <v>30</v>
      </c>
      <c r="N105" s="18"/>
      <c r="O105" s="18"/>
      <c r="P105" s="17"/>
      <c r="Q105" s="17"/>
      <c r="R105" s="17" t="s">
        <v>867</v>
      </c>
    </row>
    <row r="106" spans="1:18" ht="69.75" hidden="1" customHeight="1" x14ac:dyDescent="0.25">
      <c r="A106" s="19" t="s">
        <v>868</v>
      </c>
      <c r="B106" s="19" t="s">
        <v>869</v>
      </c>
      <c r="C106" s="19" t="s">
        <v>815</v>
      </c>
      <c r="D106" s="19" t="s">
        <v>870</v>
      </c>
      <c r="E106" s="19" t="s">
        <v>32</v>
      </c>
      <c r="F106" s="19" t="s">
        <v>871</v>
      </c>
      <c r="G106" s="19" t="s">
        <v>872</v>
      </c>
      <c r="H106" s="19" t="s">
        <v>873</v>
      </c>
      <c r="I106" s="19" t="s">
        <v>874</v>
      </c>
      <c r="J106" s="19" t="s">
        <v>875</v>
      </c>
      <c r="K106" s="19" t="s">
        <v>29</v>
      </c>
      <c r="L106" s="18"/>
      <c r="M106" s="18" t="s">
        <v>30</v>
      </c>
      <c r="N106" s="18"/>
      <c r="O106" s="18"/>
      <c r="P106" s="19" t="s">
        <v>591</v>
      </c>
      <c r="Q106" s="19" t="s">
        <v>876</v>
      </c>
      <c r="R106" s="17" t="s">
        <v>877</v>
      </c>
    </row>
    <row r="107" spans="1:18" ht="69.75" hidden="1" customHeight="1" x14ac:dyDescent="0.25">
      <c r="A107" s="19" t="s">
        <v>878</v>
      </c>
      <c r="B107" s="19" t="s">
        <v>869</v>
      </c>
      <c r="C107" s="19" t="s">
        <v>815</v>
      </c>
      <c r="D107" s="19" t="s">
        <v>870</v>
      </c>
      <c r="E107" s="19" t="s">
        <v>59</v>
      </c>
      <c r="F107" s="19" t="s">
        <v>879</v>
      </c>
      <c r="G107" s="19" t="s">
        <v>880</v>
      </c>
      <c r="H107" s="19" t="s">
        <v>881</v>
      </c>
      <c r="I107" s="19" t="s">
        <v>882</v>
      </c>
      <c r="J107" s="19" t="s">
        <v>883</v>
      </c>
      <c r="K107" s="19" t="s">
        <v>38</v>
      </c>
      <c r="L107" s="18"/>
      <c r="M107" s="18" t="s">
        <v>30</v>
      </c>
      <c r="N107" s="18"/>
      <c r="O107" s="18"/>
      <c r="P107" s="19" t="s">
        <v>591</v>
      </c>
      <c r="Q107" s="19" t="s">
        <v>884</v>
      </c>
      <c r="R107" s="17"/>
    </row>
    <row r="108" spans="1:18" ht="105" hidden="1" customHeight="1" x14ac:dyDescent="0.25">
      <c r="A108" s="19" t="s">
        <v>885</v>
      </c>
      <c r="B108" s="19" t="s">
        <v>886</v>
      </c>
      <c r="C108" s="19" t="s">
        <v>815</v>
      </c>
      <c r="D108" s="19" t="s">
        <v>846</v>
      </c>
      <c r="E108" s="19" t="s">
        <v>41</v>
      </c>
      <c r="F108" s="19" t="s">
        <v>887</v>
      </c>
      <c r="G108" s="19" t="s">
        <v>888</v>
      </c>
      <c r="H108" s="19" t="s">
        <v>889</v>
      </c>
      <c r="I108" s="19" t="s">
        <v>574</v>
      </c>
      <c r="J108" s="19" t="s">
        <v>890</v>
      </c>
      <c r="K108" s="19" t="s">
        <v>117</v>
      </c>
      <c r="L108" s="18"/>
      <c r="M108" s="18" t="s">
        <v>30</v>
      </c>
      <c r="N108" s="18"/>
      <c r="O108" s="18"/>
      <c r="P108" s="19" t="s">
        <v>891</v>
      </c>
      <c r="Q108" s="19" t="s">
        <v>678</v>
      </c>
      <c r="R108" s="17"/>
    </row>
    <row r="109" spans="1:18" ht="150" hidden="1" customHeight="1" x14ac:dyDescent="0.25">
      <c r="A109" s="19" t="s">
        <v>892</v>
      </c>
      <c r="B109" s="19" t="s">
        <v>893</v>
      </c>
      <c r="C109" s="19" t="s">
        <v>815</v>
      </c>
      <c r="D109" s="19" t="s">
        <v>823</v>
      </c>
      <c r="E109" s="19" t="s">
        <v>86</v>
      </c>
      <c r="F109" s="19" t="s">
        <v>894</v>
      </c>
      <c r="G109" s="19" t="s">
        <v>895</v>
      </c>
      <c r="H109" s="19" t="s">
        <v>896</v>
      </c>
      <c r="I109" s="19" t="s">
        <v>897</v>
      </c>
      <c r="J109" s="19" t="s">
        <v>898</v>
      </c>
      <c r="K109" s="19" t="s">
        <v>38</v>
      </c>
      <c r="L109" s="18"/>
      <c r="M109" s="18" t="s">
        <v>30</v>
      </c>
      <c r="N109" s="18"/>
      <c r="O109" s="18"/>
      <c r="P109" s="19" t="s">
        <v>899</v>
      </c>
      <c r="Q109" s="19" t="s">
        <v>678</v>
      </c>
      <c r="R109" s="17"/>
    </row>
    <row r="110" spans="1:18" ht="69.75" hidden="1" customHeight="1" x14ac:dyDescent="0.25">
      <c r="A110" s="17" t="s">
        <v>900</v>
      </c>
      <c r="B110" s="17" t="s">
        <v>901</v>
      </c>
      <c r="C110" s="17" t="s">
        <v>902</v>
      </c>
      <c r="D110" s="17" t="s">
        <v>853</v>
      </c>
      <c r="E110" s="17" t="s">
        <v>23</v>
      </c>
      <c r="F110" s="17" t="s">
        <v>903</v>
      </c>
      <c r="G110" s="17" t="s">
        <v>904</v>
      </c>
      <c r="H110" s="17" t="s">
        <v>905</v>
      </c>
      <c r="I110" s="17" t="s">
        <v>906</v>
      </c>
      <c r="J110" s="17" t="s">
        <v>907</v>
      </c>
      <c r="K110" s="17" t="s">
        <v>29</v>
      </c>
      <c r="L110" s="18"/>
      <c r="M110" s="18" t="s">
        <v>30</v>
      </c>
      <c r="N110" s="18"/>
      <c r="O110" s="18"/>
      <c r="P110" s="17"/>
      <c r="Q110" s="17"/>
      <c r="R110" s="17"/>
    </row>
    <row r="111" spans="1:18" ht="69.75" hidden="1" customHeight="1" x14ac:dyDescent="0.25">
      <c r="A111" s="19" t="s">
        <v>908</v>
      </c>
      <c r="B111" s="19" t="s">
        <v>901</v>
      </c>
      <c r="C111" s="19" t="s">
        <v>902</v>
      </c>
      <c r="D111" s="19" t="s">
        <v>909</v>
      </c>
      <c r="E111" s="19" t="s">
        <v>59</v>
      </c>
      <c r="F111" s="19" t="s">
        <v>910</v>
      </c>
      <c r="G111" s="19" t="s">
        <v>911</v>
      </c>
      <c r="H111" s="19" t="s">
        <v>912</v>
      </c>
      <c r="I111" s="19" t="s">
        <v>913</v>
      </c>
      <c r="J111" s="19" t="s">
        <v>914</v>
      </c>
      <c r="K111" s="19" t="s">
        <v>38</v>
      </c>
      <c r="L111" s="18"/>
      <c r="M111" s="18" t="s">
        <v>30</v>
      </c>
      <c r="N111" s="18"/>
      <c r="O111" s="18"/>
      <c r="P111" s="19" t="s">
        <v>591</v>
      </c>
      <c r="Q111" s="19" t="s">
        <v>915</v>
      </c>
      <c r="R111" s="17"/>
    </row>
    <row r="112" spans="1:18" ht="69.75" hidden="1" customHeight="1" x14ac:dyDescent="0.25">
      <c r="A112" s="19" t="s">
        <v>916</v>
      </c>
      <c r="B112" s="19" t="s">
        <v>901</v>
      </c>
      <c r="C112" s="19" t="s">
        <v>902</v>
      </c>
      <c r="D112" s="19" t="s">
        <v>917</v>
      </c>
      <c r="E112" s="19" t="s">
        <v>32</v>
      </c>
      <c r="F112" s="19" t="s">
        <v>918</v>
      </c>
      <c r="G112" s="19" t="s">
        <v>919</v>
      </c>
      <c r="H112" s="19" t="s">
        <v>920</v>
      </c>
      <c r="I112" s="19" t="s">
        <v>921</v>
      </c>
      <c r="J112" s="19" t="s">
        <v>922</v>
      </c>
      <c r="K112" s="19" t="s">
        <v>117</v>
      </c>
      <c r="L112" s="18"/>
      <c r="M112" s="18" t="s">
        <v>30</v>
      </c>
      <c r="N112" s="18"/>
      <c r="O112" s="18"/>
      <c r="P112" s="19" t="s">
        <v>923</v>
      </c>
      <c r="Q112" s="19" t="s">
        <v>208</v>
      </c>
      <c r="R112" s="17"/>
    </row>
    <row r="113" spans="1:18" ht="150" hidden="1" customHeight="1" x14ac:dyDescent="0.25">
      <c r="A113" s="19" t="s">
        <v>924</v>
      </c>
      <c r="B113" s="19" t="s">
        <v>901</v>
      </c>
      <c r="C113" s="19" t="s">
        <v>902</v>
      </c>
      <c r="D113" s="19" t="s">
        <v>925</v>
      </c>
      <c r="E113" s="19" t="s">
        <v>59</v>
      </c>
      <c r="F113" s="19" t="s">
        <v>926</v>
      </c>
      <c r="G113" s="19" t="s">
        <v>927</v>
      </c>
      <c r="H113" s="19" t="s">
        <v>928</v>
      </c>
      <c r="I113" s="19" t="s">
        <v>929</v>
      </c>
      <c r="J113" s="19" t="s">
        <v>930</v>
      </c>
      <c r="K113" s="19" t="s">
        <v>38</v>
      </c>
      <c r="L113" s="18"/>
      <c r="M113" s="18" t="s">
        <v>30</v>
      </c>
      <c r="N113" s="18"/>
      <c r="O113" s="18"/>
      <c r="P113" s="19" t="s">
        <v>931</v>
      </c>
      <c r="Q113" s="19" t="s">
        <v>932</v>
      </c>
      <c r="R113" s="17"/>
    </row>
    <row r="114" spans="1:18" ht="90" hidden="1" customHeight="1" x14ac:dyDescent="0.25">
      <c r="A114" s="17" t="s">
        <v>933</v>
      </c>
      <c r="B114" s="17" t="s">
        <v>901</v>
      </c>
      <c r="C114" s="17" t="s">
        <v>902</v>
      </c>
      <c r="D114" s="17" t="s">
        <v>934</v>
      </c>
      <c r="E114" s="17" t="s">
        <v>23</v>
      </c>
      <c r="F114" s="17" t="s">
        <v>935</v>
      </c>
      <c r="G114" s="17" t="s">
        <v>936</v>
      </c>
      <c r="H114" s="17" t="s">
        <v>937</v>
      </c>
      <c r="I114" s="17" t="s">
        <v>938</v>
      </c>
      <c r="J114" s="17" t="s">
        <v>939</v>
      </c>
      <c r="K114" s="17" t="s">
        <v>38</v>
      </c>
      <c r="L114" s="18"/>
      <c r="M114" s="18" t="s">
        <v>30</v>
      </c>
      <c r="N114" s="18"/>
      <c r="O114" s="18"/>
      <c r="P114" s="17"/>
      <c r="Q114" s="17" t="s">
        <v>940</v>
      </c>
      <c r="R114" s="17"/>
    </row>
    <row r="115" spans="1:18" ht="69.75" hidden="1" customHeight="1" x14ac:dyDescent="0.25">
      <c r="A115" s="17" t="s">
        <v>941</v>
      </c>
      <c r="B115" s="17" t="s">
        <v>942</v>
      </c>
      <c r="C115" s="17" t="s">
        <v>902</v>
      </c>
      <c r="D115" s="17" t="s">
        <v>943</v>
      </c>
      <c r="E115" s="17" t="s">
        <v>23</v>
      </c>
      <c r="F115" s="17" t="s">
        <v>944</v>
      </c>
      <c r="G115" s="17" t="s">
        <v>945</v>
      </c>
      <c r="H115" s="17" t="s">
        <v>946</v>
      </c>
      <c r="I115" s="17" t="s">
        <v>947</v>
      </c>
      <c r="J115" s="17" t="s">
        <v>948</v>
      </c>
      <c r="K115" s="17" t="s">
        <v>38</v>
      </c>
      <c r="L115" s="18"/>
      <c r="M115" s="18" t="s">
        <v>30</v>
      </c>
      <c r="N115" s="18"/>
      <c r="O115" s="18"/>
      <c r="P115" s="17"/>
      <c r="Q115" s="17"/>
      <c r="R115" s="17"/>
    </row>
    <row r="116" spans="1:18" ht="165" hidden="1" customHeight="1" x14ac:dyDescent="0.25">
      <c r="A116" s="19" t="s">
        <v>949</v>
      </c>
      <c r="B116" s="19" t="s">
        <v>950</v>
      </c>
      <c r="C116" s="19" t="s">
        <v>902</v>
      </c>
      <c r="D116" s="19" t="s">
        <v>951</v>
      </c>
      <c r="E116" s="19" t="s">
        <v>86</v>
      </c>
      <c r="F116" s="19" t="s">
        <v>952</v>
      </c>
      <c r="G116" s="19" t="s">
        <v>953</v>
      </c>
      <c r="H116" s="19" t="s">
        <v>954</v>
      </c>
      <c r="I116" s="19" t="s">
        <v>955</v>
      </c>
      <c r="J116" s="19" t="s">
        <v>956</v>
      </c>
      <c r="K116" s="19" t="s">
        <v>29</v>
      </c>
      <c r="L116" s="18"/>
      <c r="M116" s="18" t="s">
        <v>30</v>
      </c>
      <c r="N116" s="18"/>
      <c r="O116" s="18"/>
      <c r="P116" s="19" t="s">
        <v>957</v>
      </c>
      <c r="Q116" s="19" t="s">
        <v>678</v>
      </c>
      <c r="R116" s="17"/>
    </row>
    <row r="117" spans="1:18" ht="69.75" hidden="1" customHeight="1" x14ac:dyDescent="0.25">
      <c r="A117" s="19" t="s">
        <v>958</v>
      </c>
      <c r="B117" s="19" t="s">
        <v>959</v>
      </c>
      <c r="C117" s="19" t="s">
        <v>960</v>
      </c>
      <c r="D117" s="19" t="s">
        <v>961</v>
      </c>
      <c r="E117" s="19" t="s">
        <v>23</v>
      </c>
      <c r="F117" s="19" t="s">
        <v>962</v>
      </c>
      <c r="G117" s="19" t="s">
        <v>963</v>
      </c>
      <c r="H117" s="19" t="s">
        <v>964</v>
      </c>
      <c r="I117" s="19" t="s">
        <v>965</v>
      </c>
      <c r="J117" s="19" t="s">
        <v>966</v>
      </c>
      <c r="K117" s="19" t="s">
        <v>29</v>
      </c>
      <c r="L117" s="18"/>
      <c r="M117" s="18" t="s">
        <v>30</v>
      </c>
      <c r="N117" s="18"/>
      <c r="O117" s="18"/>
      <c r="P117" s="19" t="s">
        <v>967</v>
      </c>
      <c r="Q117" s="19" t="s">
        <v>968</v>
      </c>
      <c r="R117" s="17"/>
    </row>
    <row r="118" spans="1:18" ht="69.75" hidden="1" customHeight="1" x14ac:dyDescent="0.25">
      <c r="A118" s="19" t="s">
        <v>969</v>
      </c>
      <c r="B118" s="19" t="s">
        <v>970</v>
      </c>
      <c r="C118" s="19" t="s">
        <v>960</v>
      </c>
      <c r="D118" s="19" t="s">
        <v>971</v>
      </c>
      <c r="E118" s="19" t="s">
        <v>23</v>
      </c>
      <c r="F118" s="19" t="s">
        <v>972</v>
      </c>
      <c r="G118" s="19" t="s">
        <v>973</v>
      </c>
      <c r="H118" s="19" t="s">
        <v>974</v>
      </c>
      <c r="I118" s="19" t="s">
        <v>975</v>
      </c>
      <c r="J118" s="19" t="s">
        <v>976</v>
      </c>
      <c r="K118" s="19" t="s">
        <v>38</v>
      </c>
      <c r="L118" s="18"/>
      <c r="M118" s="18" t="s">
        <v>30</v>
      </c>
      <c r="N118" s="18"/>
      <c r="O118" s="18"/>
      <c r="P118" s="19" t="s">
        <v>977</v>
      </c>
      <c r="Q118" s="19"/>
      <c r="R118" s="17" t="s">
        <v>978</v>
      </c>
    </row>
    <row r="119" spans="1:18" ht="69.75" hidden="1" customHeight="1" x14ac:dyDescent="0.25">
      <c r="A119" s="19" t="s">
        <v>979</v>
      </c>
      <c r="B119" s="19" t="s">
        <v>980</v>
      </c>
      <c r="C119" s="19" t="s">
        <v>960</v>
      </c>
      <c r="D119" s="19" t="s">
        <v>981</v>
      </c>
      <c r="E119" s="19" t="s">
        <v>86</v>
      </c>
      <c r="F119" s="19" t="s">
        <v>982</v>
      </c>
      <c r="G119" s="19" t="s">
        <v>983</v>
      </c>
      <c r="H119" s="19" t="s">
        <v>984</v>
      </c>
      <c r="I119" s="19" t="s">
        <v>985</v>
      </c>
      <c r="J119" s="19" t="s">
        <v>986</v>
      </c>
      <c r="K119" s="19" t="s">
        <v>29</v>
      </c>
      <c r="L119" s="18"/>
      <c r="M119" s="18" t="s">
        <v>30</v>
      </c>
      <c r="N119" s="18"/>
      <c r="O119" s="18"/>
      <c r="P119" s="19" t="s">
        <v>987</v>
      </c>
      <c r="Q119" s="19"/>
      <c r="R119" s="17"/>
    </row>
    <row r="120" spans="1:18" ht="69.75" hidden="1" customHeight="1" x14ac:dyDescent="0.25">
      <c r="A120" s="19" t="s">
        <v>988</v>
      </c>
      <c r="B120" s="19" t="s">
        <v>989</v>
      </c>
      <c r="C120" s="19" t="s">
        <v>960</v>
      </c>
      <c r="D120" s="19" t="s">
        <v>981</v>
      </c>
      <c r="E120" s="19" t="s">
        <v>32</v>
      </c>
      <c r="F120" s="19" t="s">
        <v>990</v>
      </c>
      <c r="G120" s="19" t="s">
        <v>991</v>
      </c>
      <c r="H120" s="19" t="s">
        <v>992</v>
      </c>
      <c r="I120" s="19" t="s">
        <v>993</v>
      </c>
      <c r="J120" s="19" t="s">
        <v>994</v>
      </c>
      <c r="K120" s="19" t="s">
        <v>38</v>
      </c>
      <c r="L120" s="18"/>
      <c r="M120" s="18" t="s">
        <v>30</v>
      </c>
      <c r="N120" s="18"/>
      <c r="O120" s="18"/>
      <c r="P120" s="19" t="s">
        <v>995</v>
      </c>
      <c r="Q120" s="19" t="s">
        <v>996</v>
      </c>
      <c r="R120" s="17" t="s">
        <v>997</v>
      </c>
    </row>
    <row r="121" spans="1:18" ht="69.75" hidden="1" customHeight="1" x14ac:dyDescent="0.25">
      <c r="A121" s="19" t="s">
        <v>998</v>
      </c>
      <c r="B121" s="19" t="s">
        <v>999</v>
      </c>
      <c r="C121" s="19" t="s">
        <v>960</v>
      </c>
      <c r="D121" s="19" t="s">
        <v>981</v>
      </c>
      <c r="E121" s="19" t="s">
        <v>32</v>
      </c>
      <c r="F121" s="19" t="s">
        <v>1000</v>
      </c>
      <c r="G121" s="19" t="s">
        <v>1001</v>
      </c>
      <c r="H121" s="19" t="s">
        <v>1002</v>
      </c>
      <c r="I121" s="19" t="s">
        <v>1003</v>
      </c>
      <c r="J121" s="19" t="s">
        <v>1004</v>
      </c>
      <c r="K121" s="19" t="s">
        <v>38</v>
      </c>
      <c r="L121" s="18"/>
      <c r="M121" s="18" t="s">
        <v>30</v>
      </c>
      <c r="N121" s="18"/>
      <c r="O121" s="18"/>
      <c r="P121" s="19" t="s">
        <v>1005</v>
      </c>
      <c r="Q121" s="19" t="s">
        <v>1006</v>
      </c>
      <c r="R121" s="17"/>
    </row>
    <row r="122" spans="1:18" ht="69.75" customHeight="1" x14ac:dyDescent="0.25">
      <c r="A122" s="19" t="s">
        <v>1007</v>
      </c>
      <c r="B122" s="19" t="s">
        <v>1008</v>
      </c>
      <c r="C122" s="19" t="s">
        <v>960</v>
      </c>
      <c r="D122" s="19" t="s">
        <v>1009</v>
      </c>
      <c r="E122" s="19" t="s">
        <v>86</v>
      </c>
      <c r="F122" s="19" t="s">
        <v>1010</v>
      </c>
      <c r="G122" s="19" t="s">
        <v>1011</v>
      </c>
      <c r="H122" s="19" t="s">
        <v>1012</v>
      </c>
      <c r="I122" s="19" t="s">
        <v>1013</v>
      </c>
      <c r="J122" s="19" t="s">
        <v>1014</v>
      </c>
      <c r="K122" s="19" t="s">
        <v>117</v>
      </c>
      <c r="L122" s="18"/>
      <c r="M122" s="18" t="s">
        <v>30</v>
      </c>
      <c r="N122" s="18"/>
      <c r="O122" s="18"/>
      <c r="P122" s="19" t="s">
        <v>1015</v>
      </c>
      <c r="Q122" s="19" t="s">
        <v>1016</v>
      </c>
      <c r="R122" s="17"/>
    </row>
    <row r="123" spans="1:18" ht="105" customHeight="1" x14ac:dyDescent="0.25">
      <c r="A123" s="17" t="s">
        <v>1017</v>
      </c>
      <c r="B123" s="17" t="s">
        <v>1018</v>
      </c>
      <c r="C123" s="17" t="s">
        <v>960</v>
      </c>
      <c r="D123" s="17" t="s">
        <v>981</v>
      </c>
      <c r="E123" s="17" t="s">
        <v>552</v>
      </c>
      <c r="F123" s="17" t="s">
        <v>1019</v>
      </c>
      <c r="G123" s="17" t="s">
        <v>1020</v>
      </c>
      <c r="H123" s="17" t="s">
        <v>1021</v>
      </c>
      <c r="I123" s="17" t="s">
        <v>1022</v>
      </c>
      <c r="J123" s="17" t="s">
        <v>1023</v>
      </c>
      <c r="K123" s="17" t="s">
        <v>38</v>
      </c>
      <c r="L123" s="18"/>
      <c r="M123" s="18" t="s">
        <v>30</v>
      </c>
      <c r="N123" s="18"/>
      <c r="O123" s="18"/>
      <c r="P123" s="17"/>
      <c r="Q123" s="17" t="s">
        <v>1024</v>
      </c>
      <c r="R123" s="17"/>
    </row>
    <row r="124" spans="1:18" ht="195" customHeight="1" x14ac:dyDescent="0.25">
      <c r="A124" s="19" t="s">
        <v>1025</v>
      </c>
      <c r="B124" s="19" t="s">
        <v>1026</v>
      </c>
      <c r="C124" s="19" t="s">
        <v>960</v>
      </c>
      <c r="D124" s="19" t="s">
        <v>1027</v>
      </c>
      <c r="E124" s="19" t="s">
        <v>86</v>
      </c>
      <c r="F124" s="19" t="s">
        <v>1028</v>
      </c>
      <c r="G124" s="19" t="s">
        <v>1029</v>
      </c>
      <c r="H124" s="19" t="s">
        <v>1030</v>
      </c>
      <c r="I124" s="19" t="s">
        <v>1031</v>
      </c>
      <c r="J124" s="19" t="s">
        <v>1032</v>
      </c>
      <c r="K124" s="19" t="s">
        <v>29</v>
      </c>
      <c r="L124" s="18"/>
      <c r="M124" s="18" t="s">
        <v>30</v>
      </c>
      <c r="N124" s="18"/>
      <c r="O124" s="18"/>
      <c r="P124" s="19" t="s">
        <v>1033</v>
      </c>
      <c r="Q124" s="19" t="s">
        <v>1034</v>
      </c>
      <c r="R124" s="17"/>
    </row>
    <row r="125" spans="1:18" ht="180" customHeight="1" x14ac:dyDescent="0.25">
      <c r="A125" s="19" t="s">
        <v>1035</v>
      </c>
      <c r="B125" s="19" t="s">
        <v>1036</v>
      </c>
      <c r="C125" s="19" t="s">
        <v>960</v>
      </c>
      <c r="D125" s="19" t="s">
        <v>1009</v>
      </c>
      <c r="E125" s="19" t="s">
        <v>86</v>
      </c>
      <c r="F125" s="19" t="s">
        <v>1037</v>
      </c>
      <c r="G125" s="19" t="s">
        <v>1038</v>
      </c>
      <c r="H125" s="19" t="s">
        <v>1039</v>
      </c>
      <c r="I125" s="19" t="s">
        <v>1040</v>
      </c>
      <c r="J125" s="19" t="s">
        <v>1041</v>
      </c>
      <c r="K125" s="19" t="s">
        <v>38</v>
      </c>
      <c r="L125" s="18"/>
      <c r="M125" s="18" t="s">
        <v>30</v>
      </c>
      <c r="N125" s="18"/>
      <c r="O125" s="18"/>
      <c r="P125" s="19" t="s">
        <v>1042</v>
      </c>
      <c r="Q125" s="19" t="s">
        <v>678</v>
      </c>
      <c r="R125" s="17"/>
    </row>
    <row r="126" spans="1:18" ht="150" hidden="1" customHeight="1" x14ac:dyDescent="0.25">
      <c r="A126" s="19" t="s">
        <v>1043</v>
      </c>
      <c r="B126" s="19" t="s">
        <v>1044</v>
      </c>
      <c r="C126" s="19" t="s">
        <v>960</v>
      </c>
      <c r="D126" s="19" t="s">
        <v>971</v>
      </c>
      <c r="E126" s="19" t="s">
        <v>86</v>
      </c>
      <c r="F126" s="19" t="s">
        <v>1045</v>
      </c>
      <c r="G126" s="19" t="s">
        <v>1046</v>
      </c>
      <c r="H126" s="19" t="s">
        <v>1047</v>
      </c>
      <c r="I126" s="19" t="s">
        <v>1048</v>
      </c>
      <c r="J126" s="19" t="s">
        <v>1049</v>
      </c>
      <c r="K126" s="19" t="s">
        <v>38</v>
      </c>
      <c r="L126" s="18"/>
      <c r="M126" s="18" t="s">
        <v>30</v>
      </c>
      <c r="N126" s="18"/>
      <c r="O126" s="18"/>
      <c r="P126" s="19" t="s">
        <v>1050</v>
      </c>
      <c r="Q126" s="19" t="s">
        <v>678</v>
      </c>
      <c r="R126" s="17"/>
    </row>
    <row r="127" spans="1:18" ht="105" hidden="1" customHeight="1" x14ac:dyDescent="0.25">
      <c r="A127" s="19" t="s">
        <v>1051</v>
      </c>
      <c r="B127" s="19" t="s">
        <v>1052</v>
      </c>
      <c r="C127" s="19" t="s">
        <v>960</v>
      </c>
      <c r="D127" s="19" t="s">
        <v>981</v>
      </c>
      <c r="E127" s="19" t="s">
        <v>23</v>
      </c>
      <c r="F127" s="19" t="s">
        <v>1053</v>
      </c>
      <c r="G127" s="19" t="s">
        <v>1054</v>
      </c>
      <c r="H127" s="19" t="s">
        <v>1055</v>
      </c>
      <c r="I127" s="19" t="s">
        <v>1056</v>
      </c>
      <c r="J127" s="19" t="s">
        <v>1057</v>
      </c>
      <c r="K127" s="19" t="s">
        <v>38</v>
      </c>
      <c r="L127" s="18"/>
      <c r="M127" s="18" t="s">
        <v>30</v>
      </c>
      <c r="N127" s="18"/>
      <c r="O127" s="18"/>
      <c r="P127" s="19" t="s">
        <v>1058</v>
      </c>
      <c r="Q127" s="19" t="s">
        <v>678</v>
      </c>
      <c r="R127" s="17"/>
    </row>
    <row r="128" spans="1:18" ht="120" hidden="1" customHeight="1" x14ac:dyDescent="0.25">
      <c r="A128" s="19" t="s">
        <v>1059</v>
      </c>
      <c r="B128" s="19" t="s">
        <v>1052</v>
      </c>
      <c r="C128" s="19" t="s">
        <v>960</v>
      </c>
      <c r="D128" s="19" t="s">
        <v>981</v>
      </c>
      <c r="E128" s="19" t="s">
        <v>23</v>
      </c>
      <c r="F128" s="19" t="s">
        <v>1060</v>
      </c>
      <c r="G128" s="19" t="s">
        <v>1061</v>
      </c>
      <c r="H128" s="19" t="s">
        <v>1062</v>
      </c>
      <c r="I128" s="19" t="s">
        <v>1063</v>
      </c>
      <c r="J128" s="19" t="s">
        <v>1064</v>
      </c>
      <c r="K128" s="19" t="s">
        <v>117</v>
      </c>
      <c r="L128" s="18"/>
      <c r="M128" s="18" t="s">
        <v>30</v>
      </c>
      <c r="N128" s="18"/>
      <c r="O128" s="18"/>
      <c r="P128" s="19" t="s">
        <v>1065</v>
      </c>
      <c r="Q128" s="19" t="s">
        <v>1066</v>
      </c>
      <c r="R128" s="17"/>
    </row>
    <row r="129" spans="1:18" ht="105" hidden="1" customHeight="1" x14ac:dyDescent="0.25">
      <c r="A129" s="17" t="s">
        <v>1067</v>
      </c>
      <c r="B129" s="17" t="s">
        <v>1068</v>
      </c>
      <c r="C129" s="17" t="s">
        <v>960</v>
      </c>
      <c r="D129" s="17" t="s">
        <v>1069</v>
      </c>
      <c r="E129" s="17" t="s">
        <v>23</v>
      </c>
      <c r="F129" s="17" t="s">
        <v>1070</v>
      </c>
      <c r="G129" s="17" t="s">
        <v>1071</v>
      </c>
      <c r="H129" s="17" t="s">
        <v>1072</v>
      </c>
      <c r="I129" s="17" t="s">
        <v>1073</v>
      </c>
      <c r="J129" s="17" t="s">
        <v>1074</v>
      </c>
      <c r="K129" s="17" t="s">
        <v>38</v>
      </c>
      <c r="L129" s="18"/>
      <c r="M129" s="18" t="s">
        <v>30</v>
      </c>
      <c r="N129" s="18"/>
      <c r="O129" s="18"/>
      <c r="P129" s="17"/>
      <c r="Q129" s="17" t="s">
        <v>678</v>
      </c>
      <c r="R129" s="17"/>
    </row>
    <row r="130" spans="1:18" ht="180" hidden="1" customHeight="1" x14ac:dyDescent="0.25">
      <c r="A130" s="19" t="s">
        <v>1075</v>
      </c>
      <c r="B130" s="19" t="s">
        <v>1068</v>
      </c>
      <c r="C130" s="19" t="s">
        <v>960</v>
      </c>
      <c r="D130" s="19" t="s">
        <v>981</v>
      </c>
      <c r="E130" s="19" t="s">
        <v>23</v>
      </c>
      <c r="F130" s="19" t="s">
        <v>1076</v>
      </c>
      <c r="G130" s="19" t="s">
        <v>1077</v>
      </c>
      <c r="H130" s="19" t="s">
        <v>1078</v>
      </c>
      <c r="I130" s="19" t="s">
        <v>1079</v>
      </c>
      <c r="J130" s="19" t="s">
        <v>1080</v>
      </c>
      <c r="K130" s="19" t="s">
        <v>38</v>
      </c>
      <c r="L130" s="18"/>
      <c r="M130" s="18" t="s">
        <v>30</v>
      </c>
      <c r="N130" s="18"/>
      <c r="O130" s="18"/>
      <c r="P130" s="19" t="s">
        <v>1081</v>
      </c>
      <c r="Q130" s="19" t="s">
        <v>678</v>
      </c>
      <c r="R130" s="17"/>
    </row>
    <row r="131" spans="1:18" ht="90" hidden="1" customHeight="1" x14ac:dyDescent="0.25">
      <c r="A131" s="17" t="s">
        <v>1082</v>
      </c>
      <c r="B131" s="17" t="s">
        <v>1083</v>
      </c>
      <c r="C131" s="17" t="s">
        <v>960</v>
      </c>
      <c r="D131" s="17" t="s">
        <v>1084</v>
      </c>
      <c r="E131" s="17" t="s">
        <v>23</v>
      </c>
      <c r="F131" s="17" t="s">
        <v>1085</v>
      </c>
      <c r="G131" s="17" t="s">
        <v>1086</v>
      </c>
      <c r="H131" s="17" t="s">
        <v>1087</v>
      </c>
      <c r="I131" s="17" t="s">
        <v>1088</v>
      </c>
      <c r="J131" s="17" t="s">
        <v>1089</v>
      </c>
      <c r="K131" s="17" t="s">
        <v>38</v>
      </c>
      <c r="L131" s="18"/>
      <c r="M131" s="18" t="s">
        <v>30</v>
      </c>
      <c r="N131" s="18"/>
      <c r="O131" s="18"/>
      <c r="P131" s="17"/>
      <c r="Q131" s="17" t="s">
        <v>678</v>
      </c>
      <c r="R131" s="17"/>
    </row>
    <row r="132" spans="1:18" ht="165" hidden="1" customHeight="1" x14ac:dyDescent="0.25">
      <c r="A132" s="19" t="s">
        <v>1090</v>
      </c>
      <c r="B132" s="19" t="s">
        <v>1091</v>
      </c>
      <c r="C132" s="19" t="s">
        <v>960</v>
      </c>
      <c r="D132" s="19" t="s">
        <v>981</v>
      </c>
      <c r="E132" s="19" t="s">
        <v>86</v>
      </c>
      <c r="F132" s="19" t="s">
        <v>1092</v>
      </c>
      <c r="G132" s="19" t="s">
        <v>1093</v>
      </c>
      <c r="H132" s="19" t="s">
        <v>1094</v>
      </c>
      <c r="I132" s="19" t="s">
        <v>1095</v>
      </c>
      <c r="J132" s="19" t="s">
        <v>1096</v>
      </c>
      <c r="K132" s="19" t="s">
        <v>38</v>
      </c>
      <c r="L132" s="18"/>
      <c r="M132" s="18" t="s">
        <v>30</v>
      </c>
      <c r="N132" s="18"/>
      <c r="O132" s="18"/>
      <c r="P132" s="19" t="s">
        <v>1097</v>
      </c>
      <c r="Q132" s="19" t="s">
        <v>678</v>
      </c>
      <c r="R132" s="17"/>
    </row>
    <row r="133" spans="1:18" ht="195" hidden="1" customHeight="1" x14ac:dyDescent="0.25">
      <c r="A133" s="19" t="s">
        <v>1098</v>
      </c>
      <c r="B133" s="19" t="s">
        <v>1099</v>
      </c>
      <c r="C133" s="19" t="s">
        <v>960</v>
      </c>
      <c r="D133" s="19" t="s">
        <v>1100</v>
      </c>
      <c r="E133" s="19" t="s">
        <v>23</v>
      </c>
      <c r="F133" s="19" t="s">
        <v>1101</v>
      </c>
      <c r="G133" s="19" t="s">
        <v>1102</v>
      </c>
      <c r="H133" s="19" t="s">
        <v>1103</v>
      </c>
      <c r="I133" s="19" t="s">
        <v>1104</v>
      </c>
      <c r="J133" s="19" t="s">
        <v>1105</v>
      </c>
      <c r="K133" s="19" t="s">
        <v>29</v>
      </c>
      <c r="L133" s="18"/>
      <c r="M133" s="18" t="s">
        <v>30</v>
      </c>
      <c r="N133" s="18"/>
      <c r="O133" s="18"/>
      <c r="P133" s="19" t="s">
        <v>1106</v>
      </c>
      <c r="Q133" s="19" t="s">
        <v>678</v>
      </c>
      <c r="R133" s="17"/>
    </row>
    <row r="134" spans="1:18" ht="180" hidden="1" customHeight="1" x14ac:dyDescent="0.25">
      <c r="A134" s="19" t="s">
        <v>1107</v>
      </c>
      <c r="B134" s="19" t="s">
        <v>1108</v>
      </c>
      <c r="C134" s="19" t="s">
        <v>960</v>
      </c>
      <c r="D134" s="19" t="s">
        <v>981</v>
      </c>
      <c r="E134" s="19" t="s">
        <v>86</v>
      </c>
      <c r="F134" s="19" t="s">
        <v>1109</v>
      </c>
      <c r="G134" s="19" t="s">
        <v>1110</v>
      </c>
      <c r="H134" s="19" t="s">
        <v>1111</v>
      </c>
      <c r="I134" s="19" t="s">
        <v>1112</v>
      </c>
      <c r="J134" s="19" t="s">
        <v>1113</v>
      </c>
      <c r="K134" s="19" t="s">
        <v>38</v>
      </c>
      <c r="L134" s="18"/>
      <c r="M134" s="18" t="s">
        <v>30</v>
      </c>
      <c r="N134" s="18"/>
      <c r="O134" s="18"/>
      <c r="P134" s="19" t="s">
        <v>1114</v>
      </c>
      <c r="Q134" s="19" t="s">
        <v>678</v>
      </c>
      <c r="R134" s="17"/>
    </row>
    <row r="135" spans="1:18" ht="69.75" hidden="1" customHeight="1" x14ac:dyDescent="0.25">
      <c r="A135" s="19" t="s">
        <v>1115</v>
      </c>
      <c r="B135" s="19" t="s">
        <v>1116</v>
      </c>
      <c r="C135" s="19" t="s">
        <v>1117</v>
      </c>
      <c r="D135" s="19" t="s">
        <v>1118</v>
      </c>
      <c r="E135" s="19" t="s">
        <v>32</v>
      </c>
      <c r="F135" s="19" t="s">
        <v>1119</v>
      </c>
      <c r="G135" s="19" t="s">
        <v>1120</v>
      </c>
      <c r="H135" s="19" t="s">
        <v>1121</v>
      </c>
      <c r="I135" s="19" t="s">
        <v>1122</v>
      </c>
      <c r="J135" s="19" t="s">
        <v>1123</v>
      </c>
      <c r="K135" s="19" t="s">
        <v>29</v>
      </c>
      <c r="L135" s="18"/>
      <c r="M135" s="18" t="s">
        <v>30</v>
      </c>
      <c r="N135" s="18"/>
      <c r="O135" s="18"/>
      <c r="P135" s="19" t="s">
        <v>1124</v>
      </c>
      <c r="Q135" s="19" t="s">
        <v>1125</v>
      </c>
      <c r="R135" s="17"/>
    </row>
    <row r="136" spans="1:18" ht="69.75" hidden="1" customHeight="1" x14ac:dyDescent="0.25">
      <c r="A136" s="17" t="s">
        <v>1126</v>
      </c>
      <c r="B136" s="17" t="s">
        <v>1127</v>
      </c>
      <c r="C136" s="17" t="s">
        <v>1117</v>
      </c>
      <c r="D136" s="17" t="s">
        <v>1118</v>
      </c>
      <c r="E136" s="17" t="s">
        <v>32</v>
      </c>
      <c r="F136" s="17" t="s">
        <v>1128</v>
      </c>
      <c r="G136" s="17" t="s">
        <v>1129</v>
      </c>
      <c r="H136" s="17" t="s">
        <v>1130</v>
      </c>
      <c r="I136" s="17" t="s">
        <v>1131</v>
      </c>
      <c r="J136" s="17" t="s">
        <v>1132</v>
      </c>
      <c r="K136" s="17" t="s">
        <v>38</v>
      </c>
      <c r="L136" s="18"/>
      <c r="M136" s="18" t="s">
        <v>30</v>
      </c>
      <c r="N136" s="18"/>
      <c r="O136" s="18"/>
      <c r="P136" s="17"/>
      <c r="Q136" s="17"/>
      <c r="R136" s="17"/>
    </row>
    <row r="137" spans="1:18" ht="120" hidden="1" customHeight="1" x14ac:dyDescent="0.25">
      <c r="A137" s="17" t="s">
        <v>1133</v>
      </c>
      <c r="B137" s="17" t="s">
        <v>1134</v>
      </c>
      <c r="C137" s="17" t="s">
        <v>1117</v>
      </c>
      <c r="D137" s="17" t="s">
        <v>1118</v>
      </c>
      <c r="E137" s="17" t="s">
        <v>552</v>
      </c>
      <c r="F137" s="17" t="s">
        <v>1135</v>
      </c>
      <c r="G137" s="17" t="s">
        <v>1136</v>
      </c>
      <c r="H137" s="17" t="s">
        <v>1137</v>
      </c>
      <c r="I137" s="17" t="s">
        <v>1138</v>
      </c>
      <c r="J137" s="17" t="s">
        <v>1139</v>
      </c>
      <c r="K137" s="17" t="s">
        <v>29</v>
      </c>
      <c r="L137" s="18"/>
      <c r="M137" s="18" t="s">
        <v>30</v>
      </c>
      <c r="N137" s="18"/>
      <c r="O137" s="18"/>
      <c r="P137" s="17"/>
      <c r="Q137" s="17" t="s">
        <v>325</v>
      </c>
      <c r="R137" s="17"/>
    </row>
    <row r="138" spans="1:18" ht="150" hidden="1" customHeight="1" x14ac:dyDescent="0.25">
      <c r="A138" s="19" t="s">
        <v>1140</v>
      </c>
      <c r="B138" s="19" t="s">
        <v>1141</v>
      </c>
      <c r="C138" s="19" t="s">
        <v>1117</v>
      </c>
      <c r="D138" s="19" t="s">
        <v>1118</v>
      </c>
      <c r="E138" s="19" t="s">
        <v>86</v>
      </c>
      <c r="F138" s="19" t="s">
        <v>1142</v>
      </c>
      <c r="G138" s="19" t="s">
        <v>1143</v>
      </c>
      <c r="H138" s="19" t="s">
        <v>1144</v>
      </c>
      <c r="I138" s="19" t="s">
        <v>1145</v>
      </c>
      <c r="J138" s="19" t="s">
        <v>1146</v>
      </c>
      <c r="K138" s="19" t="s">
        <v>38</v>
      </c>
      <c r="L138" s="18"/>
      <c r="M138" s="18" t="s">
        <v>30</v>
      </c>
      <c r="N138" s="18"/>
      <c r="O138" s="18"/>
      <c r="P138" s="19" t="s">
        <v>1147</v>
      </c>
      <c r="Q138" s="19" t="s">
        <v>1148</v>
      </c>
      <c r="R138" s="17"/>
    </row>
    <row r="139" spans="1:18" ht="150" hidden="1" customHeight="1" x14ac:dyDescent="0.25">
      <c r="A139" s="19" t="s">
        <v>1149</v>
      </c>
      <c r="B139" s="19" t="s">
        <v>1150</v>
      </c>
      <c r="C139" s="19" t="s">
        <v>1117</v>
      </c>
      <c r="D139" s="19" t="s">
        <v>1151</v>
      </c>
      <c r="E139" s="19" t="s">
        <v>86</v>
      </c>
      <c r="F139" s="19" t="s">
        <v>1152</v>
      </c>
      <c r="G139" s="19" t="s">
        <v>1153</v>
      </c>
      <c r="H139" s="19" t="s">
        <v>1154</v>
      </c>
      <c r="I139" s="19" t="s">
        <v>1155</v>
      </c>
      <c r="J139" s="19" t="s">
        <v>1156</v>
      </c>
      <c r="K139" s="19" t="s">
        <v>29</v>
      </c>
      <c r="L139" s="18"/>
      <c r="M139" s="18" t="s">
        <v>30</v>
      </c>
      <c r="N139" s="18"/>
      <c r="O139" s="18"/>
      <c r="P139" s="19" t="s">
        <v>1157</v>
      </c>
      <c r="Q139" s="19" t="s">
        <v>678</v>
      </c>
      <c r="R139" s="17"/>
    </row>
    <row r="140" spans="1:18" ht="105" hidden="1" customHeight="1" x14ac:dyDescent="0.25">
      <c r="A140" s="17" t="s">
        <v>1158</v>
      </c>
      <c r="B140" s="17" t="s">
        <v>1159</v>
      </c>
      <c r="C140" s="17" t="s">
        <v>1117</v>
      </c>
      <c r="D140" s="17" t="s">
        <v>1160</v>
      </c>
      <c r="E140" s="17" t="s">
        <v>32</v>
      </c>
      <c r="F140" s="17" t="s">
        <v>1161</v>
      </c>
      <c r="G140" s="17" t="s">
        <v>1162</v>
      </c>
      <c r="H140" s="17" t="s">
        <v>1163</v>
      </c>
      <c r="I140" s="17" t="s">
        <v>1164</v>
      </c>
      <c r="J140" s="17" t="s">
        <v>1165</v>
      </c>
      <c r="K140" s="17" t="s">
        <v>29</v>
      </c>
      <c r="L140" s="18"/>
      <c r="M140" s="18" t="s">
        <v>30</v>
      </c>
      <c r="N140" s="18"/>
      <c r="O140" s="18"/>
      <c r="P140" s="17"/>
      <c r="Q140" s="17" t="s">
        <v>1166</v>
      </c>
      <c r="R140" s="17"/>
    </row>
    <row r="141" spans="1:18" ht="120" hidden="1" customHeight="1" x14ac:dyDescent="0.25">
      <c r="A141" s="19" t="s">
        <v>1167</v>
      </c>
      <c r="B141" s="19" t="s">
        <v>1168</v>
      </c>
      <c r="C141" s="19" t="s">
        <v>1117</v>
      </c>
      <c r="D141" s="19" t="s">
        <v>1169</v>
      </c>
      <c r="E141" s="19" t="s">
        <v>86</v>
      </c>
      <c r="F141" s="19" t="s">
        <v>1170</v>
      </c>
      <c r="G141" s="19" t="s">
        <v>1171</v>
      </c>
      <c r="H141" s="19" t="s">
        <v>1172</v>
      </c>
      <c r="I141" s="19" t="s">
        <v>1173</v>
      </c>
      <c r="J141" s="19" t="s">
        <v>1174</v>
      </c>
      <c r="K141" s="19" t="s">
        <v>38</v>
      </c>
      <c r="L141" s="18"/>
      <c r="M141" s="18" t="s">
        <v>30</v>
      </c>
      <c r="N141" s="18"/>
      <c r="O141" s="18"/>
      <c r="P141" s="19" t="s">
        <v>1175</v>
      </c>
      <c r="Q141" s="19" t="s">
        <v>1176</v>
      </c>
      <c r="R141" s="17"/>
    </row>
    <row r="142" spans="1:18" ht="105" customHeight="1" x14ac:dyDescent="0.25">
      <c r="A142" s="17" t="s">
        <v>1177</v>
      </c>
      <c r="B142" s="17" t="s">
        <v>1178</v>
      </c>
      <c r="C142" s="17" t="s">
        <v>1117</v>
      </c>
      <c r="D142" s="17" t="s">
        <v>1179</v>
      </c>
      <c r="E142" s="17" t="s">
        <v>23</v>
      </c>
      <c r="F142" s="17" t="s">
        <v>1180</v>
      </c>
      <c r="G142" s="17" t="s">
        <v>1181</v>
      </c>
      <c r="H142" s="17" t="s">
        <v>1182</v>
      </c>
      <c r="I142" s="17" t="s">
        <v>1183</v>
      </c>
      <c r="J142" s="17" t="s">
        <v>1184</v>
      </c>
      <c r="K142" s="17" t="s">
        <v>38</v>
      </c>
      <c r="L142" s="18"/>
      <c r="M142" s="18" t="s">
        <v>30</v>
      </c>
      <c r="N142" s="18"/>
      <c r="O142" s="18"/>
      <c r="P142" s="17"/>
      <c r="Q142" s="17" t="s">
        <v>678</v>
      </c>
      <c r="R142" s="17"/>
    </row>
    <row r="143" spans="1:18" ht="180" customHeight="1" x14ac:dyDescent="0.25">
      <c r="A143" s="19" t="s">
        <v>1185</v>
      </c>
      <c r="B143" s="19" t="s">
        <v>1186</v>
      </c>
      <c r="C143" s="19" t="s">
        <v>1117</v>
      </c>
      <c r="D143" s="19" t="s">
        <v>1187</v>
      </c>
      <c r="E143" s="19" t="s">
        <v>86</v>
      </c>
      <c r="F143" s="19" t="s">
        <v>1188</v>
      </c>
      <c r="G143" s="19" t="s">
        <v>1189</v>
      </c>
      <c r="H143" s="19" t="s">
        <v>1190</v>
      </c>
      <c r="I143" s="19" t="s">
        <v>1191</v>
      </c>
      <c r="J143" s="19" t="s">
        <v>1192</v>
      </c>
      <c r="K143" s="19" t="s">
        <v>38</v>
      </c>
      <c r="L143" s="18"/>
      <c r="M143" s="18" t="s">
        <v>30</v>
      </c>
      <c r="N143" s="18"/>
      <c r="O143" s="18"/>
      <c r="P143" s="19" t="s">
        <v>1193</v>
      </c>
      <c r="Q143" s="19" t="s">
        <v>678</v>
      </c>
      <c r="R143" s="17"/>
    </row>
    <row r="144" spans="1:18" ht="69.75" hidden="1" customHeight="1" x14ac:dyDescent="0.25">
      <c r="A144" s="19" t="s">
        <v>1194</v>
      </c>
      <c r="B144" s="19" t="s">
        <v>1195</v>
      </c>
      <c r="C144" s="19" t="s">
        <v>1196</v>
      </c>
      <c r="D144" s="19" t="s">
        <v>1118</v>
      </c>
      <c r="E144" s="19" t="s">
        <v>23</v>
      </c>
      <c r="F144" s="19" t="s">
        <v>1197</v>
      </c>
      <c r="G144" s="19" t="s">
        <v>1198</v>
      </c>
      <c r="H144" s="19" t="s">
        <v>1199</v>
      </c>
      <c r="I144" s="19" t="s">
        <v>1200</v>
      </c>
      <c r="J144" s="19" t="s">
        <v>1201</v>
      </c>
      <c r="K144" s="19" t="s">
        <v>29</v>
      </c>
      <c r="L144" s="18"/>
      <c r="M144" s="18" t="s">
        <v>30</v>
      </c>
      <c r="N144" s="18"/>
      <c r="O144" s="18"/>
      <c r="P144" s="19" t="s">
        <v>1202</v>
      </c>
      <c r="Q144" s="19"/>
      <c r="R144" s="17"/>
    </row>
    <row r="145" spans="1:18" ht="69.75" hidden="1" customHeight="1" x14ac:dyDescent="0.25">
      <c r="A145" s="17" t="s">
        <v>1203</v>
      </c>
      <c r="B145" s="17" t="s">
        <v>1195</v>
      </c>
      <c r="C145" s="17" t="s">
        <v>1196</v>
      </c>
      <c r="D145" s="17" t="s">
        <v>1118</v>
      </c>
      <c r="E145" s="17" t="s">
        <v>23</v>
      </c>
      <c r="F145" s="17" t="s">
        <v>1204</v>
      </c>
      <c r="G145" s="17" t="s">
        <v>1205</v>
      </c>
      <c r="H145" s="17" t="s">
        <v>1206</v>
      </c>
      <c r="I145" s="17" t="s">
        <v>1207</v>
      </c>
      <c r="J145" s="17" t="s">
        <v>1208</v>
      </c>
      <c r="K145" s="17" t="s">
        <v>29</v>
      </c>
      <c r="L145" s="18"/>
      <c r="M145" s="18" t="s">
        <v>30</v>
      </c>
      <c r="N145" s="18"/>
      <c r="O145" s="18"/>
      <c r="P145" s="17"/>
      <c r="Q145" s="17"/>
      <c r="R145" s="17"/>
    </row>
    <row r="146" spans="1:18" ht="69.75" hidden="1" customHeight="1" x14ac:dyDescent="0.25">
      <c r="A146" s="17" t="s">
        <v>1209</v>
      </c>
      <c r="B146" s="17" t="s">
        <v>1210</v>
      </c>
      <c r="C146" s="17" t="s">
        <v>1196</v>
      </c>
      <c r="D146" s="17" t="s">
        <v>1118</v>
      </c>
      <c r="E146" s="17" t="s">
        <v>32</v>
      </c>
      <c r="F146" s="17" t="s">
        <v>1211</v>
      </c>
      <c r="G146" s="17" t="s">
        <v>1212</v>
      </c>
      <c r="H146" s="17" t="s">
        <v>1213</v>
      </c>
      <c r="I146" s="17" t="s">
        <v>1214</v>
      </c>
      <c r="J146" s="17" t="s">
        <v>1215</v>
      </c>
      <c r="K146" s="17" t="s">
        <v>29</v>
      </c>
      <c r="L146" s="18"/>
      <c r="M146" s="18" t="s">
        <v>30</v>
      </c>
      <c r="N146" s="18"/>
      <c r="O146" s="18"/>
      <c r="P146" s="17"/>
      <c r="Q146" s="17"/>
      <c r="R146" s="17"/>
    </row>
    <row r="147" spans="1:18" ht="69.75" hidden="1" customHeight="1" x14ac:dyDescent="0.25">
      <c r="A147" s="17" t="s">
        <v>1216</v>
      </c>
      <c r="B147" s="17" t="s">
        <v>1210</v>
      </c>
      <c r="C147" s="17" t="s">
        <v>1196</v>
      </c>
      <c r="D147" s="17" t="s">
        <v>1118</v>
      </c>
      <c r="E147" s="17" t="s">
        <v>32</v>
      </c>
      <c r="F147" s="17" t="s">
        <v>1217</v>
      </c>
      <c r="G147" s="17" t="s">
        <v>1218</v>
      </c>
      <c r="H147" s="17" t="s">
        <v>1219</v>
      </c>
      <c r="I147" s="17" t="s">
        <v>1220</v>
      </c>
      <c r="J147" s="17" t="s">
        <v>1221</v>
      </c>
      <c r="K147" s="17" t="s">
        <v>29</v>
      </c>
      <c r="L147" s="18"/>
      <c r="M147" s="18" t="s">
        <v>30</v>
      </c>
      <c r="N147" s="18"/>
      <c r="O147" s="18"/>
      <c r="P147" s="17"/>
      <c r="Q147" s="17"/>
      <c r="R147" s="17"/>
    </row>
    <row r="148" spans="1:18" ht="69.75" hidden="1" customHeight="1" x14ac:dyDescent="0.25">
      <c r="A148" s="19" t="s">
        <v>1222</v>
      </c>
      <c r="B148" s="19" t="s">
        <v>1210</v>
      </c>
      <c r="C148" s="19" t="s">
        <v>1196</v>
      </c>
      <c r="D148" s="19" t="s">
        <v>1118</v>
      </c>
      <c r="E148" s="19" t="s">
        <v>245</v>
      </c>
      <c r="F148" s="19" t="s">
        <v>1223</v>
      </c>
      <c r="G148" s="19" t="s">
        <v>1224</v>
      </c>
      <c r="H148" s="19" t="s">
        <v>1225</v>
      </c>
      <c r="I148" s="19" t="s">
        <v>1226</v>
      </c>
      <c r="J148" s="19" t="s">
        <v>1227</v>
      </c>
      <c r="K148" s="19" t="s">
        <v>38</v>
      </c>
      <c r="L148" s="18"/>
      <c r="M148" s="18" t="s">
        <v>30</v>
      </c>
      <c r="N148" s="18"/>
      <c r="O148" s="18"/>
      <c r="P148" s="19" t="s">
        <v>1228</v>
      </c>
      <c r="Q148" s="19"/>
      <c r="R148" s="17"/>
    </row>
    <row r="149" spans="1:18" ht="69.75" hidden="1" customHeight="1" x14ac:dyDescent="0.25">
      <c r="A149" s="17" t="s">
        <v>1229</v>
      </c>
      <c r="B149" s="17" t="s">
        <v>1230</v>
      </c>
      <c r="C149" s="17" t="s">
        <v>1196</v>
      </c>
      <c r="D149" s="17" t="s">
        <v>1118</v>
      </c>
      <c r="E149" s="17" t="s">
        <v>86</v>
      </c>
      <c r="F149" s="17" t="s">
        <v>1231</v>
      </c>
      <c r="G149" s="17" t="s">
        <v>1232</v>
      </c>
      <c r="H149" s="17" t="s">
        <v>1233</v>
      </c>
      <c r="I149" s="17" t="s">
        <v>1234</v>
      </c>
      <c r="J149" s="17" t="s">
        <v>1235</v>
      </c>
      <c r="K149" s="17" t="s">
        <v>38</v>
      </c>
      <c r="L149" s="18"/>
      <c r="M149" s="18" t="s">
        <v>30</v>
      </c>
      <c r="N149" s="18"/>
      <c r="O149" s="18"/>
      <c r="P149" s="17"/>
      <c r="Q149" s="17"/>
      <c r="R149" s="17"/>
    </row>
    <row r="150" spans="1:18" ht="69.75" hidden="1" customHeight="1" x14ac:dyDescent="0.25">
      <c r="A150" s="17" t="s">
        <v>1236</v>
      </c>
      <c r="B150" s="17" t="s">
        <v>1230</v>
      </c>
      <c r="C150" s="17" t="s">
        <v>1196</v>
      </c>
      <c r="D150" s="17" t="s">
        <v>1118</v>
      </c>
      <c r="E150" s="17" t="s">
        <v>86</v>
      </c>
      <c r="F150" s="17" t="s">
        <v>1237</v>
      </c>
      <c r="G150" s="17" t="s">
        <v>1238</v>
      </c>
      <c r="H150" s="17" t="s">
        <v>1239</v>
      </c>
      <c r="I150" s="17" t="s">
        <v>1240</v>
      </c>
      <c r="J150" s="17" t="s">
        <v>1241</v>
      </c>
      <c r="K150" s="17" t="s">
        <v>29</v>
      </c>
      <c r="L150" s="18"/>
      <c r="M150" s="18" t="s">
        <v>30</v>
      </c>
      <c r="N150" s="18"/>
      <c r="O150" s="18"/>
      <c r="P150" s="17"/>
      <c r="Q150" s="17"/>
      <c r="R150" s="17"/>
    </row>
    <row r="151" spans="1:18" ht="69.75" hidden="1" customHeight="1" x14ac:dyDescent="0.25">
      <c r="A151" s="17" t="s">
        <v>1242</v>
      </c>
      <c r="B151" s="17" t="s">
        <v>1243</v>
      </c>
      <c r="C151" s="17" t="s">
        <v>1244</v>
      </c>
      <c r="D151" s="17" t="s">
        <v>1245</v>
      </c>
      <c r="E151" s="17" t="s">
        <v>23</v>
      </c>
      <c r="F151" s="17" t="s">
        <v>1246</v>
      </c>
      <c r="G151" s="17" t="s">
        <v>1247</v>
      </c>
      <c r="H151" s="17" t="s">
        <v>1248</v>
      </c>
      <c r="I151" s="17" t="s">
        <v>1249</v>
      </c>
      <c r="J151" s="17" t="s">
        <v>1250</v>
      </c>
      <c r="K151" s="17" t="s">
        <v>38</v>
      </c>
      <c r="L151" s="18"/>
      <c r="M151" s="18" t="s">
        <v>30</v>
      </c>
      <c r="N151" s="18"/>
      <c r="O151" s="18"/>
      <c r="P151" s="17"/>
      <c r="Q151" s="17"/>
      <c r="R151" s="17"/>
    </row>
    <row r="152" spans="1:18" ht="105" hidden="1" customHeight="1" x14ac:dyDescent="0.25">
      <c r="A152" s="17" t="s">
        <v>1251</v>
      </c>
      <c r="B152" s="17" t="s">
        <v>1243</v>
      </c>
      <c r="C152" s="17" t="s">
        <v>1244</v>
      </c>
      <c r="D152" s="17" t="s">
        <v>1245</v>
      </c>
      <c r="E152" s="17" t="s">
        <v>245</v>
      </c>
      <c r="F152" s="17" t="s">
        <v>1252</v>
      </c>
      <c r="G152" s="17" t="s">
        <v>1253</v>
      </c>
      <c r="H152" s="17" t="s">
        <v>1254</v>
      </c>
      <c r="I152" s="17" t="s">
        <v>1255</v>
      </c>
      <c r="J152" s="17" t="s">
        <v>1256</v>
      </c>
      <c r="K152" s="17" t="s">
        <v>38</v>
      </c>
      <c r="L152" s="18"/>
      <c r="M152" s="18" t="s">
        <v>30</v>
      </c>
      <c r="N152" s="18"/>
      <c r="O152" s="18"/>
      <c r="P152" s="17"/>
      <c r="Q152" s="17" t="s">
        <v>1257</v>
      </c>
      <c r="R152" s="17"/>
    </row>
    <row r="153" spans="1:18" ht="69.75" hidden="1" customHeight="1" x14ac:dyDescent="0.25">
      <c r="A153" s="19" t="s">
        <v>1258</v>
      </c>
      <c r="B153" s="19" t="s">
        <v>1243</v>
      </c>
      <c r="C153" s="19" t="s">
        <v>1244</v>
      </c>
      <c r="D153" s="19" t="s">
        <v>1245</v>
      </c>
      <c r="E153" s="19" t="s">
        <v>23</v>
      </c>
      <c r="F153" s="19" t="s">
        <v>1259</v>
      </c>
      <c r="G153" s="19" t="s">
        <v>1260</v>
      </c>
      <c r="H153" s="19" t="s">
        <v>1261</v>
      </c>
      <c r="I153" s="19" t="s">
        <v>1262</v>
      </c>
      <c r="J153" s="19" t="s">
        <v>1263</v>
      </c>
      <c r="K153" s="19" t="s">
        <v>38</v>
      </c>
      <c r="L153" s="18"/>
      <c r="M153" s="18" t="s">
        <v>30</v>
      </c>
      <c r="N153" s="18"/>
      <c r="O153" s="18"/>
      <c r="P153" s="19" t="s">
        <v>1264</v>
      </c>
      <c r="Q153" s="19"/>
      <c r="R153" s="17"/>
    </row>
    <row r="154" spans="1:18" ht="69.75" hidden="1" customHeight="1" x14ac:dyDescent="0.25">
      <c r="A154" s="17" t="s">
        <v>1265</v>
      </c>
      <c r="B154" s="17" t="s">
        <v>1266</v>
      </c>
      <c r="C154" s="17" t="s">
        <v>1244</v>
      </c>
      <c r="D154" s="17" t="s">
        <v>1267</v>
      </c>
      <c r="E154" s="17" t="s">
        <v>23</v>
      </c>
      <c r="F154" s="17" t="s">
        <v>1268</v>
      </c>
      <c r="G154" s="17" t="s">
        <v>1269</v>
      </c>
      <c r="H154" s="17" t="s">
        <v>1270</v>
      </c>
      <c r="I154" s="17" t="s">
        <v>1271</v>
      </c>
      <c r="J154" s="17" t="s">
        <v>1272</v>
      </c>
      <c r="K154" s="17" t="s">
        <v>29</v>
      </c>
      <c r="L154" s="18"/>
      <c r="M154" s="18" t="s">
        <v>30</v>
      </c>
      <c r="N154" s="18"/>
      <c r="O154" s="18"/>
      <c r="P154" s="17"/>
      <c r="Q154" s="17"/>
      <c r="R154" s="17"/>
    </row>
    <row r="155" spans="1:18" ht="69.75" hidden="1" customHeight="1" x14ac:dyDescent="0.25">
      <c r="A155" s="17" t="s">
        <v>1273</v>
      </c>
      <c r="B155" s="17" t="s">
        <v>1266</v>
      </c>
      <c r="C155" s="17" t="s">
        <v>1244</v>
      </c>
      <c r="D155" s="17" t="s">
        <v>1267</v>
      </c>
      <c r="E155" s="17" t="s">
        <v>23</v>
      </c>
      <c r="F155" s="17" t="s">
        <v>1274</v>
      </c>
      <c r="G155" s="17" t="s">
        <v>1275</v>
      </c>
      <c r="H155" s="17" t="s">
        <v>1276</v>
      </c>
      <c r="I155" s="17" t="s">
        <v>1277</v>
      </c>
      <c r="J155" s="17" t="s">
        <v>1278</v>
      </c>
      <c r="K155" s="17" t="s">
        <v>29</v>
      </c>
      <c r="L155" s="18"/>
      <c r="M155" s="18" t="s">
        <v>30</v>
      </c>
      <c r="N155" s="18"/>
      <c r="O155" s="18"/>
      <c r="P155" s="17"/>
      <c r="Q155" s="17"/>
      <c r="R155" s="17"/>
    </row>
    <row r="156" spans="1:18" ht="69.75" hidden="1" customHeight="1" x14ac:dyDescent="0.25">
      <c r="A156" s="17" t="s">
        <v>1279</v>
      </c>
      <c r="B156" s="17" t="s">
        <v>1266</v>
      </c>
      <c r="C156" s="17" t="s">
        <v>1244</v>
      </c>
      <c r="D156" s="17" t="s">
        <v>1267</v>
      </c>
      <c r="E156" s="17" t="s">
        <v>23</v>
      </c>
      <c r="F156" s="17" t="s">
        <v>1280</v>
      </c>
      <c r="G156" s="17" t="s">
        <v>1281</v>
      </c>
      <c r="H156" s="17" t="s">
        <v>1282</v>
      </c>
      <c r="I156" s="17" t="s">
        <v>1283</v>
      </c>
      <c r="J156" s="17" t="s">
        <v>1284</v>
      </c>
      <c r="K156" s="17" t="s">
        <v>29</v>
      </c>
      <c r="L156" s="18"/>
      <c r="M156" s="18" t="s">
        <v>30</v>
      </c>
      <c r="N156" s="18"/>
      <c r="O156" s="18"/>
      <c r="P156" s="17"/>
      <c r="Q156" s="17"/>
      <c r="R156" s="17"/>
    </row>
    <row r="157" spans="1:18" ht="69.75" hidden="1" customHeight="1" x14ac:dyDescent="0.25">
      <c r="A157" s="19" t="s">
        <v>1285</v>
      </c>
      <c r="B157" s="19" t="s">
        <v>1286</v>
      </c>
      <c r="C157" s="19" t="s">
        <v>1244</v>
      </c>
      <c r="D157" s="19" t="s">
        <v>1287</v>
      </c>
      <c r="E157" s="19" t="s">
        <v>23</v>
      </c>
      <c r="F157" s="19" t="s">
        <v>1288</v>
      </c>
      <c r="G157" s="19" t="s">
        <v>1289</v>
      </c>
      <c r="H157" s="19" t="s">
        <v>1290</v>
      </c>
      <c r="I157" s="19" t="s">
        <v>1291</v>
      </c>
      <c r="J157" s="19" t="s">
        <v>1292</v>
      </c>
      <c r="K157" s="19" t="s">
        <v>117</v>
      </c>
      <c r="L157" s="18"/>
      <c r="M157" s="18" t="s">
        <v>30</v>
      </c>
      <c r="N157" s="18"/>
      <c r="O157" s="18"/>
      <c r="P157" s="19" t="s">
        <v>1293</v>
      </c>
      <c r="Q157" s="19" t="s">
        <v>1294</v>
      </c>
      <c r="R157" s="17"/>
    </row>
    <row r="158" spans="1:18" ht="69.75" hidden="1" customHeight="1" x14ac:dyDescent="0.25">
      <c r="A158" s="17" t="s">
        <v>1295</v>
      </c>
      <c r="B158" s="17" t="s">
        <v>1296</v>
      </c>
      <c r="C158" s="17" t="s">
        <v>1244</v>
      </c>
      <c r="D158" s="17" t="s">
        <v>1267</v>
      </c>
      <c r="E158" s="17" t="s">
        <v>32</v>
      </c>
      <c r="F158" s="17" t="s">
        <v>1297</v>
      </c>
      <c r="G158" s="17" t="s">
        <v>1298</v>
      </c>
      <c r="H158" s="17" t="s">
        <v>1299</v>
      </c>
      <c r="I158" s="17" t="s">
        <v>1300</v>
      </c>
      <c r="J158" s="17" t="s">
        <v>1301</v>
      </c>
      <c r="K158" s="17" t="s">
        <v>29</v>
      </c>
      <c r="L158" s="18"/>
      <c r="M158" s="18" t="s">
        <v>30</v>
      </c>
      <c r="N158" s="18"/>
      <c r="O158" s="18"/>
      <c r="P158" s="17"/>
      <c r="Q158" s="17" t="s">
        <v>1302</v>
      </c>
      <c r="R158" s="17"/>
    </row>
    <row r="159" spans="1:18" ht="69.75" hidden="1" customHeight="1" x14ac:dyDescent="0.25">
      <c r="A159" s="17" t="s">
        <v>1303</v>
      </c>
      <c r="B159" s="17" t="s">
        <v>1304</v>
      </c>
      <c r="C159" s="17" t="s">
        <v>1305</v>
      </c>
      <c r="D159" s="17" t="s">
        <v>1306</v>
      </c>
      <c r="E159" s="17" t="s">
        <v>23</v>
      </c>
      <c r="F159" s="17" t="s">
        <v>1307</v>
      </c>
      <c r="G159" s="17" t="s">
        <v>1308</v>
      </c>
      <c r="H159" s="17" t="s">
        <v>1309</v>
      </c>
      <c r="I159" s="17" t="s">
        <v>1310</v>
      </c>
      <c r="J159" s="17" t="s">
        <v>1311</v>
      </c>
      <c r="K159" s="17" t="s">
        <v>29</v>
      </c>
      <c r="L159" s="18"/>
      <c r="M159" s="18" t="s">
        <v>30</v>
      </c>
      <c r="N159" s="18"/>
      <c r="O159" s="18"/>
      <c r="P159" s="17"/>
      <c r="Q159" s="17"/>
      <c r="R159" s="17"/>
    </row>
    <row r="160" spans="1:18" ht="69.75" hidden="1" customHeight="1" x14ac:dyDescent="0.25">
      <c r="A160" s="17" t="s">
        <v>1312</v>
      </c>
      <c r="B160" s="17" t="s">
        <v>1313</v>
      </c>
      <c r="C160" s="17" t="s">
        <v>1305</v>
      </c>
      <c r="D160" s="17" t="s">
        <v>1306</v>
      </c>
      <c r="E160" s="17" t="s">
        <v>23</v>
      </c>
      <c r="F160" s="17" t="s">
        <v>1314</v>
      </c>
      <c r="G160" s="17" t="s">
        <v>1315</v>
      </c>
      <c r="H160" s="17" t="s">
        <v>1316</v>
      </c>
      <c r="I160" s="17" t="s">
        <v>1317</v>
      </c>
      <c r="J160" s="17" t="s">
        <v>1318</v>
      </c>
      <c r="K160" s="17" t="s">
        <v>29</v>
      </c>
      <c r="L160" s="18"/>
      <c r="M160" s="18" t="s">
        <v>30</v>
      </c>
      <c r="N160" s="18"/>
      <c r="O160" s="18"/>
      <c r="P160" s="17"/>
      <c r="Q160" s="17"/>
      <c r="R160" s="17"/>
    </row>
    <row r="161" spans="1:18" ht="69.75" hidden="1" customHeight="1" x14ac:dyDescent="0.25">
      <c r="A161" s="17" t="s">
        <v>1319</v>
      </c>
      <c r="B161" s="17" t="s">
        <v>1320</v>
      </c>
      <c r="C161" s="17" t="s">
        <v>1305</v>
      </c>
      <c r="D161" s="17" t="s">
        <v>1306</v>
      </c>
      <c r="E161" s="17" t="s">
        <v>32</v>
      </c>
      <c r="F161" s="17" t="s">
        <v>1321</v>
      </c>
      <c r="G161" s="17" t="s">
        <v>1322</v>
      </c>
      <c r="H161" s="17" t="s">
        <v>1323</v>
      </c>
      <c r="I161" s="17" t="s">
        <v>1324</v>
      </c>
      <c r="J161" s="17" t="s">
        <v>1325</v>
      </c>
      <c r="K161" s="17" t="s">
        <v>29</v>
      </c>
      <c r="L161" s="18"/>
      <c r="M161" s="18" t="s">
        <v>30</v>
      </c>
      <c r="N161" s="18"/>
      <c r="O161" s="18"/>
      <c r="P161" s="17"/>
      <c r="Q161" s="17"/>
      <c r="R161" s="17" t="s">
        <v>1326</v>
      </c>
    </row>
    <row r="162" spans="1:18" ht="90" hidden="1" customHeight="1" x14ac:dyDescent="0.25">
      <c r="A162" s="17" t="s">
        <v>1327</v>
      </c>
      <c r="B162" s="17" t="s">
        <v>1320</v>
      </c>
      <c r="C162" s="17" t="s">
        <v>1305</v>
      </c>
      <c r="D162" s="17" t="s">
        <v>1328</v>
      </c>
      <c r="E162" s="17" t="s">
        <v>32</v>
      </c>
      <c r="F162" s="17" t="s">
        <v>1329</v>
      </c>
      <c r="G162" s="17" t="s">
        <v>1330</v>
      </c>
      <c r="H162" s="17" t="s">
        <v>1331</v>
      </c>
      <c r="I162" s="17" t="s">
        <v>1332</v>
      </c>
      <c r="J162" s="17" t="s">
        <v>1333</v>
      </c>
      <c r="K162" s="17" t="s">
        <v>117</v>
      </c>
      <c r="L162" s="18"/>
      <c r="M162" s="18" t="s">
        <v>30</v>
      </c>
      <c r="N162" s="18"/>
      <c r="O162" s="18"/>
      <c r="P162" s="17"/>
      <c r="Q162" s="17" t="s">
        <v>1334</v>
      </c>
      <c r="R162" s="17"/>
    </row>
    <row r="163" spans="1:18" ht="90" hidden="1" customHeight="1" x14ac:dyDescent="0.25">
      <c r="A163" s="19" t="s">
        <v>1335</v>
      </c>
      <c r="B163" s="19" t="s">
        <v>1336</v>
      </c>
      <c r="C163" s="19" t="s">
        <v>1305</v>
      </c>
      <c r="D163" s="19" t="s">
        <v>1306</v>
      </c>
      <c r="E163" s="19" t="s">
        <v>23</v>
      </c>
      <c r="F163" s="19" t="s">
        <v>1337</v>
      </c>
      <c r="G163" s="19" t="s">
        <v>1338</v>
      </c>
      <c r="H163" s="19" t="s">
        <v>1339</v>
      </c>
      <c r="I163" s="19" t="s">
        <v>1340</v>
      </c>
      <c r="J163" s="19" t="s">
        <v>1341</v>
      </c>
      <c r="K163" s="19" t="s">
        <v>38</v>
      </c>
      <c r="L163" s="18"/>
      <c r="M163" s="18" t="s">
        <v>30</v>
      </c>
      <c r="N163" s="18"/>
      <c r="O163" s="18"/>
      <c r="P163" s="19" t="s">
        <v>1342</v>
      </c>
      <c r="Q163" s="19"/>
      <c r="R163" s="17"/>
    </row>
    <row r="164" spans="1:18" ht="120" hidden="1" customHeight="1" x14ac:dyDescent="0.25">
      <c r="A164" s="17" t="s">
        <v>1343</v>
      </c>
      <c r="B164" s="17" t="s">
        <v>1344</v>
      </c>
      <c r="C164" s="17" t="s">
        <v>1345</v>
      </c>
      <c r="D164" s="17" t="s">
        <v>1346</v>
      </c>
      <c r="E164" s="17" t="s">
        <v>23</v>
      </c>
      <c r="F164" s="17" t="s">
        <v>1347</v>
      </c>
      <c r="G164" s="17" t="s">
        <v>1348</v>
      </c>
      <c r="H164" s="17" t="s">
        <v>1349</v>
      </c>
      <c r="I164" s="17" t="s">
        <v>1350</v>
      </c>
      <c r="J164" s="17" t="s">
        <v>1351</v>
      </c>
      <c r="K164" s="17" t="s">
        <v>38</v>
      </c>
      <c r="L164" s="18"/>
      <c r="M164" s="18" t="s">
        <v>30</v>
      </c>
      <c r="N164" s="18"/>
      <c r="O164" s="18"/>
      <c r="P164" s="17"/>
      <c r="Q164" s="17"/>
      <c r="R164" s="17"/>
    </row>
    <row r="165" spans="1:18" ht="120" hidden="1" customHeight="1" x14ac:dyDescent="0.25">
      <c r="A165" s="19" t="s">
        <v>1352</v>
      </c>
      <c r="B165" s="19" t="s">
        <v>1353</v>
      </c>
      <c r="C165" s="19" t="s">
        <v>1345</v>
      </c>
      <c r="D165" s="19" t="s">
        <v>1346</v>
      </c>
      <c r="E165" s="19" t="s">
        <v>86</v>
      </c>
      <c r="F165" s="19" t="s">
        <v>1354</v>
      </c>
      <c r="G165" s="19" t="s">
        <v>1355</v>
      </c>
      <c r="H165" s="19" t="s">
        <v>1356</v>
      </c>
      <c r="I165" s="19" t="s">
        <v>1357</v>
      </c>
      <c r="J165" s="19" t="s">
        <v>1358</v>
      </c>
      <c r="K165" s="19" t="s">
        <v>29</v>
      </c>
      <c r="L165" s="18"/>
      <c r="M165" s="18" t="s">
        <v>30</v>
      </c>
      <c r="N165" s="18"/>
      <c r="O165" s="18"/>
      <c r="P165" s="19" t="s">
        <v>1359</v>
      </c>
      <c r="Q165" s="19" t="s">
        <v>1360</v>
      </c>
      <c r="R165" s="17"/>
    </row>
    <row r="166" spans="1:18" ht="135" hidden="1" customHeight="1" x14ac:dyDescent="0.25">
      <c r="A166" s="17" t="s">
        <v>1361</v>
      </c>
      <c r="B166" s="17" t="s">
        <v>1362</v>
      </c>
      <c r="C166" s="17" t="s">
        <v>1345</v>
      </c>
      <c r="D166" s="17" t="s">
        <v>1346</v>
      </c>
      <c r="E166" s="17" t="s">
        <v>59</v>
      </c>
      <c r="F166" s="17" t="s">
        <v>1363</v>
      </c>
      <c r="G166" s="17" t="s">
        <v>1364</v>
      </c>
      <c r="H166" s="17" t="s">
        <v>1365</v>
      </c>
      <c r="I166" s="17" t="s">
        <v>1366</v>
      </c>
      <c r="J166" s="17" t="s">
        <v>1367</v>
      </c>
      <c r="K166" s="17" t="s">
        <v>29</v>
      </c>
      <c r="L166" s="18"/>
      <c r="M166" s="18" t="s">
        <v>30</v>
      </c>
      <c r="N166" s="18"/>
      <c r="O166" s="18"/>
      <c r="P166" s="17"/>
      <c r="Q166" s="17"/>
      <c r="R166" s="17"/>
    </row>
    <row r="167" spans="1:18" ht="105" hidden="1" customHeight="1" x14ac:dyDescent="0.25">
      <c r="A167" s="17" t="s">
        <v>1368</v>
      </c>
      <c r="B167" s="17" t="s">
        <v>1369</v>
      </c>
      <c r="C167" s="17" t="s">
        <v>1345</v>
      </c>
      <c r="D167" s="17" t="s">
        <v>1346</v>
      </c>
      <c r="E167" s="17" t="s">
        <v>86</v>
      </c>
      <c r="F167" s="17" t="s">
        <v>1370</v>
      </c>
      <c r="G167" s="17" t="s">
        <v>1371</v>
      </c>
      <c r="H167" s="17" t="s">
        <v>1372</v>
      </c>
      <c r="I167" s="17" t="s">
        <v>1373</v>
      </c>
      <c r="J167" s="17" t="s">
        <v>1374</v>
      </c>
      <c r="K167" s="17" t="s">
        <v>38</v>
      </c>
      <c r="L167" s="18"/>
      <c r="M167" s="18" t="s">
        <v>30</v>
      </c>
      <c r="N167" s="18"/>
      <c r="O167" s="18"/>
      <c r="P167" s="17"/>
      <c r="Q167" s="17"/>
      <c r="R167" s="17"/>
    </row>
    <row r="168" spans="1:18" ht="105" hidden="1" customHeight="1" x14ac:dyDescent="0.25">
      <c r="A168" s="17" t="s">
        <v>1375</v>
      </c>
      <c r="B168" s="17" t="s">
        <v>1376</v>
      </c>
      <c r="C168" s="17" t="s">
        <v>1377</v>
      </c>
      <c r="D168" s="17" t="s">
        <v>1118</v>
      </c>
      <c r="E168" s="17" t="s">
        <v>23</v>
      </c>
      <c r="F168" s="17" t="s">
        <v>1378</v>
      </c>
      <c r="G168" s="17" t="s">
        <v>1379</v>
      </c>
      <c r="H168" s="17" t="s">
        <v>1380</v>
      </c>
      <c r="I168" s="17" t="s">
        <v>1381</v>
      </c>
      <c r="J168" s="17" t="s">
        <v>1382</v>
      </c>
      <c r="K168" s="17" t="s">
        <v>38</v>
      </c>
      <c r="L168" s="18"/>
      <c r="M168" s="18" t="s">
        <v>30</v>
      </c>
      <c r="N168" s="18"/>
      <c r="O168" s="18"/>
      <c r="P168" s="17"/>
      <c r="Q168" s="17"/>
      <c r="R168" s="17"/>
    </row>
    <row r="169" spans="1:18" ht="105" hidden="1" customHeight="1" x14ac:dyDescent="0.25">
      <c r="A169" s="17" t="s">
        <v>1383</v>
      </c>
      <c r="B169" s="17" t="s">
        <v>1384</v>
      </c>
      <c r="C169" s="17" t="s">
        <v>1377</v>
      </c>
      <c r="D169" s="17" t="s">
        <v>1118</v>
      </c>
      <c r="E169" s="17" t="s">
        <v>23</v>
      </c>
      <c r="F169" s="17" t="s">
        <v>1385</v>
      </c>
      <c r="G169" s="17" t="s">
        <v>1386</v>
      </c>
      <c r="H169" s="17" t="s">
        <v>1387</v>
      </c>
      <c r="I169" s="17" t="s">
        <v>1388</v>
      </c>
      <c r="J169" s="17" t="s">
        <v>1389</v>
      </c>
      <c r="K169" s="17" t="s">
        <v>38</v>
      </c>
      <c r="L169" s="18"/>
      <c r="M169" s="18" t="s">
        <v>30</v>
      </c>
      <c r="N169" s="18"/>
      <c r="O169" s="18"/>
      <c r="P169" s="17"/>
      <c r="Q169" s="17"/>
      <c r="R169" s="17"/>
    </row>
    <row r="170" spans="1:18" ht="90" hidden="1" customHeight="1" x14ac:dyDescent="0.25">
      <c r="A170" s="17" t="s">
        <v>1390</v>
      </c>
      <c r="B170" s="17" t="s">
        <v>1391</v>
      </c>
      <c r="C170" s="17" t="s">
        <v>1377</v>
      </c>
      <c r="D170" s="17" t="s">
        <v>1118</v>
      </c>
      <c r="E170" s="17" t="s">
        <v>86</v>
      </c>
      <c r="F170" s="17" t="s">
        <v>1392</v>
      </c>
      <c r="G170" s="17" t="s">
        <v>1393</v>
      </c>
      <c r="H170" s="17" t="s">
        <v>1394</v>
      </c>
      <c r="I170" s="17" t="s">
        <v>1395</v>
      </c>
      <c r="J170" s="17" t="s">
        <v>1396</v>
      </c>
      <c r="K170" s="17" t="s">
        <v>38</v>
      </c>
      <c r="L170" s="18"/>
      <c r="M170" s="18" t="s">
        <v>30</v>
      </c>
      <c r="N170" s="18"/>
      <c r="O170" s="18"/>
      <c r="P170" s="17"/>
      <c r="Q170" s="17" t="s">
        <v>208</v>
      </c>
      <c r="R170" s="17"/>
    </row>
    <row r="171" spans="1:18" ht="90" hidden="1" customHeight="1" x14ac:dyDescent="0.25">
      <c r="A171" s="19" t="s">
        <v>1397</v>
      </c>
      <c r="B171" s="19" t="s">
        <v>1398</v>
      </c>
      <c r="C171" s="19" t="s">
        <v>1377</v>
      </c>
      <c r="D171" s="19" t="s">
        <v>1118</v>
      </c>
      <c r="E171" s="19" t="s">
        <v>59</v>
      </c>
      <c r="F171" s="19" t="s">
        <v>1399</v>
      </c>
      <c r="G171" s="19" t="s">
        <v>1400</v>
      </c>
      <c r="H171" s="19" t="s">
        <v>1401</v>
      </c>
      <c r="I171" s="19" t="s">
        <v>1402</v>
      </c>
      <c r="J171" s="19" t="s">
        <v>1403</v>
      </c>
      <c r="K171" s="19" t="s">
        <v>38</v>
      </c>
      <c r="L171" s="18"/>
      <c r="M171" s="18" t="s">
        <v>30</v>
      </c>
      <c r="N171" s="18"/>
      <c r="O171" s="18"/>
      <c r="P171" s="19" t="s">
        <v>1404</v>
      </c>
      <c r="Q171" s="19" t="s">
        <v>208</v>
      </c>
      <c r="R171" s="17"/>
    </row>
    <row r="172" spans="1:18" ht="135" hidden="1" customHeight="1" x14ac:dyDescent="0.25">
      <c r="A172" s="17" t="s">
        <v>1405</v>
      </c>
      <c r="B172" s="17" t="s">
        <v>1406</v>
      </c>
      <c r="C172" s="17" t="s">
        <v>1407</v>
      </c>
      <c r="D172" s="17" t="s">
        <v>1408</v>
      </c>
      <c r="E172" s="17" t="s">
        <v>23</v>
      </c>
      <c r="F172" s="17" t="s">
        <v>1409</v>
      </c>
      <c r="G172" s="17" t="s">
        <v>1410</v>
      </c>
      <c r="H172" s="17" t="s">
        <v>1411</v>
      </c>
      <c r="I172" s="17" t="s">
        <v>1412</v>
      </c>
      <c r="J172" s="17" t="s">
        <v>1413</v>
      </c>
      <c r="K172" s="17" t="s">
        <v>29</v>
      </c>
      <c r="L172" s="18"/>
      <c r="M172" s="18" t="s">
        <v>30</v>
      </c>
      <c r="N172" s="18"/>
      <c r="O172" s="18"/>
      <c r="P172" s="17"/>
      <c r="Q172" s="17"/>
      <c r="R172" s="17"/>
    </row>
    <row r="173" spans="1:18" ht="105" hidden="1" customHeight="1" x14ac:dyDescent="0.25">
      <c r="A173" s="19" t="s">
        <v>1414</v>
      </c>
      <c r="B173" s="19" t="s">
        <v>1406</v>
      </c>
      <c r="C173" s="19" t="s">
        <v>1407</v>
      </c>
      <c r="D173" s="19" t="s">
        <v>1408</v>
      </c>
      <c r="E173" s="19" t="s">
        <v>86</v>
      </c>
      <c r="F173" s="19" t="s">
        <v>1415</v>
      </c>
      <c r="G173" s="19" t="s">
        <v>1416</v>
      </c>
      <c r="H173" s="19" t="s">
        <v>1417</v>
      </c>
      <c r="I173" s="19" t="s">
        <v>1418</v>
      </c>
      <c r="J173" s="19" t="s">
        <v>1419</v>
      </c>
      <c r="K173" s="19" t="s">
        <v>38</v>
      </c>
      <c r="L173" s="18"/>
      <c r="M173" s="18" t="s">
        <v>30</v>
      </c>
      <c r="N173" s="18"/>
      <c r="O173" s="18"/>
      <c r="P173" s="19" t="s">
        <v>1420</v>
      </c>
      <c r="Q173" s="19" t="s">
        <v>1421</v>
      </c>
      <c r="R173" s="17"/>
    </row>
    <row r="174" spans="1:18" ht="180" hidden="1" customHeight="1" x14ac:dyDescent="0.25">
      <c r="A174" s="17" t="s">
        <v>1422</v>
      </c>
      <c r="B174" s="17" t="s">
        <v>1406</v>
      </c>
      <c r="C174" s="17" t="s">
        <v>1407</v>
      </c>
      <c r="D174" s="17" t="s">
        <v>1408</v>
      </c>
      <c r="E174" s="17" t="s">
        <v>23</v>
      </c>
      <c r="F174" s="17" t="s">
        <v>1423</v>
      </c>
      <c r="G174" s="17" t="s">
        <v>1410</v>
      </c>
      <c r="H174" s="17" t="s">
        <v>1424</v>
      </c>
      <c r="I174" s="17" t="s">
        <v>1412</v>
      </c>
      <c r="J174" s="17" t="s">
        <v>1425</v>
      </c>
      <c r="K174" s="17" t="s">
        <v>29</v>
      </c>
      <c r="L174" s="18"/>
      <c r="M174" s="18" t="s">
        <v>30</v>
      </c>
      <c r="N174" s="18"/>
      <c r="O174" s="18"/>
      <c r="P174" s="17"/>
      <c r="Q174" s="17"/>
      <c r="R174" s="17"/>
    </row>
    <row r="175" spans="1:18" ht="75" hidden="1" customHeight="1" x14ac:dyDescent="0.25">
      <c r="A175" s="17" t="s">
        <v>1426</v>
      </c>
      <c r="B175" s="17" t="s">
        <v>1427</v>
      </c>
      <c r="C175" s="17" t="s">
        <v>1407</v>
      </c>
      <c r="D175" s="17" t="s">
        <v>1428</v>
      </c>
      <c r="E175" s="17" t="s">
        <v>23</v>
      </c>
      <c r="F175" s="17" t="s">
        <v>1429</v>
      </c>
      <c r="G175" s="17" t="s">
        <v>1430</v>
      </c>
      <c r="H175" s="17" t="s">
        <v>1431</v>
      </c>
      <c r="I175" s="17" t="s">
        <v>1432</v>
      </c>
      <c r="J175" s="17" t="s">
        <v>1433</v>
      </c>
      <c r="K175" s="17" t="s">
        <v>117</v>
      </c>
      <c r="L175" s="18"/>
      <c r="M175" s="18" t="s">
        <v>30</v>
      </c>
      <c r="N175" s="18"/>
      <c r="O175" s="18"/>
      <c r="P175" s="17"/>
      <c r="Q175" s="17"/>
      <c r="R175" s="17"/>
    </row>
    <row r="176" spans="1:18" ht="75" hidden="1" customHeight="1" x14ac:dyDescent="0.25">
      <c r="A176" s="17" t="s">
        <v>1434</v>
      </c>
      <c r="B176" s="17" t="s">
        <v>1435</v>
      </c>
      <c r="C176" s="17" t="s">
        <v>1407</v>
      </c>
      <c r="D176" s="17" t="s">
        <v>1436</v>
      </c>
      <c r="E176" s="17" t="s">
        <v>23</v>
      </c>
      <c r="F176" s="17" t="s">
        <v>1437</v>
      </c>
      <c r="G176" s="17" t="s">
        <v>1438</v>
      </c>
      <c r="H176" s="17" t="s">
        <v>1439</v>
      </c>
      <c r="I176" s="17" t="s">
        <v>1440</v>
      </c>
      <c r="J176" s="17" t="s">
        <v>1441</v>
      </c>
      <c r="K176" s="17" t="s">
        <v>117</v>
      </c>
      <c r="L176" s="18"/>
      <c r="M176" s="18" t="s">
        <v>30</v>
      </c>
      <c r="N176" s="18"/>
      <c r="O176" s="18"/>
      <c r="P176" s="17"/>
      <c r="Q176" s="17"/>
      <c r="R176" s="17"/>
    </row>
    <row r="177" spans="1:18" ht="75" hidden="1" customHeight="1" x14ac:dyDescent="0.25">
      <c r="A177" s="19" t="s">
        <v>1442</v>
      </c>
      <c r="B177" s="19" t="s">
        <v>1443</v>
      </c>
      <c r="C177" s="19" t="s">
        <v>1407</v>
      </c>
      <c r="D177" s="19" t="s">
        <v>1444</v>
      </c>
      <c r="E177" s="19" t="s">
        <v>23</v>
      </c>
      <c r="F177" s="19" t="s">
        <v>1445</v>
      </c>
      <c r="G177" s="19" t="s">
        <v>1446</v>
      </c>
      <c r="H177" s="19" t="s">
        <v>1447</v>
      </c>
      <c r="I177" s="19" t="s">
        <v>574</v>
      </c>
      <c r="J177" s="19" t="s">
        <v>1448</v>
      </c>
      <c r="K177" s="19" t="s">
        <v>38</v>
      </c>
      <c r="L177" s="18"/>
      <c r="M177" s="18" t="s">
        <v>30</v>
      </c>
      <c r="N177" s="18"/>
      <c r="O177" s="18"/>
      <c r="P177" s="19" t="s">
        <v>1106</v>
      </c>
      <c r="Q177" s="19" t="s">
        <v>1449</v>
      </c>
      <c r="R177" s="17"/>
    </row>
    <row r="178" spans="1:18" ht="60" hidden="1" customHeight="1" x14ac:dyDescent="0.25">
      <c r="A178" s="17" t="s">
        <v>1450</v>
      </c>
      <c r="B178" s="17" t="s">
        <v>1451</v>
      </c>
      <c r="C178" s="17" t="s">
        <v>1452</v>
      </c>
      <c r="D178" s="17" t="s">
        <v>1453</v>
      </c>
      <c r="E178" s="17" t="s">
        <v>23</v>
      </c>
      <c r="F178" s="17" t="s">
        <v>1454</v>
      </c>
      <c r="G178" s="17" t="s">
        <v>1455</v>
      </c>
      <c r="H178" s="17" t="s">
        <v>1456</v>
      </c>
      <c r="I178" s="17" t="s">
        <v>1457</v>
      </c>
      <c r="J178" s="17" t="s">
        <v>1458</v>
      </c>
      <c r="K178" s="17" t="s">
        <v>38</v>
      </c>
      <c r="L178" s="18"/>
      <c r="M178" s="18" t="s">
        <v>30</v>
      </c>
      <c r="N178" s="18"/>
      <c r="O178" s="18"/>
      <c r="P178" s="17"/>
      <c r="Q178" s="17"/>
      <c r="R178" s="17"/>
    </row>
    <row r="179" spans="1:18" ht="75" hidden="1" customHeight="1" x14ac:dyDescent="0.25">
      <c r="A179" s="17" t="s">
        <v>1459</v>
      </c>
      <c r="B179" s="17" t="s">
        <v>1451</v>
      </c>
      <c r="C179" s="17" t="s">
        <v>1452</v>
      </c>
      <c r="D179" s="17" t="s">
        <v>1453</v>
      </c>
      <c r="E179" s="17" t="s">
        <v>59</v>
      </c>
      <c r="F179" s="17" t="s">
        <v>1460</v>
      </c>
      <c r="G179" s="17" t="s">
        <v>1455</v>
      </c>
      <c r="H179" s="17" t="s">
        <v>1461</v>
      </c>
      <c r="I179" s="17" t="s">
        <v>1462</v>
      </c>
      <c r="J179" s="17" t="s">
        <v>1463</v>
      </c>
      <c r="K179" s="17" t="s">
        <v>38</v>
      </c>
      <c r="L179" s="18"/>
      <c r="M179" s="18" t="s">
        <v>30</v>
      </c>
      <c r="N179" s="18"/>
      <c r="O179" s="18"/>
      <c r="P179" s="17"/>
      <c r="Q179" s="17" t="s">
        <v>1464</v>
      </c>
      <c r="R179" s="17"/>
    </row>
    <row r="180" spans="1:18" ht="60" hidden="1" customHeight="1" x14ac:dyDescent="0.25">
      <c r="A180" s="19" t="s">
        <v>1465</v>
      </c>
      <c r="B180" s="19" t="s">
        <v>1466</v>
      </c>
      <c r="C180" s="19" t="s">
        <v>1452</v>
      </c>
      <c r="D180" s="19" t="s">
        <v>1467</v>
      </c>
      <c r="E180" s="19" t="s">
        <v>23</v>
      </c>
      <c r="F180" s="19" t="s">
        <v>1468</v>
      </c>
      <c r="G180" s="19" t="s">
        <v>1469</v>
      </c>
      <c r="H180" s="19" t="s">
        <v>1470</v>
      </c>
      <c r="I180" s="19" t="s">
        <v>1471</v>
      </c>
      <c r="J180" s="19" t="s">
        <v>1472</v>
      </c>
      <c r="K180" s="19" t="s">
        <v>38</v>
      </c>
      <c r="L180" s="18"/>
      <c r="M180" s="18" t="s">
        <v>30</v>
      </c>
      <c r="N180" s="18"/>
      <c r="O180" s="18"/>
      <c r="P180" s="19" t="s">
        <v>1473</v>
      </c>
      <c r="Q180" s="19"/>
      <c r="R180" s="17"/>
    </row>
    <row r="181" spans="1:18" ht="75" hidden="1" customHeight="1" x14ac:dyDescent="0.25">
      <c r="A181" s="17" t="s">
        <v>1474</v>
      </c>
      <c r="B181" s="17" t="s">
        <v>1466</v>
      </c>
      <c r="C181" s="17" t="s">
        <v>1452</v>
      </c>
      <c r="D181" s="17" t="s">
        <v>1467</v>
      </c>
      <c r="E181" s="17" t="s">
        <v>59</v>
      </c>
      <c r="F181" s="17" t="s">
        <v>1475</v>
      </c>
      <c r="G181" s="17" t="s">
        <v>1476</v>
      </c>
      <c r="H181" s="17" t="s">
        <v>1477</v>
      </c>
      <c r="I181" s="17" t="s">
        <v>1478</v>
      </c>
      <c r="J181" s="17" t="s">
        <v>1479</v>
      </c>
      <c r="K181" s="17" t="s">
        <v>38</v>
      </c>
      <c r="L181" s="18"/>
      <c r="M181" s="18" t="s">
        <v>30</v>
      </c>
      <c r="N181" s="18"/>
      <c r="O181" s="18"/>
      <c r="P181" s="17"/>
      <c r="Q181" s="17" t="s">
        <v>208</v>
      </c>
      <c r="R181" s="17"/>
    </row>
    <row r="182" spans="1:18" ht="180" hidden="1" customHeight="1" x14ac:dyDescent="0.25">
      <c r="A182" s="17" t="s">
        <v>1480</v>
      </c>
      <c r="B182" s="17" t="s">
        <v>1466</v>
      </c>
      <c r="C182" s="17" t="s">
        <v>1452</v>
      </c>
      <c r="D182" s="17" t="s">
        <v>1467</v>
      </c>
      <c r="E182" s="17" t="s">
        <v>59</v>
      </c>
      <c r="F182" s="17" t="s">
        <v>1481</v>
      </c>
      <c r="G182" s="17" t="s">
        <v>1482</v>
      </c>
      <c r="H182" s="17" t="s">
        <v>1483</v>
      </c>
      <c r="I182" s="17" t="s">
        <v>1484</v>
      </c>
      <c r="J182" s="17" t="s">
        <v>1485</v>
      </c>
      <c r="K182" s="17" t="s">
        <v>38</v>
      </c>
      <c r="L182" s="18"/>
      <c r="M182" s="18" t="s">
        <v>30</v>
      </c>
      <c r="N182" s="18"/>
      <c r="O182" s="18"/>
      <c r="P182" s="17"/>
      <c r="Q182" s="17"/>
      <c r="R182" s="17"/>
    </row>
    <row r="183" spans="1:18" ht="105" hidden="1" customHeight="1" x14ac:dyDescent="0.25">
      <c r="A183" s="19" t="s">
        <v>1486</v>
      </c>
      <c r="B183" s="19" t="s">
        <v>1487</v>
      </c>
      <c r="C183" s="19" t="s">
        <v>1452</v>
      </c>
      <c r="D183" s="19" t="s">
        <v>1467</v>
      </c>
      <c r="E183" s="19" t="s">
        <v>32</v>
      </c>
      <c r="F183" s="19" t="s">
        <v>1488</v>
      </c>
      <c r="G183" s="19" t="s">
        <v>1489</v>
      </c>
      <c r="H183" s="19" t="s">
        <v>1490</v>
      </c>
      <c r="I183" s="19" t="s">
        <v>1491</v>
      </c>
      <c r="J183" s="19" t="s">
        <v>1492</v>
      </c>
      <c r="K183" s="19" t="s">
        <v>38</v>
      </c>
      <c r="L183" s="18"/>
      <c r="M183" s="18" t="s">
        <v>30</v>
      </c>
      <c r="N183" s="18"/>
      <c r="O183" s="18"/>
      <c r="P183" s="19" t="s">
        <v>1493</v>
      </c>
      <c r="Q183" s="19"/>
      <c r="R183" s="17"/>
    </row>
    <row r="184" spans="1:18" ht="75" hidden="1" customHeight="1" x14ac:dyDescent="0.25">
      <c r="A184" s="17" t="s">
        <v>1494</v>
      </c>
      <c r="B184" s="17" t="s">
        <v>1487</v>
      </c>
      <c r="C184" s="17" t="s">
        <v>1452</v>
      </c>
      <c r="D184" s="17" t="s">
        <v>1467</v>
      </c>
      <c r="E184" s="17" t="s">
        <v>32</v>
      </c>
      <c r="F184" s="17" t="s">
        <v>1495</v>
      </c>
      <c r="G184" s="17" t="s">
        <v>1496</v>
      </c>
      <c r="H184" s="17" t="s">
        <v>1497</v>
      </c>
      <c r="I184" s="17" t="s">
        <v>1498</v>
      </c>
      <c r="J184" s="17" t="s">
        <v>1499</v>
      </c>
      <c r="K184" s="17" t="s">
        <v>29</v>
      </c>
      <c r="L184" s="18"/>
      <c r="M184" s="18" t="s">
        <v>30</v>
      </c>
      <c r="N184" s="18"/>
      <c r="O184" s="18"/>
      <c r="P184" s="17"/>
      <c r="Q184" s="17" t="s">
        <v>1500</v>
      </c>
      <c r="R184" s="17"/>
    </row>
    <row r="185" spans="1:18" ht="180" hidden="1" customHeight="1" x14ac:dyDescent="0.25">
      <c r="A185" s="17" t="s">
        <v>1501</v>
      </c>
      <c r="B185" s="17" t="s">
        <v>1487</v>
      </c>
      <c r="C185" s="17" t="s">
        <v>1452</v>
      </c>
      <c r="D185" s="17" t="s">
        <v>1467</v>
      </c>
      <c r="E185" s="17" t="s">
        <v>23</v>
      </c>
      <c r="F185" s="17" t="s">
        <v>1502</v>
      </c>
      <c r="G185" s="17" t="s">
        <v>1496</v>
      </c>
      <c r="H185" s="17" t="s">
        <v>1503</v>
      </c>
      <c r="I185" s="17" t="s">
        <v>1504</v>
      </c>
      <c r="J185" s="17" t="s">
        <v>1505</v>
      </c>
      <c r="K185" s="17" t="s">
        <v>38</v>
      </c>
      <c r="L185" s="18"/>
      <c r="M185" s="18" t="s">
        <v>30</v>
      </c>
      <c r="N185" s="18"/>
      <c r="O185" s="18"/>
      <c r="P185" s="17"/>
      <c r="Q185" s="17"/>
      <c r="R185" s="17"/>
    </row>
    <row r="186" spans="1:18" ht="180" hidden="1" customHeight="1" x14ac:dyDescent="0.25">
      <c r="A186" s="19" t="s">
        <v>1506</v>
      </c>
      <c r="B186" s="19" t="s">
        <v>1487</v>
      </c>
      <c r="C186" s="19" t="s">
        <v>1452</v>
      </c>
      <c r="D186" s="19" t="s">
        <v>1467</v>
      </c>
      <c r="E186" s="19" t="s">
        <v>32</v>
      </c>
      <c r="F186" s="19" t="s">
        <v>1507</v>
      </c>
      <c r="G186" s="19" t="s">
        <v>1496</v>
      </c>
      <c r="H186" s="19" t="s">
        <v>1508</v>
      </c>
      <c r="I186" s="19" t="s">
        <v>1509</v>
      </c>
      <c r="J186" s="19" t="s">
        <v>1510</v>
      </c>
      <c r="K186" s="19" t="s">
        <v>38</v>
      </c>
      <c r="L186" s="18"/>
      <c r="M186" s="18" t="s">
        <v>30</v>
      </c>
      <c r="N186" s="18"/>
      <c r="O186" s="18"/>
      <c r="P186" s="19" t="s">
        <v>1511</v>
      </c>
      <c r="Q186" s="19"/>
      <c r="R186" s="17"/>
    </row>
    <row r="187" spans="1:18" ht="105" hidden="1" customHeight="1" x14ac:dyDescent="0.25">
      <c r="A187" s="19" t="s">
        <v>1512</v>
      </c>
      <c r="B187" s="19" t="s">
        <v>1513</v>
      </c>
      <c r="C187" s="19" t="s">
        <v>1452</v>
      </c>
      <c r="D187" s="19" t="s">
        <v>1514</v>
      </c>
      <c r="E187" s="19" t="s">
        <v>23</v>
      </c>
      <c r="F187" s="19" t="s">
        <v>1515</v>
      </c>
      <c r="G187" s="19" t="s">
        <v>1516</v>
      </c>
      <c r="H187" s="19" t="s">
        <v>1517</v>
      </c>
      <c r="I187" s="19" t="s">
        <v>1518</v>
      </c>
      <c r="J187" s="19" t="s">
        <v>1519</v>
      </c>
      <c r="K187" s="19" t="s">
        <v>38</v>
      </c>
      <c r="L187" s="18"/>
      <c r="M187" s="18" t="s">
        <v>30</v>
      </c>
      <c r="N187" s="18"/>
      <c r="O187" s="18"/>
      <c r="P187" s="19" t="s">
        <v>1520</v>
      </c>
      <c r="Q187" s="19"/>
      <c r="R187" s="17"/>
    </row>
    <row r="188" spans="1:18" ht="135" hidden="1" customHeight="1" x14ac:dyDescent="0.25">
      <c r="A188" s="17" t="s">
        <v>1521</v>
      </c>
      <c r="B188" s="17" t="s">
        <v>1522</v>
      </c>
      <c r="C188" s="17" t="s">
        <v>1452</v>
      </c>
      <c r="D188" s="17" t="s">
        <v>1523</v>
      </c>
      <c r="E188" s="17" t="s">
        <v>23</v>
      </c>
      <c r="F188" s="17" t="s">
        <v>1524</v>
      </c>
      <c r="G188" s="17" t="s">
        <v>1525</v>
      </c>
      <c r="H188" s="17" t="s">
        <v>1526</v>
      </c>
      <c r="I188" s="17" t="s">
        <v>1527</v>
      </c>
      <c r="J188" s="17" t="s">
        <v>1528</v>
      </c>
      <c r="K188" s="17" t="s">
        <v>29</v>
      </c>
      <c r="L188" s="18"/>
      <c r="M188" s="18" t="s">
        <v>30</v>
      </c>
      <c r="N188" s="18"/>
      <c r="O188" s="18"/>
      <c r="P188" s="17"/>
      <c r="Q188" s="17"/>
      <c r="R188" s="17" t="s">
        <v>1529</v>
      </c>
    </row>
    <row r="189" spans="1:18" ht="75" hidden="1" customHeight="1" x14ac:dyDescent="0.25">
      <c r="A189" s="17" t="s">
        <v>1530</v>
      </c>
      <c r="B189" s="17" t="s">
        <v>1522</v>
      </c>
      <c r="C189" s="17" t="s">
        <v>1452</v>
      </c>
      <c r="D189" s="17" t="s">
        <v>1523</v>
      </c>
      <c r="E189" s="17" t="s">
        <v>59</v>
      </c>
      <c r="F189" s="17" t="s">
        <v>1531</v>
      </c>
      <c r="G189" s="17" t="s">
        <v>1532</v>
      </c>
      <c r="H189" s="17" t="s">
        <v>1533</v>
      </c>
      <c r="I189" s="17" t="s">
        <v>1534</v>
      </c>
      <c r="J189" s="17" t="s">
        <v>1535</v>
      </c>
      <c r="K189" s="17" t="s">
        <v>29</v>
      </c>
      <c r="L189" s="18"/>
      <c r="M189" s="18" t="s">
        <v>30</v>
      </c>
      <c r="N189" s="18"/>
      <c r="O189" s="18"/>
      <c r="P189" s="17"/>
      <c r="Q189" s="17" t="s">
        <v>1536</v>
      </c>
      <c r="R189" s="17"/>
    </row>
    <row r="190" spans="1:18" ht="105" hidden="1" customHeight="1" x14ac:dyDescent="0.25">
      <c r="A190" s="19" t="s">
        <v>1537</v>
      </c>
      <c r="B190" s="19" t="s">
        <v>1538</v>
      </c>
      <c r="C190" s="19" t="s">
        <v>1452</v>
      </c>
      <c r="D190" s="19" t="s">
        <v>1539</v>
      </c>
      <c r="E190" s="19" t="s">
        <v>23</v>
      </c>
      <c r="F190" s="19" t="s">
        <v>1540</v>
      </c>
      <c r="G190" s="19" t="s">
        <v>1541</v>
      </c>
      <c r="H190" s="19" t="s">
        <v>1542</v>
      </c>
      <c r="I190" s="19" t="s">
        <v>1543</v>
      </c>
      <c r="J190" s="19" t="s">
        <v>1544</v>
      </c>
      <c r="K190" s="19" t="s">
        <v>38</v>
      </c>
      <c r="L190" s="18"/>
      <c r="M190" s="18" t="s">
        <v>30</v>
      </c>
      <c r="N190" s="18"/>
      <c r="O190" s="18"/>
      <c r="P190" s="19" t="s">
        <v>1545</v>
      </c>
      <c r="Q190" s="19" t="s">
        <v>1546</v>
      </c>
      <c r="R190" s="17"/>
    </row>
    <row r="191" spans="1:18" ht="75" customHeight="1" x14ac:dyDescent="0.25">
      <c r="A191" s="17" t="s">
        <v>1547</v>
      </c>
      <c r="B191" s="17" t="s">
        <v>1548</v>
      </c>
      <c r="C191" s="17" t="s">
        <v>1452</v>
      </c>
      <c r="D191" s="17" t="s">
        <v>1549</v>
      </c>
      <c r="E191" s="17" t="s">
        <v>552</v>
      </c>
      <c r="F191" s="17" t="s">
        <v>1550</v>
      </c>
      <c r="G191" s="17" t="s">
        <v>1551</v>
      </c>
      <c r="H191" s="17" t="s">
        <v>1552</v>
      </c>
      <c r="I191" s="17" t="s">
        <v>1553</v>
      </c>
      <c r="J191" s="17" t="s">
        <v>1554</v>
      </c>
      <c r="K191" s="17" t="s">
        <v>38</v>
      </c>
      <c r="L191" s="18"/>
      <c r="M191" s="18" t="s">
        <v>30</v>
      </c>
      <c r="N191" s="18"/>
      <c r="O191" s="18"/>
      <c r="P191" s="17"/>
      <c r="Q191" s="17" t="s">
        <v>1555</v>
      </c>
      <c r="R191" s="17"/>
    </row>
    <row r="192" spans="1:18" ht="75" customHeight="1" x14ac:dyDescent="0.25">
      <c r="A192" s="19" t="s">
        <v>1556</v>
      </c>
      <c r="B192" s="19" t="s">
        <v>1557</v>
      </c>
      <c r="C192" s="19" t="s">
        <v>1452</v>
      </c>
      <c r="D192" s="19" t="s">
        <v>1549</v>
      </c>
      <c r="E192" s="19" t="s">
        <v>245</v>
      </c>
      <c r="F192" s="19" t="s">
        <v>1558</v>
      </c>
      <c r="G192" s="19" t="s">
        <v>1559</v>
      </c>
      <c r="H192" s="19" t="s">
        <v>1560</v>
      </c>
      <c r="I192" s="19" t="s">
        <v>1561</v>
      </c>
      <c r="J192" s="19" t="s">
        <v>1562</v>
      </c>
      <c r="K192" s="19" t="s">
        <v>117</v>
      </c>
      <c r="L192" s="18"/>
      <c r="M192" s="18" t="s">
        <v>30</v>
      </c>
      <c r="N192" s="18"/>
      <c r="O192" s="18"/>
      <c r="P192" s="19" t="s">
        <v>1563</v>
      </c>
      <c r="Q192" s="19" t="s">
        <v>325</v>
      </c>
      <c r="R192" s="17"/>
    </row>
    <row r="193" spans="1:18" ht="180" customHeight="1" x14ac:dyDescent="0.25">
      <c r="A193" s="17" t="s">
        <v>1564</v>
      </c>
      <c r="B193" s="17" t="s">
        <v>1565</v>
      </c>
      <c r="C193" s="17" t="s">
        <v>1452</v>
      </c>
      <c r="D193" s="17" t="s">
        <v>1566</v>
      </c>
      <c r="E193" s="17" t="s">
        <v>23</v>
      </c>
      <c r="F193" s="17" t="s">
        <v>1567</v>
      </c>
      <c r="G193" s="17" t="s">
        <v>1568</v>
      </c>
      <c r="H193" s="17" t="s">
        <v>1569</v>
      </c>
      <c r="I193" s="17" t="s">
        <v>1570</v>
      </c>
      <c r="J193" s="17" t="s">
        <v>1571</v>
      </c>
      <c r="K193" s="17" t="s">
        <v>29</v>
      </c>
      <c r="L193" s="18"/>
      <c r="M193" s="18" t="s">
        <v>30</v>
      </c>
      <c r="N193" s="18"/>
      <c r="O193" s="18"/>
      <c r="P193" s="17"/>
      <c r="Q193" s="17"/>
      <c r="R193" s="17"/>
    </row>
    <row r="194" spans="1:18" ht="180" customHeight="1" x14ac:dyDescent="0.25">
      <c r="A194" s="19" t="s">
        <v>1572</v>
      </c>
      <c r="B194" s="19" t="s">
        <v>1573</v>
      </c>
      <c r="C194" s="19" t="s">
        <v>1452</v>
      </c>
      <c r="D194" s="19" t="s">
        <v>1574</v>
      </c>
      <c r="E194" s="19" t="s">
        <v>245</v>
      </c>
      <c r="F194" s="19" t="s">
        <v>1575</v>
      </c>
      <c r="G194" s="19" t="s">
        <v>1576</v>
      </c>
      <c r="H194" s="19" t="s">
        <v>1577</v>
      </c>
      <c r="I194" s="19" t="s">
        <v>1578</v>
      </c>
      <c r="J194" s="19" t="s">
        <v>1579</v>
      </c>
      <c r="K194" s="19" t="s">
        <v>38</v>
      </c>
      <c r="L194" s="18"/>
      <c r="M194" s="18" t="s">
        <v>30</v>
      </c>
      <c r="N194" s="18"/>
      <c r="O194" s="18"/>
      <c r="P194" s="19" t="s">
        <v>1493</v>
      </c>
      <c r="Q194" s="19"/>
      <c r="R194" s="17"/>
    </row>
    <row r="195" spans="1:18" ht="75" customHeight="1" x14ac:dyDescent="0.25">
      <c r="A195" s="17" t="s">
        <v>1580</v>
      </c>
      <c r="B195" s="17" t="s">
        <v>1581</v>
      </c>
      <c r="C195" s="17" t="s">
        <v>1582</v>
      </c>
      <c r="D195" s="17" t="s">
        <v>1428</v>
      </c>
      <c r="E195" s="17" t="s">
        <v>23</v>
      </c>
      <c r="F195" s="17" t="s">
        <v>1583</v>
      </c>
      <c r="G195" s="17" t="s">
        <v>1584</v>
      </c>
      <c r="H195" s="17" t="s">
        <v>1585</v>
      </c>
      <c r="I195" s="17" t="s">
        <v>1586</v>
      </c>
      <c r="J195" s="17" t="s">
        <v>1587</v>
      </c>
      <c r="K195" s="17" t="s">
        <v>38</v>
      </c>
      <c r="L195" s="18"/>
      <c r="M195" s="18" t="s">
        <v>30</v>
      </c>
      <c r="N195" s="18"/>
      <c r="O195" s="18"/>
      <c r="P195" s="17"/>
      <c r="Q195" s="17"/>
      <c r="R195" s="17"/>
    </row>
    <row r="196" spans="1:18" ht="180" customHeight="1" x14ac:dyDescent="0.25">
      <c r="A196" s="17" t="s">
        <v>1588</v>
      </c>
      <c r="B196" s="17" t="s">
        <v>1581</v>
      </c>
      <c r="C196" s="17" t="s">
        <v>1582</v>
      </c>
      <c r="D196" s="17" t="s">
        <v>1428</v>
      </c>
      <c r="E196" s="17" t="s">
        <v>245</v>
      </c>
      <c r="F196" s="17" t="s">
        <v>1589</v>
      </c>
      <c r="G196" s="17" t="s">
        <v>1590</v>
      </c>
      <c r="H196" s="17" t="s">
        <v>1591</v>
      </c>
      <c r="I196" s="17" t="s">
        <v>1592</v>
      </c>
      <c r="J196" s="17" t="s">
        <v>1593</v>
      </c>
      <c r="K196" s="17" t="s">
        <v>29</v>
      </c>
      <c r="L196" s="18"/>
      <c r="M196" s="18" t="s">
        <v>30</v>
      </c>
      <c r="N196" s="18"/>
      <c r="O196" s="18"/>
      <c r="P196" s="17"/>
      <c r="Q196" s="17"/>
      <c r="R196" s="17"/>
    </row>
    <row r="197" spans="1:18" ht="75" customHeight="1" x14ac:dyDescent="0.25">
      <c r="A197" s="17" t="s">
        <v>1594</v>
      </c>
      <c r="B197" s="17" t="s">
        <v>1595</v>
      </c>
      <c r="C197" s="17" t="s">
        <v>1582</v>
      </c>
      <c r="D197" s="17" t="s">
        <v>1596</v>
      </c>
      <c r="E197" s="17" t="s">
        <v>32</v>
      </c>
      <c r="F197" s="17" t="s">
        <v>1597</v>
      </c>
      <c r="G197" s="17" t="s">
        <v>1598</v>
      </c>
      <c r="H197" s="17" t="s">
        <v>1599</v>
      </c>
      <c r="I197" s="17" t="s">
        <v>1600</v>
      </c>
      <c r="J197" s="17" t="s">
        <v>1601</v>
      </c>
      <c r="K197" s="17" t="s">
        <v>29</v>
      </c>
      <c r="L197" s="18"/>
      <c r="M197" s="18" t="s">
        <v>30</v>
      </c>
      <c r="N197" s="18"/>
      <c r="O197" s="18"/>
      <c r="P197" s="17"/>
      <c r="Q197" s="17"/>
      <c r="R197" s="17"/>
    </row>
    <row r="198" spans="1:18" ht="180" customHeight="1" x14ac:dyDescent="0.25">
      <c r="A198" s="17" t="s">
        <v>1602</v>
      </c>
      <c r="B198" s="17" t="s">
        <v>1603</v>
      </c>
      <c r="C198" s="17" t="s">
        <v>1582</v>
      </c>
      <c r="D198" s="17" t="s">
        <v>1428</v>
      </c>
      <c r="E198" s="17" t="s">
        <v>23</v>
      </c>
      <c r="F198" s="17" t="s">
        <v>1604</v>
      </c>
      <c r="G198" s="17" t="s">
        <v>1605</v>
      </c>
      <c r="H198" s="17" t="s">
        <v>1606</v>
      </c>
      <c r="I198" s="17" t="s">
        <v>1607</v>
      </c>
      <c r="J198" s="17" t="s">
        <v>1608</v>
      </c>
      <c r="K198" s="17" t="s">
        <v>29</v>
      </c>
      <c r="L198" s="18"/>
      <c r="M198" s="18" t="s">
        <v>30</v>
      </c>
      <c r="N198" s="18"/>
      <c r="O198" s="18"/>
      <c r="P198" s="17"/>
      <c r="Q198" s="17"/>
      <c r="R198" s="17"/>
    </row>
    <row r="199" spans="1:18" ht="180" customHeight="1" x14ac:dyDescent="0.25">
      <c r="A199" s="17" t="s">
        <v>1609</v>
      </c>
      <c r="B199" s="17" t="s">
        <v>1603</v>
      </c>
      <c r="C199" s="17" t="s">
        <v>1582</v>
      </c>
      <c r="D199" s="17" t="s">
        <v>1428</v>
      </c>
      <c r="E199" s="17" t="s">
        <v>23</v>
      </c>
      <c r="F199" s="17" t="s">
        <v>1610</v>
      </c>
      <c r="G199" s="17" t="s">
        <v>1611</v>
      </c>
      <c r="H199" s="17" t="s">
        <v>1612</v>
      </c>
      <c r="I199" s="17" t="s">
        <v>574</v>
      </c>
      <c r="J199" s="17" t="s">
        <v>1613</v>
      </c>
      <c r="K199" s="17" t="s">
        <v>38</v>
      </c>
      <c r="L199" s="18"/>
      <c r="M199" s="18" t="s">
        <v>30</v>
      </c>
      <c r="N199" s="18"/>
      <c r="O199" s="18"/>
      <c r="P199" s="17"/>
      <c r="Q199" s="17"/>
      <c r="R199" s="17"/>
    </row>
    <row r="200" spans="1:18" ht="180" customHeight="1" x14ac:dyDescent="0.25">
      <c r="A200" s="19" t="s">
        <v>1614</v>
      </c>
      <c r="B200" s="19" t="s">
        <v>1603</v>
      </c>
      <c r="C200" s="19" t="s">
        <v>1582</v>
      </c>
      <c r="D200" s="19" t="s">
        <v>1428</v>
      </c>
      <c r="E200" s="19" t="s">
        <v>86</v>
      </c>
      <c r="F200" s="19" t="s">
        <v>1615</v>
      </c>
      <c r="G200" s="19" t="s">
        <v>1616</v>
      </c>
      <c r="H200" s="19" t="s">
        <v>1617</v>
      </c>
      <c r="I200" s="19" t="s">
        <v>574</v>
      </c>
      <c r="J200" s="19" t="s">
        <v>1618</v>
      </c>
      <c r="K200" s="19" t="s">
        <v>29</v>
      </c>
      <c r="L200" s="18"/>
      <c r="M200" s="18" t="s">
        <v>30</v>
      </c>
      <c r="N200" s="18"/>
      <c r="O200" s="18"/>
      <c r="P200" s="19" t="s">
        <v>1619</v>
      </c>
      <c r="Q200" s="19"/>
      <c r="R200" s="17"/>
    </row>
  </sheetData>
  <autoFilter ref="A2:R190" xr:uid="{00000000-0009-0000-0000-000002000000}">
    <filterColumn colId="2">
      <filters>
        <filter val="SCR-CHK-02"/>
      </filters>
    </filterColumn>
  </autoFilter>
  <mergeCells count="1">
    <mergeCell ref="A1:R1"/>
  </mergeCells>
  <dataValidations count="1">
    <dataValidation type="list" allowBlank="1" sqref="M3:M181" xr:uid="{00000000-0002-0000-0200-000000000000}">
      <formula1>"Pass,Fail,Blocked,N/A,Not Run"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showGridLines="0" zoomScaleNormal="100" workbookViewId="0">
      <pane ySplit="2" topLeftCell="A3" activePane="bottomLeft" state="frozen"/>
      <selection pane="bottomLeft" sqref="A1:J1"/>
    </sheetView>
  </sheetViews>
  <sheetFormatPr defaultColWidth="8.7109375" defaultRowHeight="15" x14ac:dyDescent="0.25"/>
  <cols>
    <col min="1" max="1" width="6" customWidth="1"/>
    <col min="2" max="2" width="16" customWidth="1"/>
    <col min="3" max="3" width="34" customWidth="1"/>
    <col min="4" max="4" width="22" customWidth="1"/>
    <col min="5" max="5" width="12" customWidth="1"/>
    <col min="6" max="6" width="46" customWidth="1"/>
    <col min="7" max="8" width="34" customWidth="1"/>
    <col min="9" max="9" width="46" customWidth="1"/>
    <col min="10" max="10" width="10" customWidth="1"/>
    <col min="11" max="11" width="40" customWidth="1"/>
  </cols>
  <sheetData>
    <row r="1" spans="1:11" ht="17.25" customHeight="1" x14ac:dyDescent="0.25">
      <c r="A1" s="20" t="s">
        <v>2454</v>
      </c>
      <c r="B1" s="21"/>
      <c r="C1" s="21"/>
      <c r="D1" s="21"/>
      <c r="E1" s="21"/>
      <c r="F1" s="21"/>
      <c r="G1" s="21"/>
      <c r="H1" s="21"/>
      <c r="I1" s="21"/>
      <c r="J1" s="21"/>
    </row>
    <row r="2" spans="1:11" ht="27.75" customHeight="1" x14ac:dyDescent="0.25">
      <c r="A2" s="4" t="s">
        <v>1655</v>
      </c>
      <c r="B2" s="4" t="s">
        <v>1656</v>
      </c>
      <c r="C2" s="4" t="s">
        <v>2455</v>
      </c>
      <c r="D2" s="4" t="s">
        <v>4</v>
      </c>
      <c r="E2" s="4" t="s">
        <v>1658</v>
      </c>
      <c r="F2" s="4" t="s">
        <v>2456</v>
      </c>
      <c r="G2" s="4" t="s">
        <v>2457</v>
      </c>
      <c r="H2" s="4" t="s">
        <v>7</v>
      </c>
      <c r="I2" s="4" t="s">
        <v>2458</v>
      </c>
      <c r="J2" s="4" t="s">
        <v>16</v>
      </c>
      <c r="K2" s="4" t="s">
        <v>17</v>
      </c>
    </row>
    <row r="3" spans="1:11" ht="45.75" customHeight="1" x14ac:dyDescent="0.25">
      <c r="A3" s="16">
        <v>1</v>
      </c>
      <c r="B3" s="16" t="s">
        <v>2459</v>
      </c>
      <c r="C3" s="16" t="s">
        <v>2460</v>
      </c>
      <c r="D3" s="16" t="s">
        <v>2461</v>
      </c>
      <c r="E3" s="16" t="s">
        <v>23</v>
      </c>
      <c r="F3" s="16" t="s">
        <v>2462</v>
      </c>
      <c r="G3" s="16" t="s">
        <v>2463</v>
      </c>
      <c r="H3" s="16" t="s">
        <v>2464</v>
      </c>
      <c r="I3" s="16" t="s">
        <v>2465</v>
      </c>
      <c r="J3" s="16" t="s">
        <v>616</v>
      </c>
      <c r="K3" s="16" t="s">
        <v>2466</v>
      </c>
    </row>
    <row r="4" spans="1:11" ht="45.75" customHeight="1" x14ac:dyDescent="0.25">
      <c r="A4" s="16">
        <v>2</v>
      </c>
      <c r="B4" s="16" t="s">
        <v>2467</v>
      </c>
      <c r="C4" s="16" t="s">
        <v>2460</v>
      </c>
      <c r="D4" s="16" t="s">
        <v>2468</v>
      </c>
      <c r="E4" s="16" t="s">
        <v>32</v>
      </c>
      <c r="F4" s="16" t="s">
        <v>2469</v>
      </c>
      <c r="G4" s="16" t="s">
        <v>2470</v>
      </c>
      <c r="H4" s="16" t="s">
        <v>2471</v>
      </c>
      <c r="I4" s="16" t="s">
        <v>2472</v>
      </c>
      <c r="J4" s="16" t="s">
        <v>591</v>
      </c>
      <c r="K4" s="16" t="s">
        <v>2473</v>
      </c>
    </row>
    <row r="5" spans="1:11" ht="45.75" customHeight="1" x14ac:dyDescent="0.25">
      <c r="A5" s="5">
        <v>3</v>
      </c>
      <c r="B5" s="5" t="s">
        <v>2474</v>
      </c>
      <c r="C5" s="5" t="s">
        <v>2475</v>
      </c>
      <c r="D5" s="5" t="s">
        <v>2476</v>
      </c>
      <c r="E5" s="5" t="s">
        <v>23</v>
      </c>
      <c r="F5" s="5" t="s">
        <v>2477</v>
      </c>
      <c r="G5" s="5" t="s">
        <v>2478</v>
      </c>
      <c r="H5" s="5" t="s">
        <v>2479</v>
      </c>
      <c r="I5" s="5" t="s">
        <v>2480</v>
      </c>
      <c r="J5" s="5"/>
      <c r="K5" s="5"/>
    </row>
    <row r="6" spans="1:11" ht="45.75" customHeight="1" x14ac:dyDescent="0.25">
      <c r="A6" s="5">
        <v>4</v>
      </c>
      <c r="B6" s="5" t="s">
        <v>2481</v>
      </c>
      <c r="C6" s="5" t="s">
        <v>2475</v>
      </c>
      <c r="D6" s="5" t="s">
        <v>2482</v>
      </c>
      <c r="E6" s="5" t="s">
        <v>2483</v>
      </c>
      <c r="F6" s="5" t="s">
        <v>2484</v>
      </c>
      <c r="G6" s="5" t="s">
        <v>2485</v>
      </c>
      <c r="H6" s="5" t="s">
        <v>2486</v>
      </c>
      <c r="I6" s="5" t="s">
        <v>2487</v>
      </c>
      <c r="J6" s="5"/>
      <c r="K6" s="5" t="s">
        <v>2488</v>
      </c>
    </row>
    <row r="7" spans="1:11" ht="45.75" customHeight="1" x14ac:dyDescent="0.25">
      <c r="A7" s="16">
        <v>5</v>
      </c>
      <c r="B7" s="16" t="s">
        <v>2489</v>
      </c>
      <c r="C7" s="16" t="s">
        <v>2490</v>
      </c>
      <c r="D7" s="16" t="s">
        <v>2491</v>
      </c>
      <c r="E7" s="16" t="s">
        <v>23</v>
      </c>
      <c r="F7" s="16" t="s">
        <v>2492</v>
      </c>
      <c r="G7" s="16" t="s">
        <v>2493</v>
      </c>
      <c r="H7" s="16" t="s">
        <v>2494</v>
      </c>
      <c r="I7" s="16" t="s">
        <v>2495</v>
      </c>
      <c r="J7" s="16" t="s">
        <v>2496</v>
      </c>
      <c r="K7" s="16" t="s">
        <v>2497</v>
      </c>
    </row>
    <row r="8" spans="1:11" ht="45.75" customHeight="1" x14ac:dyDescent="0.25">
      <c r="A8" s="5">
        <v>6</v>
      </c>
      <c r="B8" s="5" t="s">
        <v>2498</v>
      </c>
      <c r="C8" s="5" t="s">
        <v>2490</v>
      </c>
      <c r="D8" s="5" t="s">
        <v>2499</v>
      </c>
      <c r="E8" s="5" t="s">
        <v>23</v>
      </c>
      <c r="F8" s="5" t="s">
        <v>2500</v>
      </c>
      <c r="G8" s="5" t="s">
        <v>2501</v>
      </c>
      <c r="H8" s="5" t="s">
        <v>2502</v>
      </c>
      <c r="I8" s="5" t="s">
        <v>2503</v>
      </c>
      <c r="J8" s="5"/>
      <c r="K8" s="5"/>
    </row>
    <row r="9" spans="1:11" ht="45.75" customHeight="1" x14ac:dyDescent="0.25">
      <c r="A9" s="5">
        <v>7</v>
      </c>
      <c r="B9" s="5" t="s">
        <v>2504</v>
      </c>
      <c r="C9" s="5" t="s">
        <v>2505</v>
      </c>
      <c r="D9" s="5" t="s">
        <v>2506</v>
      </c>
      <c r="E9" s="5" t="s">
        <v>23</v>
      </c>
      <c r="F9" s="5" t="s">
        <v>2507</v>
      </c>
      <c r="G9" s="5" t="s">
        <v>2508</v>
      </c>
      <c r="H9" s="5" t="s">
        <v>2509</v>
      </c>
      <c r="I9" s="5" t="s">
        <v>2510</v>
      </c>
      <c r="J9" s="5"/>
      <c r="K9" s="5"/>
    </row>
    <row r="10" spans="1:11" ht="45.75" customHeight="1" x14ac:dyDescent="0.25">
      <c r="A10" s="5">
        <v>8</v>
      </c>
      <c r="B10" s="5" t="s">
        <v>2511</v>
      </c>
      <c r="C10" s="5" t="s">
        <v>2505</v>
      </c>
      <c r="D10" s="5" t="s">
        <v>2512</v>
      </c>
      <c r="E10" s="5" t="s">
        <v>59</v>
      </c>
      <c r="F10" s="5" t="s">
        <v>2513</v>
      </c>
      <c r="G10" s="5" t="s">
        <v>2514</v>
      </c>
      <c r="H10" s="5" t="s">
        <v>2515</v>
      </c>
      <c r="I10" s="5" t="s">
        <v>2516</v>
      </c>
      <c r="J10" s="5"/>
      <c r="K10" s="5"/>
    </row>
    <row r="11" spans="1:11" ht="45.75" customHeight="1" x14ac:dyDescent="0.25">
      <c r="A11" s="5">
        <v>9</v>
      </c>
      <c r="B11" s="5" t="s">
        <v>2517</v>
      </c>
      <c r="C11" s="5" t="s">
        <v>2518</v>
      </c>
      <c r="D11" s="5" t="s">
        <v>2519</v>
      </c>
      <c r="E11" s="5" t="s">
        <v>23</v>
      </c>
      <c r="F11" s="5" t="s">
        <v>2520</v>
      </c>
      <c r="G11" s="5" t="s">
        <v>2521</v>
      </c>
      <c r="H11" s="5" t="s">
        <v>2522</v>
      </c>
      <c r="I11" s="5" t="s">
        <v>2523</v>
      </c>
      <c r="J11" s="5"/>
      <c r="K11" s="5"/>
    </row>
    <row r="12" spans="1:11" ht="45.75" customHeight="1" x14ac:dyDescent="0.25">
      <c r="A12" s="16">
        <v>10</v>
      </c>
      <c r="B12" s="16" t="s">
        <v>2524</v>
      </c>
      <c r="C12" s="16" t="s">
        <v>2518</v>
      </c>
      <c r="D12" s="16" t="s">
        <v>2525</v>
      </c>
      <c r="E12" s="16" t="s">
        <v>23</v>
      </c>
      <c r="F12" s="16" t="s">
        <v>2526</v>
      </c>
      <c r="G12" s="16" t="s">
        <v>2521</v>
      </c>
      <c r="H12" s="16" t="s">
        <v>2527</v>
      </c>
      <c r="I12" s="16" t="s">
        <v>2528</v>
      </c>
      <c r="J12" s="16" t="s">
        <v>1033</v>
      </c>
      <c r="K12" s="16"/>
    </row>
    <row r="13" spans="1:11" ht="45.75" customHeight="1" x14ac:dyDescent="0.25">
      <c r="A13" s="16">
        <v>11</v>
      </c>
      <c r="B13" s="16" t="s">
        <v>2529</v>
      </c>
      <c r="C13" s="16" t="s">
        <v>2530</v>
      </c>
      <c r="D13" s="16" t="s">
        <v>773</v>
      </c>
      <c r="E13" s="16" t="s">
        <v>2531</v>
      </c>
      <c r="F13" s="16" t="s">
        <v>2532</v>
      </c>
      <c r="G13" s="16" t="s">
        <v>2533</v>
      </c>
      <c r="H13" s="16" t="s">
        <v>2534</v>
      </c>
      <c r="I13" s="16" t="s">
        <v>2535</v>
      </c>
      <c r="J13" s="16" t="s">
        <v>779</v>
      </c>
      <c r="K13" s="16" t="s">
        <v>2536</v>
      </c>
    </row>
    <row r="14" spans="1:11" ht="45.75" customHeight="1" x14ac:dyDescent="0.25">
      <c r="A14" s="16">
        <v>12</v>
      </c>
      <c r="B14" s="16" t="s">
        <v>2537</v>
      </c>
      <c r="C14" s="16" t="s">
        <v>2538</v>
      </c>
      <c r="D14" s="16" t="s">
        <v>2539</v>
      </c>
      <c r="E14" s="16" t="s">
        <v>2483</v>
      </c>
      <c r="F14" s="16" t="s">
        <v>2540</v>
      </c>
      <c r="G14" s="16" t="s">
        <v>2541</v>
      </c>
      <c r="H14" s="16" t="s">
        <v>2542</v>
      </c>
      <c r="I14" s="16" t="s">
        <v>2543</v>
      </c>
      <c r="J14" s="16" t="s">
        <v>2544</v>
      </c>
      <c r="K14" s="16" t="s">
        <v>2545</v>
      </c>
    </row>
    <row r="15" spans="1:11" ht="45.75" customHeight="1" x14ac:dyDescent="0.25">
      <c r="A15" s="16">
        <v>13</v>
      </c>
      <c r="B15" s="16" t="s">
        <v>2546</v>
      </c>
      <c r="C15" s="16" t="s">
        <v>2547</v>
      </c>
      <c r="D15" s="16" t="s">
        <v>2548</v>
      </c>
      <c r="E15" s="16" t="s">
        <v>23</v>
      </c>
      <c r="F15" s="16" t="s">
        <v>2549</v>
      </c>
      <c r="G15" s="16" t="s">
        <v>2550</v>
      </c>
      <c r="H15" s="16" t="s">
        <v>2551</v>
      </c>
      <c r="I15" s="16" t="s">
        <v>2552</v>
      </c>
      <c r="J15" s="16" t="s">
        <v>1473</v>
      </c>
      <c r="K15" s="16" t="s">
        <v>2553</v>
      </c>
    </row>
    <row r="16" spans="1:11" ht="45.75" customHeight="1" x14ac:dyDescent="0.25">
      <c r="A16" s="5">
        <v>14</v>
      </c>
      <c r="B16" s="5" t="s">
        <v>2554</v>
      </c>
      <c r="C16" s="5" t="s">
        <v>2547</v>
      </c>
      <c r="D16" s="5" t="s">
        <v>2555</v>
      </c>
      <c r="E16" s="5" t="s">
        <v>32</v>
      </c>
      <c r="F16" s="5" t="s">
        <v>2556</v>
      </c>
      <c r="G16" s="5" t="s">
        <v>2557</v>
      </c>
      <c r="H16" s="5" t="s">
        <v>2558</v>
      </c>
      <c r="I16" s="5" t="s">
        <v>2559</v>
      </c>
      <c r="J16" s="5"/>
      <c r="K16" s="5"/>
    </row>
    <row r="17" spans="1:11" ht="45.75" customHeight="1" x14ac:dyDescent="0.25">
      <c r="A17" s="16">
        <v>15</v>
      </c>
      <c r="B17" s="16" t="s">
        <v>2560</v>
      </c>
      <c r="C17" s="16" t="s">
        <v>2561</v>
      </c>
      <c r="D17" s="16" t="s">
        <v>2562</v>
      </c>
      <c r="E17" s="16" t="s">
        <v>23</v>
      </c>
      <c r="F17" s="16" t="s">
        <v>2563</v>
      </c>
      <c r="G17" s="16" t="s">
        <v>2564</v>
      </c>
      <c r="H17" s="16" t="s">
        <v>2565</v>
      </c>
      <c r="I17" s="16" t="s">
        <v>2566</v>
      </c>
      <c r="J17" s="16" t="s">
        <v>2567</v>
      </c>
      <c r="K17" s="16" t="s">
        <v>2568</v>
      </c>
    </row>
    <row r="18" spans="1:11" ht="45.75" customHeight="1" x14ac:dyDescent="0.25">
      <c r="A18" s="5">
        <v>16</v>
      </c>
      <c r="B18" s="5" t="s">
        <v>2569</v>
      </c>
      <c r="C18" s="5" t="s">
        <v>2570</v>
      </c>
      <c r="D18" s="5" t="s">
        <v>1453</v>
      </c>
      <c r="E18" s="5" t="s">
        <v>23</v>
      </c>
      <c r="F18" s="5" t="s">
        <v>2571</v>
      </c>
      <c r="G18" s="5" t="s">
        <v>2572</v>
      </c>
      <c r="H18" s="5" t="s">
        <v>2573</v>
      </c>
      <c r="I18" s="5" t="s">
        <v>2574</v>
      </c>
      <c r="J18" s="5"/>
      <c r="K18" s="5"/>
    </row>
    <row r="19" spans="1:11" ht="45.75" customHeight="1" x14ac:dyDescent="0.25">
      <c r="A19" s="16">
        <v>17</v>
      </c>
      <c r="B19" s="16" t="s">
        <v>2575</v>
      </c>
      <c r="C19" s="16" t="s">
        <v>2576</v>
      </c>
      <c r="D19" s="16" t="s">
        <v>2577</v>
      </c>
      <c r="E19" s="16" t="s">
        <v>23</v>
      </c>
      <c r="F19" s="16" t="s">
        <v>2578</v>
      </c>
      <c r="G19" s="16" t="s">
        <v>2579</v>
      </c>
      <c r="H19" s="16" t="s">
        <v>2580</v>
      </c>
      <c r="I19" s="16" t="s">
        <v>2581</v>
      </c>
      <c r="J19" s="16" t="s">
        <v>1563</v>
      </c>
      <c r="K19" s="16"/>
    </row>
    <row r="20" spans="1:11" ht="45.75" customHeight="1" x14ac:dyDescent="0.25">
      <c r="A20" s="16">
        <v>18</v>
      </c>
      <c r="B20" s="16" t="s">
        <v>2582</v>
      </c>
      <c r="C20" s="16" t="s">
        <v>2583</v>
      </c>
      <c r="D20" s="16" t="s">
        <v>2584</v>
      </c>
      <c r="E20" s="16" t="s">
        <v>23</v>
      </c>
      <c r="F20" s="16" t="s">
        <v>2585</v>
      </c>
      <c r="G20" s="16" t="s">
        <v>2586</v>
      </c>
      <c r="H20" s="16" t="s">
        <v>2587</v>
      </c>
      <c r="I20" s="16" t="s">
        <v>2588</v>
      </c>
      <c r="J20" s="16" t="s">
        <v>1293</v>
      </c>
      <c r="K20" s="16" t="s">
        <v>2589</v>
      </c>
    </row>
    <row r="21" spans="1:11" ht="45.75" customHeight="1" x14ac:dyDescent="0.25">
      <c r="A21" s="16">
        <v>19</v>
      </c>
      <c r="B21" s="16" t="s">
        <v>2590</v>
      </c>
      <c r="C21" s="16" t="s">
        <v>2591</v>
      </c>
      <c r="D21" s="16" t="s">
        <v>2592</v>
      </c>
      <c r="E21" s="16" t="s">
        <v>23</v>
      </c>
      <c r="F21" s="16" t="s">
        <v>2593</v>
      </c>
      <c r="G21" s="16" t="s">
        <v>2594</v>
      </c>
      <c r="H21" s="16" t="s">
        <v>2595</v>
      </c>
      <c r="I21" s="16" t="s">
        <v>2596</v>
      </c>
      <c r="J21" s="16" t="s">
        <v>1202</v>
      </c>
      <c r="K21" s="16" t="s">
        <v>2597</v>
      </c>
    </row>
    <row r="22" spans="1:11" ht="45.75" customHeight="1" x14ac:dyDescent="0.25">
      <c r="A22" s="16">
        <v>20</v>
      </c>
      <c r="B22" s="16" t="s">
        <v>2598</v>
      </c>
      <c r="C22" s="16" t="s">
        <v>2591</v>
      </c>
      <c r="D22" s="16" t="s">
        <v>2525</v>
      </c>
      <c r="E22" s="16" t="s">
        <v>2599</v>
      </c>
      <c r="F22" s="16" t="s">
        <v>2600</v>
      </c>
      <c r="G22" s="16" t="s">
        <v>2601</v>
      </c>
      <c r="H22" s="16" t="s">
        <v>2602</v>
      </c>
      <c r="I22" s="16" t="s">
        <v>2603</v>
      </c>
      <c r="J22" s="16" t="s">
        <v>1033</v>
      </c>
      <c r="K22" s="16"/>
    </row>
    <row r="23" spans="1:11" ht="45.75" customHeight="1" x14ac:dyDescent="0.25">
      <c r="A23" s="16">
        <v>21</v>
      </c>
      <c r="B23" s="16" t="s">
        <v>2604</v>
      </c>
      <c r="C23" s="16" t="s">
        <v>2605</v>
      </c>
      <c r="D23" s="16" t="s">
        <v>2606</v>
      </c>
      <c r="E23" s="16" t="s">
        <v>2531</v>
      </c>
      <c r="F23" s="16" t="s">
        <v>2607</v>
      </c>
      <c r="G23" s="16" t="s">
        <v>2608</v>
      </c>
      <c r="H23" s="16" t="s">
        <v>2609</v>
      </c>
      <c r="I23" s="16" t="s">
        <v>2610</v>
      </c>
      <c r="J23" s="16" t="s">
        <v>591</v>
      </c>
      <c r="K23" s="16" t="s">
        <v>2611</v>
      </c>
    </row>
    <row r="24" spans="1:11" ht="75" customHeight="1" x14ac:dyDescent="0.25">
      <c r="A24" s="16">
        <v>22</v>
      </c>
      <c r="B24" s="16" t="s">
        <v>2612</v>
      </c>
      <c r="C24" s="16" t="s">
        <v>2530</v>
      </c>
      <c r="D24" s="16" t="s">
        <v>2613</v>
      </c>
      <c r="E24" s="16" t="s">
        <v>23</v>
      </c>
      <c r="F24" s="16" t="s">
        <v>2614</v>
      </c>
      <c r="G24" s="16" t="s">
        <v>2615</v>
      </c>
      <c r="H24" s="16" t="s">
        <v>2616</v>
      </c>
      <c r="I24" s="16" t="s">
        <v>2617</v>
      </c>
      <c r="J24" s="16" t="s">
        <v>779</v>
      </c>
      <c r="K24" s="16" t="s">
        <v>2618</v>
      </c>
    </row>
    <row r="25" spans="1:11" ht="135" customHeight="1" x14ac:dyDescent="0.25">
      <c r="A25" s="16">
        <v>23</v>
      </c>
      <c r="B25" s="16" t="s">
        <v>2619</v>
      </c>
      <c r="C25" s="16" t="s">
        <v>2620</v>
      </c>
      <c r="D25" s="16" t="s">
        <v>2621</v>
      </c>
      <c r="E25" s="16" t="s">
        <v>23</v>
      </c>
      <c r="F25" s="16" t="s">
        <v>2622</v>
      </c>
      <c r="G25" s="16" t="s">
        <v>2623</v>
      </c>
      <c r="H25" s="16" t="s">
        <v>2624</v>
      </c>
      <c r="I25" s="16" t="s">
        <v>2625</v>
      </c>
      <c r="J25" s="16" t="s">
        <v>2626</v>
      </c>
      <c r="K25" s="16" t="s">
        <v>2627</v>
      </c>
    </row>
  </sheetData>
  <mergeCells count="1">
    <mergeCell ref="A1:J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5"/>
  <sheetViews>
    <sheetView showGridLines="0" zoomScaleNormal="100" workbookViewId="0">
      <pane ySplit="2" topLeftCell="A3" activePane="bottomLeft" state="frozen"/>
      <selection pane="bottomLeft"/>
    </sheetView>
  </sheetViews>
  <sheetFormatPr defaultColWidth="8.7109375" defaultRowHeight="15" x14ac:dyDescent="0.25"/>
  <cols>
    <col min="1" max="1" width="22" customWidth="1"/>
    <col min="2" max="2" width="18" customWidth="1"/>
    <col min="3" max="3" width="34" customWidth="1"/>
    <col min="4" max="4" width="20" customWidth="1"/>
    <col min="5" max="5" width="12" customWidth="1"/>
    <col min="6" max="6" width="38" customWidth="1"/>
    <col min="7" max="7" width="30" customWidth="1"/>
    <col min="8" max="8" width="48" customWidth="1"/>
    <col min="9" max="9" width="26" customWidth="1"/>
    <col min="10" max="10" width="48" customWidth="1"/>
    <col min="11" max="11" width="10" customWidth="1"/>
    <col min="12" max="12" width="14" customWidth="1"/>
    <col min="13" max="13" width="12" customWidth="1"/>
    <col min="14" max="14" width="10" customWidth="1"/>
    <col min="15" max="16" width="12" customWidth="1"/>
    <col min="17" max="17" width="40" customWidth="1"/>
    <col min="18" max="18" width="50" customWidth="1"/>
  </cols>
  <sheetData>
    <row r="1" spans="1:18" ht="17.25" customHeight="1" x14ac:dyDescent="0.25">
      <c r="A1" s="20" t="s">
        <v>2628</v>
      </c>
      <c r="B1" s="21"/>
      <c r="C1" s="21"/>
      <c r="D1" s="21"/>
      <c r="E1" s="21"/>
      <c r="F1" s="21"/>
      <c r="G1" s="21"/>
      <c r="H1" s="21"/>
      <c r="I1" s="21"/>
      <c r="J1" s="21"/>
      <c r="K1" s="21"/>
      <c r="L1" s="21"/>
      <c r="M1" s="21"/>
      <c r="N1" s="21"/>
      <c r="O1" s="21"/>
      <c r="P1" s="21"/>
      <c r="Q1" s="21"/>
      <c r="R1" s="21"/>
    </row>
    <row r="2" spans="1:18" ht="27.75" customHeight="1" x14ac:dyDescent="0.25">
      <c r="A2" s="4" t="s">
        <v>1</v>
      </c>
      <c r="B2" s="4" t="s">
        <v>2</v>
      </c>
      <c r="C2" s="4" t="s">
        <v>2455</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row>
    <row r="3" spans="1:18" ht="69.75" customHeight="1" x14ac:dyDescent="0.25">
      <c r="A3" s="16" t="s">
        <v>2629</v>
      </c>
      <c r="B3" s="16" t="s">
        <v>2459</v>
      </c>
      <c r="C3" s="16" t="s">
        <v>2460</v>
      </c>
      <c r="D3" s="16" t="s">
        <v>2630</v>
      </c>
      <c r="E3" s="16" t="s">
        <v>23</v>
      </c>
      <c r="F3" s="16" t="s">
        <v>2631</v>
      </c>
      <c r="G3" s="16" t="s">
        <v>2632</v>
      </c>
      <c r="H3" s="16" t="s">
        <v>2633</v>
      </c>
      <c r="I3" s="16" t="s">
        <v>2634</v>
      </c>
      <c r="J3" s="16" t="s">
        <v>2635</v>
      </c>
      <c r="K3" s="16" t="s">
        <v>29</v>
      </c>
      <c r="L3" s="6"/>
      <c r="M3" s="6" t="s">
        <v>30</v>
      </c>
      <c r="N3" s="6"/>
      <c r="O3" s="6"/>
      <c r="P3" s="16" t="s">
        <v>616</v>
      </c>
      <c r="Q3" s="16"/>
      <c r="R3" s="5"/>
    </row>
    <row r="4" spans="1:18" ht="69.75" customHeight="1" x14ac:dyDescent="0.25">
      <c r="A4" s="16" t="s">
        <v>2636</v>
      </c>
      <c r="B4" s="16" t="s">
        <v>2467</v>
      </c>
      <c r="C4" s="16" t="s">
        <v>2460</v>
      </c>
      <c r="D4" s="16" t="s">
        <v>2637</v>
      </c>
      <c r="E4" s="16" t="s">
        <v>32</v>
      </c>
      <c r="F4" s="16" t="s">
        <v>2638</v>
      </c>
      <c r="G4" s="16" t="s">
        <v>2639</v>
      </c>
      <c r="H4" s="16" t="s">
        <v>2640</v>
      </c>
      <c r="I4" s="16" t="s">
        <v>2641</v>
      </c>
      <c r="J4" s="16" t="s">
        <v>2642</v>
      </c>
      <c r="K4" s="16" t="s">
        <v>38</v>
      </c>
      <c r="L4" s="6"/>
      <c r="M4" s="6" t="s">
        <v>30</v>
      </c>
      <c r="N4" s="6"/>
      <c r="O4" s="6"/>
      <c r="P4" s="16" t="s">
        <v>591</v>
      </c>
      <c r="Q4" s="16" t="s">
        <v>2643</v>
      </c>
      <c r="R4" s="7" t="s">
        <v>2644</v>
      </c>
    </row>
    <row r="5" spans="1:18" ht="69.75" customHeight="1" x14ac:dyDescent="0.25">
      <c r="A5" s="5" t="s">
        <v>2645</v>
      </c>
      <c r="B5" s="5" t="s">
        <v>2474</v>
      </c>
      <c r="C5" s="5" t="s">
        <v>2475</v>
      </c>
      <c r="D5" s="5" t="s">
        <v>2476</v>
      </c>
      <c r="E5" s="5" t="s">
        <v>23</v>
      </c>
      <c r="F5" s="5" t="s">
        <v>2646</v>
      </c>
      <c r="G5" s="5" t="s">
        <v>2647</v>
      </c>
      <c r="H5" s="5" t="s">
        <v>2648</v>
      </c>
      <c r="I5" s="5" t="s">
        <v>2649</v>
      </c>
      <c r="J5" s="5" t="s">
        <v>2650</v>
      </c>
      <c r="K5" s="5" t="s">
        <v>38</v>
      </c>
      <c r="L5" s="6"/>
      <c r="M5" s="6" t="s">
        <v>30</v>
      </c>
      <c r="N5" s="6"/>
      <c r="O5" s="6"/>
      <c r="P5" s="5"/>
      <c r="Q5" s="5"/>
      <c r="R5" s="5"/>
    </row>
    <row r="6" spans="1:18" ht="69.75" customHeight="1" x14ac:dyDescent="0.25">
      <c r="A6" s="5" t="s">
        <v>2651</v>
      </c>
      <c r="B6" s="5" t="s">
        <v>2481</v>
      </c>
      <c r="C6" s="5" t="s">
        <v>2475</v>
      </c>
      <c r="D6" s="5" t="s">
        <v>2482</v>
      </c>
      <c r="E6" s="5" t="s">
        <v>2483</v>
      </c>
      <c r="F6" s="5" t="s">
        <v>2652</v>
      </c>
      <c r="G6" s="5" t="s">
        <v>2653</v>
      </c>
      <c r="H6" s="5" t="s">
        <v>2654</v>
      </c>
      <c r="I6" s="5" t="s">
        <v>2655</v>
      </c>
      <c r="J6" s="5" t="s">
        <v>2656</v>
      </c>
      <c r="K6" s="5" t="s">
        <v>29</v>
      </c>
      <c r="L6" s="6"/>
      <c r="M6" s="6" t="s">
        <v>30</v>
      </c>
      <c r="N6" s="6"/>
      <c r="O6" s="6"/>
      <c r="P6" s="5"/>
      <c r="Q6" s="5"/>
      <c r="R6" s="5"/>
    </row>
    <row r="7" spans="1:18" ht="69.75" customHeight="1" x14ac:dyDescent="0.25">
      <c r="A7" s="16" t="s">
        <v>2657</v>
      </c>
      <c r="B7" s="16" t="s">
        <v>2489</v>
      </c>
      <c r="C7" s="16" t="s">
        <v>2490</v>
      </c>
      <c r="D7" s="16" t="s">
        <v>1118</v>
      </c>
      <c r="E7" s="16" t="s">
        <v>23</v>
      </c>
      <c r="F7" s="16" t="s">
        <v>2658</v>
      </c>
      <c r="G7" s="16" t="s">
        <v>2659</v>
      </c>
      <c r="H7" s="16" t="s">
        <v>2660</v>
      </c>
      <c r="I7" s="16" t="s">
        <v>2661</v>
      </c>
      <c r="J7" s="16" t="s">
        <v>2662</v>
      </c>
      <c r="K7" s="16" t="s">
        <v>38</v>
      </c>
      <c r="L7" s="6"/>
      <c r="M7" s="6" t="s">
        <v>30</v>
      </c>
      <c r="N7" s="6"/>
      <c r="O7" s="6"/>
      <c r="P7" s="16" t="s">
        <v>2496</v>
      </c>
      <c r="Q7" s="16"/>
      <c r="R7" s="5"/>
    </row>
    <row r="8" spans="1:18" ht="69.75" customHeight="1" x14ac:dyDescent="0.25">
      <c r="A8" s="5" t="s">
        <v>2663</v>
      </c>
      <c r="B8" s="5" t="s">
        <v>2498</v>
      </c>
      <c r="C8" s="5" t="s">
        <v>2490</v>
      </c>
      <c r="D8" s="5" t="s">
        <v>2499</v>
      </c>
      <c r="E8" s="5" t="s">
        <v>23</v>
      </c>
      <c r="F8" s="5" t="s">
        <v>2664</v>
      </c>
      <c r="G8" s="5" t="s">
        <v>2665</v>
      </c>
      <c r="H8" s="5" t="s">
        <v>2666</v>
      </c>
      <c r="I8" s="5" t="s">
        <v>2667</v>
      </c>
      <c r="J8" s="5" t="s">
        <v>2668</v>
      </c>
      <c r="K8" s="5" t="s">
        <v>38</v>
      </c>
      <c r="L8" s="6"/>
      <c r="M8" s="6" t="s">
        <v>30</v>
      </c>
      <c r="N8" s="6"/>
      <c r="O8" s="6"/>
      <c r="P8" s="5"/>
      <c r="Q8" s="5"/>
      <c r="R8" s="5"/>
    </row>
    <row r="9" spans="1:18" ht="69.75" customHeight="1" x14ac:dyDescent="0.25">
      <c r="A9" s="5" t="s">
        <v>2669</v>
      </c>
      <c r="B9" s="5" t="s">
        <v>2504</v>
      </c>
      <c r="C9" s="5" t="s">
        <v>2505</v>
      </c>
      <c r="D9" s="5" t="s">
        <v>2506</v>
      </c>
      <c r="E9" s="5" t="s">
        <v>23</v>
      </c>
      <c r="F9" s="5" t="s">
        <v>2670</v>
      </c>
      <c r="G9" s="5" t="s">
        <v>2671</v>
      </c>
      <c r="H9" s="5" t="s">
        <v>2672</v>
      </c>
      <c r="I9" s="5" t="s">
        <v>2673</v>
      </c>
      <c r="J9" s="5" t="s">
        <v>2674</v>
      </c>
      <c r="K9" s="5" t="s">
        <v>29</v>
      </c>
      <c r="L9" s="6"/>
      <c r="M9" s="6" t="s">
        <v>30</v>
      </c>
      <c r="N9" s="6"/>
      <c r="O9" s="6"/>
      <c r="P9" s="5"/>
      <c r="Q9" s="5"/>
      <c r="R9" s="7" t="s">
        <v>2675</v>
      </c>
    </row>
    <row r="10" spans="1:18" ht="69.75" customHeight="1" x14ac:dyDescent="0.25">
      <c r="A10" s="5" t="s">
        <v>2676</v>
      </c>
      <c r="B10" s="5" t="s">
        <v>2511</v>
      </c>
      <c r="C10" s="5" t="s">
        <v>2505</v>
      </c>
      <c r="D10" s="5" t="s">
        <v>2512</v>
      </c>
      <c r="E10" s="5" t="s">
        <v>59</v>
      </c>
      <c r="F10" s="5" t="s">
        <v>2677</v>
      </c>
      <c r="G10" s="5" t="s">
        <v>2678</v>
      </c>
      <c r="H10" s="5" t="s">
        <v>2679</v>
      </c>
      <c r="I10" s="5" t="s">
        <v>2680</v>
      </c>
      <c r="J10" s="5" t="s">
        <v>2681</v>
      </c>
      <c r="K10" s="5" t="s">
        <v>29</v>
      </c>
      <c r="L10" s="6"/>
      <c r="M10" s="6" t="s">
        <v>30</v>
      </c>
      <c r="N10" s="6"/>
      <c r="O10" s="6"/>
      <c r="P10" s="5"/>
      <c r="Q10" s="5"/>
      <c r="R10" s="5"/>
    </row>
    <row r="11" spans="1:18" ht="69.75" customHeight="1" x14ac:dyDescent="0.25">
      <c r="A11" s="5" t="s">
        <v>2682</v>
      </c>
      <c r="B11" s="5" t="s">
        <v>2517</v>
      </c>
      <c r="C11" s="5" t="s">
        <v>2518</v>
      </c>
      <c r="D11" s="5" t="s">
        <v>2683</v>
      </c>
      <c r="E11" s="5" t="s">
        <v>23</v>
      </c>
      <c r="F11" s="5" t="s">
        <v>2684</v>
      </c>
      <c r="G11" s="5" t="s">
        <v>2685</v>
      </c>
      <c r="H11" s="5" t="s">
        <v>2686</v>
      </c>
      <c r="I11" s="5" t="s">
        <v>2687</v>
      </c>
      <c r="J11" s="5" t="s">
        <v>2688</v>
      </c>
      <c r="K11" s="5" t="s">
        <v>29</v>
      </c>
      <c r="L11" s="6"/>
      <c r="M11" s="6" t="s">
        <v>30</v>
      </c>
      <c r="N11" s="6"/>
      <c r="O11" s="6"/>
      <c r="P11" s="5"/>
      <c r="Q11" s="5"/>
      <c r="R11" s="5"/>
    </row>
    <row r="12" spans="1:18" ht="69.75" customHeight="1" x14ac:dyDescent="0.25">
      <c r="A12" s="16" t="s">
        <v>2689</v>
      </c>
      <c r="B12" s="16" t="s">
        <v>2524</v>
      </c>
      <c r="C12" s="16" t="s">
        <v>2518</v>
      </c>
      <c r="D12" s="16" t="s">
        <v>2525</v>
      </c>
      <c r="E12" s="16" t="s">
        <v>23</v>
      </c>
      <c r="F12" s="16" t="s">
        <v>2690</v>
      </c>
      <c r="G12" s="16" t="s">
        <v>2691</v>
      </c>
      <c r="H12" s="16" t="s">
        <v>2692</v>
      </c>
      <c r="I12" s="16" t="s">
        <v>2693</v>
      </c>
      <c r="J12" s="16" t="s">
        <v>2694</v>
      </c>
      <c r="K12" s="16" t="s">
        <v>29</v>
      </c>
      <c r="L12" s="6"/>
      <c r="M12" s="6" t="s">
        <v>30</v>
      </c>
      <c r="N12" s="6"/>
      <c r="O12" s="6"/>
      <c r="P12" s="16" t="s">
        <v>1033</v>
      </c>
      <c r="Q12" s="16"/>
      <c r="R12" s="5"/>
    </row>
    <row r="13" spans="1:18" ht="69.75" customHeight="1" x14ac:dyDescent="0.25">
      <c r="A13" s="16" t="s">
        <v>2695</v>
      </c>
      <c r="B13" s="16" t="s">
        <v>2529</v>
      </c>
      <c r="C13" s="16" t="s">
        <v>2530</v>
      </c>
      <c r="D13" s="16" t="s">
        <v>2696</v>
      </c>
      <c r="E13" s="16" t="s">
        <v>2531</v>
      </c>
      <c r="F13" s="16" t="s">
        <v>2697</v>
      </c>
      <c r="G13" s="16" t="s">
        <v>2698</v>
      </c>
      <c r="H13" s="16" t="s">
        <v>2699</v>
      </c>
      <c r="I13" s="16" t="s">
        <v>2700</v>
      </c>
      <c r="J13" s="16" t="s">
        <v>2701</v>
      </c>
      <c r="K13" s="16" t="s">
        <v>29</v>
      </c>
      <c r="L13" s="6"/>
      <c r="M13" s="6" t="s">
        <v>30</v>
      </c>
      <c r="N13" s="6"/>
      <c r="O13" s="6"/>
      <c r="P13" s="16" t="s">
        <v>779</v>
      </c>
      <c r="Q13" s="16" t="s">
        <v>2702</v>
      </c>
      <c r="R13" s="5"/>
    </row>
    <row r="14" spans="1:18" ht="69.75" customHeight="1" x14ac:dyDescent="0.25">
      <c r="A14" s="16" t="s">
        <v>2703</v>
      </c>
      <c r="B14" s="16" t="s">
        <v>2537</v>
      </c>
      <c r="C14" s="16" t="s">
        <v>2538</v>
      </c>
      <c r="D14" s="16" t="s">
        <v>2704</v>
      </c>
      <c r="E14" s="16" t="s">
        <v>2483</v>
      </c>
      <c r="F14" s="16" t="s">
        <v>2705</v>
      </c>
      <c r="G14" s="16" t="s">
        <v>2706</v>
      </c>
      <c r="H14" s="16" t="s">
        <v>2707</v>
      </c>
      <c r="I14" s="16" t="s">
        <v>2708</v>
      </c>
      <c r="J14" s="16" t="s">
        <v>2709</v>
      </c>
      <c r="K14" s="16" t="s">
        <v>29</v>
      </c>
      <c r="L14" s="6"/>
      <c r="M14" s="6" t="s">
        <v>30</v>
      </c>
      <c r="N14" s="6"/>
      <c r="O14" s="6"/>
      <c r="P14" s="16" t="s">
        <v>2544</v>
      </c>
      <c r="Q14" s="16"/>
      <c r="R14" s="5"/>
    </row>
    <row r="15" spans="1:18" ht="69.75" customHeight="1" x14ac:dyDescent="0.25">
      <c r="A15" s="16" t="s">
        <v>2710</v>
      </c>
      <c r="B15" s="16" t="s">
        <v>2546</v>
      </c>
      <c r="C15" s="16" t="s">
        <v>2547</v>
      </c>
      <c r="D15" s="16" t="s">
        <v>2711</v>
      </c>
      <c r="E15" s="16" t="s">
        <v>23</v>
      </c>
      <c r="F15" s="16" t="s">
        <v>2712</v>
      </c>
      <c r="G15" s="16" t="s">
        <v>2713</v>
      </c>
      <c r="H15" s="16" t="s">
        <v>2714</v>
      </c>
      <c r="I15" s="16" t="s">
        <v>2715</v>
      </c>
      <c r="J15" s="16" t="s">
        <v>2716</v>
      </c>
      <c r="K15" s="16" t="s">
        <v>38</v>
      </c>
      <c r="L15" s="6"/>
      <c r="M15" s="6" t="s">
        <v>30</v>
      </c>
      <c r="N15" s="6"/>
      <c r="O15" s="6"/>
      <c r="P15" s="16" t="s">
        <v>1473</v>
      </c>
      <c r="Q15" s="16"/>
      <c r="R15" s="5"/>
    </row>
    <row r="16" spans="1:18" ht="69.75" customHeight="1" x14ac:dyDescent="0.25">
      <c r="A16" s="5" t="s">
        <v>2717</v>
      </c>
      <c r="B16" s="5" t="s">
        <v>2554</v>
      </c>
      <c r="C16" s="5" t="s">
        <v>2547</v>
      </c>
      <c r="D16" s="5" t="s">
        <v>2555</v>
      </c>
      <c r="E16" s="5" t="s">
        <v>32</v>
      </c>
      <c r="F16" s="5" t="s">
        <v>2718</v>
      </c>
      <c r="G16" s="5" t="s">
        <v>2719</v>
      </c>
      <c r="H16" s="5" t="s">
        <v>2720</v>
      </c>
      <c r="I16" s="5" t="s">
        <v>2721</v>
      </c>
      <c r="J16" s="5" t="s">
        <v>2722</v>
      </c>
      <c r="K16" s="5" t="s">
        <v>38</v>
      </c>
      <c r="L16" s="6"/>
      <c r="M16" s="6" t="s">
        <v>30</v>
      </c>
      <c r="N16" s="6"/>
      <c r="O16" s="6"/>
      <c r="P16" s="5"/>
      <c r="Q16" s="5"/>
      <c r="R16" s="5"/>
    </row>
    <row r="17" spans="1:18" ht="69.75" customHeight="1" x14ac:dyDescent="0.25">
      <c r="A17" s="16" t="s">
        <v>2723</v>
      </c>
      <c r="B17" s="16" t="s">
        <v>2560</v>
      </c>
      <c r="C17" s="16" t="s">
        <v>2561</v>
      </c>
      <c r="D17" s="16" t="s">
        <v>2724</v>
      </c>
      <c r="E17" s="16" t="s">
        <v>23</v>
      </c>
      <c r="F17" s="16" t="s">
        <v>2725</v>
      </c>
      <c r="G17" s="16" t="s">
        <v>2726</v>
      </c>
      <c r="H17" s="16" t="s">
        <v>2727</v>
      </c>
      <c r="I17" s="16" t="s">
        <v>2728</v>
      </c>
      <c r="J17" s="16" t="s">
        <v>2729</v>
      </c>
      <c r="K17" s="16" t="s">
        <v>117</v>
      </c>
      <c r="L17" s="6"/>
      <c r="M17" s="6" t="s">
        <v>30</v>
      </c>
      <c r="N17" s="6"/>
      <c r="O17" s="6"/>
      <c r="P17" s="16" t="s">
        <v>2567</v>
      </c>
      <c r="Q17" s="16" t="s">
        <v>2730</v>
      </c>
      <c r="R17" s="5"/>
    </row>
    <row r="18" spans="1:18" ht="69.75" customHeight="1" x14ac:dyDescent="0.25">
      <c r="A18" s="5" t="s">
        <v>2731</v>
      </c>
      <c r="B18" s="5" t="s">
        <v>2569</v>
      </c>
      <c r="C18" s="5" t="s">
        <v>2570</v>
      </c>
      <c r="D18" s="5" t="s">
        <v>1453</v>
      </c>
      <c r="E18" s="5" t="s">
        <v>23</v>
      </c>
      <c r="F18" s="5" t="s">
        <v>2732</v>
      </c>
      <c r="G18" s="5" t="s">
        <v>2733</v>
      </c>
      <c r="H18" s="5" t="s">
        <v>2734</v>
      </c>
      <c r="I18" s="5" t="s">
        <v>2735</v>
      </c>
      <c r="J18" s="5" t="s">
        <v>2736</v>
      </c>
      <c r="K18" s="5" t="s">
        <v>38</v>
      </c>
      <c r="L18" s="6"/>
      <c r="M18" s="6" t="s">
        <v>30</v>
      </c>
      <c r="N18" s="6"/>
      <c r="O18" s="6"/>
      <c r="P18" s="5"/>
      <c r="Q18" s="5"/>
      <c r="R18" s="5"/>
    </row>
    <row r="19" spans="1:18" ht="69.75" customHeight="1" x14ac:dyDescent="0.25">
      <c r="A19" s="16" t="s">
        <v>2737</v>
      </c>
      <c r="B19" s="16" t="s">
        <v>2575</v>
      </c>
      <c r="C19" s="16" t="s">
        <v>2576</v>
      </c>
      <c r="D19" s="16" t="s">
        <v>1549</v>
      </c>
      <c r="E19" s="16" t="s">
        <v>23</v>
      </c>
      <c r="F19" s="16" t="s">
        <v>2738</v>
      </c>
      <c r="G19" s="16" t="s">
        <v>2739</v>
      </c>
      <c r="H19" s="16" t="s">
        <v>2740</v>
      </c>
      <c r="I19" s="16" t="s">
        <v>2741</v>
      </c>
      <c r="J19" s="16" t="s">
        <v>2742</v>
      </c>
      <c r="K19" s="16" t="s">
        <v>38</v>
      </c>
      <c r="L19" s="6"/>
      <c r="M19" s="6" t="s">
        <v>30</v>
      </c>
      <c r="N19" s="6"/>
      <c r="O19" s="6"/>
      <c r="P19" s="16" t="s">
        <v>1563</v>
      </c>
      <c r="Q19" s="16"/>
      <c r="R19" s="5"/>
    </row>
    <row r="20" spans="1:18" ht="69.75" customHeight="1" x14ac:dyDescent="0.25">
      <c r="A20" s="16" t="s">
        <v>2743</v>
      </c>
      <c r="B20" s="16" t="s">
        <v>2582</v>
      </c>
      <c r="C20" s="16" t="s">
        <v>2583</v>
      </c>
      <c r="D20" s="16" t="s">
        <v>1287</v>
      </c>
      <c r="E20" s="16" t="s">
        <v>23</v>
      </c>
      <c r="F20" s="16" t="s">
        <v>2744</v>
      </c>
      <c r="G20" s="16" t="s">
        <v>2745</v>
      </c>
      <c r="H20" s="16" t="s">
        <v>2746</v>
      </c>
      <c r="I20" s="16" t="s">
        <v>2747</v>
      </c>
      <c r="J20" s="16" t="s">
        <v>2748</v>
      </c>
      <c r="K20" s="16" t="s">
        <v>38</v>
      </c>
      <c r="L20" s="6"/>
      <c r="M20" s="6" t="s">
        <v>30</v>
      </c>
      <c r="N20" s="6"/>
      <c r="O20" s="6"/>
      <c r="P20" s="16" t="s">
        <v>2749</v>
      </c>
      <c r="Q20" s="16"/>
      <c r="R20" s="5"/>
    </row>
    <row r="21" spans="1:18" ht="69.75" customHeight="1" x14ac:dyDescent="0.25">
      <c r="A21" s="16" t="s">
        <v>2750</v>
      </c>
      <c r="B21" s="16" t="s">
        <v>2590</v>
      </c>
      <c r="C21" s="16" t="s">
        <v>2591</v>
      </c>
      <c r="D21" s="16" t="s">
        <v>461</v>
      </c>
      <c r="E21" s="16" t="s">
        <v>32</v>
      </c>
      <c r="F21" s="16" t="s">
        <v>2751</v>
      </c>
      <c r="G21" s="16" t="s">
        <v>2752</v>
      </c>
      <c r="H21" s="16" t="s">
        <v>2753</v>
      </c>
      <c r="I21" s="16" t="s">
        <v>2754</v>
      </c>
      <c r="J21" s="16" t="s">
        <v>2755</v>
      </c>
      <c r="K21" s="16" t="s">
        <v>29</v>
      </c>
      <c r="L21" s="6"/>
      <c r="M21" s="6" t="s">
        <v>30</v>
      </c>
      <c r="N21" s="6"/>
      <c r="O21" s="6"/>
      <c r="P21" s="16" t="s">
        <v>1202</v>
      </c>
      <c r="Q21" s="16"/>
      <c r="R21" s="5"/>
    </row>
    <row r="22" spans="1:18" ht="69.75" customHeight="1" x14ac:dyDescent="0.25">
      <c r="A22" s="16" t="s">
        <v>2756</v>
      </c>
      <c r="B22" s="16" t="s">
        <v>2598</v>
      </c>
      <c r="C22" s="16" t="s">
        <v>2591</v>
      </c>
      <c r="D22" s="16" t="s">
        <v>1346</v>
      </c>
      <c r="E22" s="16" t="s">
        <v>2599</v>
      </c>
      <c r="F22" s="16" t="s">
        <v>2757</v>
      </c>
      <c r="G22" s="16" t="s">
        <v>2758</v>
      </c>
      <c r="H22" s="16" t="s">
        <v>2759</v>
      </c>
      <c r="I22" s="16" t="s">
        <v>2760</v>
      </c>
      <c r="J22" s="16" t="s">
        <v>2761</v>
      </c>
      <c r="K22" s="16" t="s">
        <v>38</v>
      </c>
      <c r="L22" s="6"/>
      <c r="M22" s="6" t="s">
        <v>30</v>
      </c>
      <c r="N22" s="6"/>
      <c r="O22" s="6"/>
      <c r="P22" s="16" t="s">
        <v>1033</v>
      </c>
      <c r="Q22" s="16"/>
      <c r="R22" s="5"/>
    </row>
    <row r="23" spans="1:18" ht="69.75" customHeight="1" x14ac:dyDescent="0.25">
      <c r="A23" s="16" t="s">
        <v>2762</v>
      </c>
      <c r="B23" s="16" t="s">
        <v>2604</v>
      </c>
      <c r="C23" s="16" t="s">
        <v>2605</v>
      </c>
      <c r="D23" s="16" t="s">
        <v>2763</v>
      </c>
      <c r="E23" s="16" t="s">
        <v>2531</v>
      </c>
      <c r="F23" s="16" t="s">
        <v>2764</v>
      </c>
      <c r="G23" s="16" t="s">
        <v>2765</v>
      </c>
      <c r="H23" s="16" t="s">
        <v>2766</v>
      </c>
      <c r="I23" s="16" t="s">
        <v>2767</v>
      </c>
      <c r="J23" s="16" t="s">
        <v>2768</v>
      </c>
      <c r="K23" s="16" t="s">
        <v>29</v>
      </c>
      <c r="L23" s="6"/>
      <c r="M23" s="6" t="s">
        <v>30</v>
      </c>
      <c r="N23" s="6"/>
      <c r="O23" s="6"/>
      <c r="P23" s="16" t="s">
        <v>591</v>
      </c>
      <c r="Q23" s="16"/>
      <c r="R23" s="5"/>
    </row>
    <row r="24" spans="1:18" ht="135" customHeight="1" x14ac:dyDescent="0.25">
      <c r="A24" s="16" t="s">
        <v>2769</v>
      </c>
      <c r="B24" s="16" t="s">
        <v>2612</v>
      </c>
      <c r="C24" s="16" t="s">
        <v>2530</v>
      </c>
      <c r="D24" s="16" t="s">
        <v>2613</v>
      </c>
      <c r="E24" s="16" t="s">
        <v>23</v>
      </c>
      <c r="F24" s="16" t="s">
        <v>2770</v>
      </c>
      <c r="G24" s="16" t="s">
        <v>2771</v>
      </c>
      <c r="H24" s="16" t="s">
        <v>2772</v>
      </c>
      <c r="I24" s="16" t="s">
        <v>2773</v>
      </c>
      <c r="J24" s="16" t="s">
        <v>2774</v>
      </c>
      <c r="K24" s="16" t="s">
        <v>29</v>
      </c>
      <c r="L24" s="6"/>
      <c r="M24" s="6" t="s">
        <v>30</v>
      </c>
      <c r="N24" s="6"/>
      <c r="O24" s="6"/>
      <c r="P24" s="16" t="s">
        <v>779</v>
      </c>
      <c r="Q24" s="16" t="s">
        <v>2775</v>
      </c>
      <c r="R24" s="5"/>
    </row>
    <row r="25" spans="1:18" ht="210" customHeight="1" x14ac:dyDescent="0.25">
      <c r="A25" s="16" t="s">
        <v>2776</v>
      </c>
      <c r="B25" s="16" t="s">
        <v>2619</v>
      </c>
      <c r="C25" s="16" t="s">
        <v>2620</v>
      </c>
      <c r="D25" s="16" t="s">
        <v>2621</v>
      </c>
      <c r="E25" s="16" t="s">
        <v>23</v>
      </c>
      <c r="F25" s="16" t="s">
        <v>2777</v>
      </c>
      <c r="G25" s="16" t="s">
        <v>2778</v>
      </c>
      <c r="H25" s="16" t="s">
        <v>2779</v>
      </c>
      <c r="I25" s="16" t="s">
        <v>2780</v>
      </c>
      <c r="J25" s="16" t="s">
        <v>2781</v>
      </c>
      <c r="K25" s="16" t="s">
        <v>38</v>
      </c>
      <c r="L25" s="6"/>
      <c r="M25" s="6" t="s">
        <v>30</v>
      </c>
      <c r="N25" s="6"/>
      <c r="O25" s="6"/>
      <c r="P25" s="16" t="s">
        <v>2626</v>
      </c>
      <c r="Q25" s="16" t="s">
        <v>2782</v>
      </c>
      <c r="R25" s="5"/>
    </row>
  </sheetData>
  <mergeCells count="1">
    <mergeCell ref="A1:R1"/>
  </mergeCells>
  <dataValidations count="1">
    <dataValidation type="list" allowBlank="1" sqref="M3:M23" xr:uid="{00000000-0002-0000-0400-000000000000}">
      <formula1>"Pass,Fail,Blocked,N/A,Not Run"</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6"/>
  <sheetViews>
    <sheetView showGridLines="0" zoomScaleNormal="100" workbookViewId="0">
      <pane ySplit="3" topLeftCell="A4" activePane="bottomLeft" state="frozen"/>
      <selection pane="bottomLeft"/>
    </sheetView>
  </sheetViews>
  <sheetFormatPr defaultColWidth="8.7109375" defaultRowHeight="15" x14ac:dyDescent="0.25"/>
  <cols>
    <col min="1" max="1" width="10" customWidth="1"/>
    <col min="2" max="3" width="42" customWidth="1"/>
    <col min="4" max="4" width="34" customWidth="1"/>
    <col min="5" max="5" width="26" customWidth="1"/>
    <col min="6" max="6" width="12" customWidth="1"/>
    <col min="7" max="7" width="40" customWidth="1"/>
    <col min="8" max="8" width="70" customWidth="1"/>
    <col min="9" max="9" width="40" customWidth="1"/>
    <col min="10" max="10" width="60" customWidth="1"/>
    <col min="11" max="11" width="14" customWidth="1"/>
    <col min="12" max="12" width="12" customWidth="1"/>
    <col min="13" max="13" width="10" customWidth="1"/>
    <col min="14" max="15" width="12" customWidth="1"/>
    <col min="16" max="16" width="46" customWidth="1"/>
    <col min="17" max="17" width="45" customWidth="1"/>
  </cols>
  <sheetData>
    <row r="1" spans="1:17" ht="17.25" customHeight="1" x14ac:dyDescent="0.25">
      <c r="A1" s="20" t="s">
        <v>2783</v>
      </c>
      <c r="B1" s="21"/>
      <c r="C1" s="21"/>
      <c r="D1" s="21"/>
      <c r="E1" s="21"/>
      <c r="F1" s="21"/>
      <c r="G1" s="21"/>
      <c r="H1" s="21"/>
      <c r="I1" s="21"/>
      <c r="J1" s="21"/>
      <c r="K1" s="21"/>
      <c r="L1" s="21"/>
      <c r="M1" s="21"/>
      <c r="N1" s="21"/>
      <c r="O1" s="21"/>
      <c r="P1" s="21"/>
    </row>
    <row r="2" spans="1:17" ht="43.5" customHeight="1" x14ac:dyDescent="0.25">
      <c r="A2" s="22" t="s">
        <v>2784</v>
      </c>
      <c r="B2" s="21"/>
      <c r="C2" s="21"/>
      <c r="D2" s="21"/>
      <c r="E2" s="21"/>
      <c r="F2" s="21"/>
      <c r="G2" s="21"/>
      <c r="H2" s="21"/>
      <c r="I2" s="21"/>
      <c r="J2" s="21"/>
      <c r="K2" s="21"/>
      <c r="L2" s="21"/>
      <c r="M2" s="21"/>
      <c r="N2" s="21"/>
      <c r="O2" s="21"/>
      <c r="P2" s="21"/>
    </row>
    <row r="3" spans="1:17" ht="27.75" customHeight="1" x14ac:dyDescent="0.25">
      <c r="A3" s="4" t="s">
        <v>2785</v>
      </c>
      <c r="B3" s="4" t="s">
        <v>2786</v>
      </c>
      <c r="C3" s="4" t="s">
        <v>2787</v>
      </c>
      <c r="D3" s="4" t="s">
        <v>2788</v>
      </c>
      <c r="E3" s="4" t="s">
        <v>2789</v>
      </c>
      <c r="F3" s="4" t="s">
        <v>11</v>
      </c>
      <c r="G3" s="4" t="s">
        <v>7</v>
      </c>
      <c r="H3" s="4" t="s">
        <v>2790</v>
      </c>
      <c r="I3" s="4" t="s">
        <v>9</v>
      </c>
      <c r="J3" s="4" t="s">
        <v>10</v>
      </c>
      <c r="K3" s="4" t="s">
        <v>12</v>
      </c>
      <c r="L3" s="4" t="s">
        <v>13</v>
      </c>
      <c r="M3" s="4" t="s">
        <v>14</v>
      </c>
      <c r="N3" s="4" t="s">
        <v>15</v>
      </c>
      <c r="O3" s="4" t="s">
        <v>16</v>
      </c>
      <c r="P3" s="4" t="s">
        <v>17</v>
      </c>
      <c r="Q3" s="4" t="s">
        <v>18</v>
      </c>
    </row>
    <row r="4" spans="1:17" ht="189.75" customHeight="1" x14ac:dyDescent="0.25">
      <c r="A4" s="5" t="s">
        <v>2791</v>
      </c>
      <c r="B4" s="5" t="s">
        <v>2792</v>
      </c>
      <c r="C4" s="5" t="s">
        <v>2793</v>
      </c>
      <c r="D4" s="5" t="s">
        <v>2794</v>
      </c>
      <c r="E4" s="5" t="s">
        <v>2795</v>
      </c>
      <c r="F4" s="5" t="s">
        <v>2796</v>
      </c>
      <c r="G4" s="5" t="s">
        <v>2797</v>
      </c>
      <c r="H4" s="5" t="s">
        <v>2798</v>
      </c>
      <c r="I4" s="5" t="s">
        <v>2799</v>
      </c>
      <c r="J4" s="5" t="s">
        <v>2800</v>
      </c>
      <c r="K4" s="6"/>
      <c r="L4" s="6" t="s">
        <v>30</v>
      </c>
      <c r="M4" s="6"/>
      <c r="N4" s="6"/>
      <c r="O4" s="5"/>
      <c r="P4" s="5" t="s">
        <v>2801</v>
      </c>
      <c r="Q4" s="2"/>
    </row>
    <row r="5" spans="1:17" ht="189.75" customHeight="1" x14ac:dyDescent="0.25">
      <c r="A5" s="5" t="s">
        <v>2802</v>
      </c>
      <c r="B5" s="5" t="s">
        <v>2803</v>
      </c>
      <c r="C5" s="5" t="s">
        <v>2804</v>
      </c>
      <c r="D5" s="5" t="s">
        <v>2805</v>
      </c>
      <c r="E5" s="5" t="s">
        <v>2806</v>
      </c>
      <c r="F5" s="5" t="s">
        <v>29</v>
      </c>
      <c r="G5" s="5" t="s">
        <v>2807</v>
      </c>
      <c r="H5" s="5" t="s">
        <v>2808</v>
      </c>
      <c r="I5" s="5" t="s">
        <v>2809</v>
      </c>
      <c r="J5" s="5" t="s">
        <v>2810</v>
      </c>
      <c r="K5" s="6"/>
      <c r="L5" s="6" t="s">
        <v>30</v>
      </c>
      <c r="M5" s="6"/>
      <c r="N5" s="6"/>
      <c r="O5" s="5"/>
      <c r="P5" s="5"/>
      <c r="Q5" s="2"/>
    </row>
    <row r="6" spans="1:17" ht="189.75" customHeight="1" x14ac:dyDescent="0.25">
      <c r="A6" s="5" t="s">
        <v>2811</v>
      </c>
      <c r="B6" s="5" t="s">
        <v>2812</v>
      </c>
      <c r="C6" s="5" t="s">
        <v>2813</v>
      </c>
      <c r="D6" s="5" t="s">
        <v>2814</v>
      </c>
      <c r="E6" s="5" t="s">
        <v>2815</v>
      </c>
      <c r="F6" s="5" t="s">
        <v>29</v>
      </c>
      <c r="G6" s="5" t="s">
        <v>2816</v>
      </c>
      <c r="H6" s="5" t="s">
        <v>2817</v>
      </c>
      <c r="I6" s="5" t="s">
        <v>2818</v>
      </c>
      <c r="J6" s="5" t="s">
        <v>2819</v>
      </c>
      <c r="K6" s="6"/>
      <c r="L6" s="6" t="s">
        <v>30</v>
      </c>
      <c r="M6" s="6"/>
      <c r="N6" s="6"/>
      <c r="O6" s="5" t="s">
        <v>1033</v>
      </c>
      <c r="P6" s="5" t="s">
        <v>2820</v>
      </c>
      <c r="Q6" s="2"/>
    </row>
    <row r="7" spans="1:17" ht="189.75" customHeight="1" x14ac:dyDescent="0.25">
      <c r="A7" s="5" t="s">
        <v>2821</v>
      </c>
      <c r="B7" s="5" t="s">
        <v>2822</v>
      </c>
      <c r="C7" s="5" t="s">
        <v>2823</v>
      </c>
      <c r="D7" s="5" t="s">
        <v>2824</v>
      </c>
      <c r="E7" s="5" t="s">
        <v>2825</v>
      </c>
      <c r="F7" s="5" t="s">
        <v>29</v>
      </c>
      <c r="G7" s="5" t="s">
        <v>2826</v>
      </c>
      <c r="H7" s="5" t="s">
        <v>2827</v>
      </c>
      <c r="I7" s="5" t="s">
        <v>2828</v>
      </c>
      <c r="J7" s="5" t="s">
        <v>2829</v>
      </c>
      <c r="K7" s="6"/>
      <c r="L7" s="6" t="s">
        <v>30</v>
      </c>
      <c r="M7" s="6"/>
      <c r="N7" s="6"/>
      <c r="O7" s="5" t="s">
        <v>2830</v>
      </c>
      <c r="P7" s="5"/>
      <c r="Q7" s="2" t="s">
        <v>2831</v>
      </c>
    </row>
    <row r="8" spans="1:17" ht="189.75" customHeight="1" x14ac:dyDescent="0.25">
      <c r="A8" s="5" t="s">
        <v>2832</v>
      </c>
      <c r="B8" s="5" t="s">
        <v>2833</v>
      </c>
      <c r="C8" s="5" t="s">
        <v>2834</v>
      </c>
      <c r="D8" s="5" t="s">
        <v>2835</v>
      </c>
      <c r="E8" s="5" t="s">
        <v>2836</v>
      </c>
      <c r="F8" s="5" t="s">
        <v>29</v>
      </c>
      <c r="G8" s="5" t="s">
        <v>2837</v>
      </c>
      <c r="H8" s="5" t="s">
        <v>2838</v>
      </c>
      <c r="I8" s="5" t="s">
        <v>2839</v>
      </c>
      <c r="J8" s="5" t="s">
        <v>2840</v>
      </c>
      <c r="K8" s="6"/>
      <c r="L8" s="6" t="s">
        <v>30</v>
      </c>
      <c r="M8" s="6"/>
      <c r="N8" s="6"/>
      <c r="O8" s="5" t="s">
        <v>1473</v>
      </c>
      <c r="P8" s="5" t="s">
        <v>2841</v>
      </c>
      <c r="Q8" s="2"/>
    </row>
    <row r="9" spans="1:17" ht="189.75" customHeight="1" x14ac:dyDescent="0.25">
      <c r="A9" s="5" t="s">
        <v>2842</v>
      </c>
      <c r="B9" s="5" t="s">
        <v>2843</v>
      </c>
      <c r="C9" s="5" t="s">
        <v>2844</v>
      </c>
      <c r="D9" s="5" t="s">
        <v>2845</v>
      </c>
      <c r="E9" s="5" t="s">
        <v>2846</v>
      </c>
      <c r="F9" s="5" t="s">
        <v>38</v>
      </c>
      <c r="G9" s="5" t="s">
        <v>2847</v>
      </c>
      <c r="H9" s="5" t="s">
        <v>2848</v>
      </c>
      <c r="I9" s="5" t="s">
        <v>2849</v>
      </c>
      <c r="J9" s="5" t="s">
        <v>2850</v>
      </c>
      <c r="K9" s="6"/>
      <c r="L9" s="6" t="s">
        <v>30</v>
      </c>
      <c r="M9" s="6"/>
      <c r="N9" s="6"/>
      <c r="O9" s="5"/>
      <c r="P9" s="5"/>
      <c r="Q9" s="2"/>
    </row>
    <row r="10" spans="1:17" ht="189.75" customHeight="1" x14ac:dyDescent="0.25">
      <c r="A10" s="5" t="s">
        <v>2851</v>
      </c>
      <c r="B10" s="5" t="s">
        <v>2852</v>
      </c>
      <c r="C10" s="5" t="s">
        <v>2853</v>
      </c>
      <c r="D10" s="5" t="s">
        <v>2854</v>
      </c>
      <c r="E10" s="5" t="s">
        <v>2855</v>
      </c>
      <c r="F10" s="5" t="s">
        <v>38</v>
      </c>
      <c r="G10" s="5" t="s">
        <v>2856</v>
      </c>
      <c r="H10" s="5" t="s">
        <v>2857</v>
      </c>
      <c r="I10" s="5" t="s">
        <v>2858</v>
      </c>
      <c r="J10" s="5" t="s">
        <v>2859</v>
      </c>
      <c r="K10" s="6"/>
      <c r="L10" s="6" t="s">
        <v>30</v>
      </c>
      <c r="M10" s="6"/>
      <c r="N10" s="6"/>
      <c r="O10" s="5"/>
      <c r="P10" s="5"/>
      <c r="Q10" s="2"/>
    </row>
    <row r="11" spans="1:17" ht="189.75" customHeight="1" x14ac:dyDescent="0.25">
      <c r="A11" s="5" t="s">
        <v>2860</v>
      </c>
      <c r="B11" s="5" t="s">
        <v>2861</v>
      </c>
      <c r="C11" s="5" t="s">
        <v>2862</v>
      </c>
      <c r="D11" s="5" t="s">
        <v>2863</v>
      </c>
      <c r="E11" s="5" t="s">
        <v>2864</v>
      </c>
      <c r="F11" s="5" t="s">
        <v>38</v>
      </c>
      <c r="G11" s="5" t="s">
        <v>2865</v>
      </c>
      <c r="H11" s="5" t="s">
        <v>2866</v>
      </c>
      <c r="I11" s="5" t="s">
        <v>2867</v>
      </c>
      <c r="J11" s="5" t="s">
        <v>2868</v>
      </c>
      <c r="K11" s="6"/>
      <c r="L11" s="6" t="s">
        <v>30</v>
      </c>
      <c r="M11" s="6"/>
      <c r="N11" s="6"/>
      <c r="O11" s="5"/>
      <c r="P11" s="5"/>
      <c r="Q11" s="2"/>
    </row>
    <row r="12" spans="1:17" ht="189.75" customHeight="1" x14ac:dyDescent="0.25">
      <c r="A12" s="5" t="s">
        <v>2869</v>
      </c>
      <c r="B12" s="5" t="s">
        <v>2870</v>
      </c>
      <c r="C12" s="5" t="s">
        <v>2871</v>
      </c>
      <c r="D12" s="5" t="s">
        <v>2872</v>
      </c>
      <c r="E12" s="5" t="s">
        <v>2873</v>
      </c>
      <c r="F12" s="5" t="s">
        <v>38</v>
      </c>
      <c r="G12" s="5" t="s">
        <v>2874</v>
      </c>
      <c r="H12" s="5" t="s">
        <v>2875</v>
      </c>
      <c r="I12" s="5" t="s">
        <v>2876</v>
      </c>
      <c r="J12" s="5" t="s">
        <v>2877</v>
      </c>
      <c r="K12" s="6"/>
      <c r="L12" s="6" t="s">
        <v>30</v>
      </c>
      <c r="M12" s="6"/>
      <c r="N12" s="6"/>
      <c r="O12" s="5"/>
      <c r="P12" s="5"/>
      <c r="Q12" s="2" t="s">
        <v>2878</v>
      </c>
    </row>
    <row r="13" spans="1:17" ht="189.75" customHeight="1" x14ac:dyDescent="0.25">
      <c r="A13" s="5" t="s">
        <v>2879</v>
      </c>
      <c r="B13" s="5" t="s">
        <v>2880</v>
      </c>
      <c r="C13" s="5" t="s">
        <v>2881</v>
      </c>
      <c r="D13" s="5" t="s">
        <v>2882</v>
      </c>
      <c r="E13" s="5" t="s">
        <v>2883</v>
      </c>
      <c r="F13" s="5" t="s">
        <v>29</v>
      </c>
      <c r="G13" s="5" t="s">
        <v>2884</v>
      </c>
      <c r="H13" s="5" t="s">
        <v>2885</v>
      </c>
      <c r="I13" s="5" t="s">
        <v>2886</v>
      </c>
      <c r="J13" s="5" t="s">
        <v>2887</v>
      </c>
      <c r="K13" s="6"/>
      <c r="L13" s="6" t="s">
        <v>30</v>
      </c>
      <c r="M13" s="6"/>
      <c r="N13" s="6"/>
      <c r="O13" s="5" t="s">
        <v>2544</v>
      </c>
      <c r="P13" s="5" t="s">
        <v>2888</v>
      </c>
      <c r="Q13" s="2"/>
    </row>
    <row r="14" spans="1:17" ht="189.75" customHeight="1" x14ac:dyDescent="0.25">
      <c r="A14" s="5" t="s">
        <v>2889</v>
      </c>
      <c r="B14" s="5" t="s">
        <v>2890</v>
      </c>
      <c r="C14" s="5" t="s">
        <v>2891</v>
      </c>
      <c r="D14" s="5" t="s">
        <v>2892</v>
      </c>
      <c r="E14" s="5" t="s">
        <v>2893</v>
      </c>
      <c r="F14" s="5" t="s">
        <v>38</v>
      </c>
      <c r="G14" s="5" t="s">
        <v>2894</v>
      </c>
      <c r="H14" s="5" t="s">
        <v>2895</v>
      </c>
      <c r="I14" s="5" t="s">
        <v>2896</v>
      </c>
      <c r="J14" s="5" t="s">
        <v>2897</v>
      </c>
      <c r="K14" s="6"/>
      <c r="L14" s="6" t="s">
        <v>30</v>
      </c>
      <c r="M14" s="6"/>
      <c r="N14" s="6"/>
      <c r="O14" s="5"/>
      <c r="P14" s="5"/>
      <c r="Q14" s="2"/>
    </row>
    <row r="15" spans="1:17" ht="189.75" customHeight="1" x14ac:dyDescent="0.25">
      <c r="A15" s="5" t="s">
        <v>2898</v>
      </c>
      <c r="B15" s="5" t="s">
        <v>2899</v>
      </c>
      <c r="C15" s="5" t="s">
        <v>2900</v>
      </c>
      <c r="D15" s="5" t="s">
        <v>2901</v>
      </c>
      <c r="E15" s="5" t="s">
        <v>2902</v>
      </c>
      <c r="F15" s="5" t="s">
        <v>29</v>
      </c>
      <c r="G15" s="5" t="s">
        <v>2903</v>
      </c>
      <c r="H15" s="5" t="s">
        <v>2904</v>
      </c>
      <c r="I15" s="5" t="s">
        <v>2905</v>
      </c>
      <c r="J15" s="5" t="s">
        <v>2906</v>
      </c>
      <c r="K15" s="6"/>
      <c r="L15" s="6" t="s">
        <v>30</v>
      </c>
      <c r="M15" s="6"/>
      <c r="N15" s="6"/>
      <c r="O15" s="5"/>
      <c r="P15" s="5"/>
      <c r="Q15" s="2"/>
    </row>
    <row r="16" spans="1:17" ht="135" customHeight="1" x14ac:dyDescent="0.25">
      <c r="A16" s="5" t="s">
        <v>2907</v>
      </c>
      <c r="B16" s="5" t="s">
        <v>2908</v>
      </c>
      <c r="C16" s="5" t="s">
        <v>2909</v>
      </c>
      <c r="D16" s="5" t="s">
        <v>2910</v>
      </c>
      <c r="E16" s="5" t="s">
        <v>2911</v>
      </c>
      <c r="F16" s="5" t="s">
        <v>29</v>
      </c>
      <c r="G16" s="5" t="s">
        <v>2912</v>
      </c>
      <c r="H16" s="5" t="s">
        <v>2913</v>
      </c>
      <c r="I16" s="5" t="s">
        <v>2914</v>
      </c>
      <c r="J16" s="5" t="s">
        <v>2915</v>
      </c>
      <c r="K16" s="6"/>
      <c r="L16" s="6" t="s">
        <v>30</v>
      </c>
      <c r="M16" s="6"/>
      <c r="N16" s="6"/>
      <c r="O16" s="5" t="s">
        <v>456</v>
      </c>
      <c r="P16" s="5" t="s">
        <v>2916</v>
      </c>
      <c r="Q16" s="2"/>
    </row>
  </sheetData>
  <mergeCells count="2">
    <mergeCell ref="A1:P1"/>
    <mergeCell ref="A2:P2"/>
  </mergeCells>
  <dataValidations count="1">
    <dataValidation type="list" allowBlank="1" sqref="L4:L15" xr:uid="{00000000-0002-0000-0500-000000000000}">
      <formula1>"Pass,Fail,Blocked,N/A,Not Run"</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6"/>
  <sheetViews>
    <sheetView showGridLines="0" zoomScaleNormal="100" workbookViewId="0"/>
  </sheetViews>
  <sheetFormatPr defaultColWidth="8.7109375" defaultRowHeight="15" x14ac:dyDescent="0.25"/>
  <cols>
    <col min="1" max="1" width="46" customWidth="1"/>
    <col min="2" max="2" width="14" customWidth="1"/>
    <col min="3" max="3" width="4" customWidth="1"/>
    <col min="4" max="4" width="46" customWidth="1"/>
    <col min="5" max="5" width="14" customWidth="1"/>
  </cols>
  <sheetData>
    <row r="1" spans="1:5" ht="17.25" customHeight="1" x14ac:dyDescent="0.25">
      <c r="A1" s="20" t="s">
        <v>2917</v>
      </c>
      <c r="B1" s="21"/>
      <c r="C1" s="21"/>
      <c r="D1" s="21"/>
      <c r="E1" s="21"/>
    </row>
    <row r="3" spans="1:5" ht="15" customHeight="1" x14ac:dyDescent="0.25">
      <c r="A3" s="3" t="s">
        <v>2918</v>
      </c>
    </row>
    <row r="4" spans="1:5" ht="15" customHeight="1" x14ac:dyDescent="0.25">
      <c r="A4" t="s">
        <v>2919</v>
      </c>
      <c r="B4">
        <f>COUNTA('Functional Test Scenarios'!$B$3:$B$220)+COUNTA('Integration Test Scenarios'!$B$3:$B$100)</f>
        <v>164</v>
      </c>
    </row>
    <row r="5" spans="1:5" ht="15" customHeight="1" x14ac:dyDescent="0.25">
      <c r="A5" t="s">
        <v>2920</v>
      </c>
      <c r="B5">
        <f>COUNTA('Functional Test Cases'!$A$3:$A$260)+COUNTA('Integration Test Cases'!$A$3:$A$100)</f>
        <v>221</v>
      </c>
    </row>
    <row r="6" spans="1:5" ht="15" customHeight="1" x14ac:dyDescent="0.25">
      <c r="A6" t="s">
        <v>2921</v>
      </c>
      <c r="B6">
        <f>COUNTA('E2E Checkout Test Cases'!$A$4:$A$50)</f>
        <v>13</v>
      </c>
    </row>
    <row r="7" spans="1:5" ht="15" customHeight="1" x14ac:dyDescent="0.25">
      <c r="A7" t="s">
        <v>2922</v>
      </c>
      <c r="B7">
        <f>B5+B6</f>
        <v>234</v>
      </c>
    </row>
    <row r="10" spans="1:5" ht="15" customHeight="1" x14ac:dyDescent="0.25">
      <c r="A10" s="1" t="s">
        <v>2923</v>
      </c>
      <c r="D10" s="1" t="s">
        <v>2924</v>
      </c>
    </row>
    <row r="11" spans="1:5" ht="15" customHeight="1" x14ac:dyDescent="0.25">
      <c r="A11" t="s">
        <v>2925</v>
      </c>
      <c r="B11">
        <f>COUNTIF('Functional Test Cases'!$M$3:$M$260,"Pass")</f>
        <v>0</v>
      </c>
      <c r="D11" t="s">
        <v>2925</v>
      </c>
      <c r="E11">
        <f>COUNTIF('Integration Test Cases'!$M$3:$M$100,"Pass")</f>
        <v>0</v>
      </c>
    </row>
    <row r="12" spans="1:5" ht="15" customHeight="1" x14ac:dyDescent="0.25">
      <c r="A12" t="s">
        <v>2926</v>
      </c>
      <c r="B12">
        <f>COUNTIF('Functional Test Cases'!$M$3:$M$260,"Fail")</f>
        <v>0</v>
      </c>
      <c r="D12" t="s">
        <v>2926</v>
      </c>
      <c r="E12">
        <f>COUNTIF('Integration Test Cases'!$M$3:$M$100,"Fail")</f>
        <v>0</v>
      </c>
    </row>
    <row r="13" spans="1:5" ht="15" customHeight="1" x14ac:dyDescent="0.25">
      <c r="A13" t="s">
        <v>2927</v>
      </c>
      <c r="B13">
        <f>COUNTIF('Functional Test Cases'!$M$3:$M$260,"Blocked")</f>
        <v>0</v>
      </c>
      <c r="D13" t="s">
        <v>2927</v>
      </c>
      <c r="E13">
        <f>COUNTIF('Integration Test Cases'!$M$3:$M$100,"Blocked")</f>
        <v>0</v>
      </c>
    </row>
    <row r="14" spans="1:5" ht="15" customHeight="1" x14ac:dyDescent="0.25">
      <c r="A14" t="s">
        <v>2928</v>
      </c>
      <c r="B14">
        <f>COUNTIF('Functional Test Cases'!$M$3:$M$260,"N/A")</f>
        <v>0</v>
      </c>
      <c r="D14" t="s">
        <v>2928</v>
      </c>
      <c r="E14">
        <f>COUNTIF('Integration Test Cases'!$M$3:$M$100,"N/A")</f>
        <v>0</v>
      </c>
    </row>
    <row r="15" spans="1:5" ht="15" customHeight="1" x14ac:dyDescent="0.25">
      <c r="A15" t="s">
        <v>30</v>
      </c>
      <c r="B15">
        <f>COUNTIF('Functional Test Cases'!$M$3:$M$260,"Not Run")</f>
        <v>198</v>
      </c>
      <c r="D15" t="s">
        <v>30</v>
      </c>
      <c r="E15">
        <f>COUNTIF('Integration Test Cases'!$M$3:$M$100,"Not Run")</f>
        <v>23</v>
      </c>
    </row>
    <row r="16" spans="1:5" ht="15" customHeight="1" x14ac:dyDescent="0.25">
      <c r="A16" t="s">
        <v>2929</v>
      </c>
      <c r="B16">
        <f>SUM(B11:B15)</f>
        <v>198</v>
      </c>
      <c r="D16" t="s">
        <v>2929</v>
      </c>
      <c r="E16">
        <f>SUM(E11:E15)</f>
        <v>23</v>
      </c>
    </row>
    <row r="17" spans="1:5" ht="15" customHeight="1" x14ac:dyDescent="0.25">
      <c r="A17" t="s">
        <v>2930</v>
      </c>
      <c r="B17">
        <f>COUNTA('Functional Test Scenarios'!$B$3:$B$220)</f>
        <v>141</v>
      </c>
      <c r="D17" t="s">
        <v>2930</v>
      </c>
      <c r="E17">
        <f>COUNTA('Integration Test Scenarios'!$B$3:$B$100)</f>
        <v>23</v>
      </c>
    </row>
    <row r="18" spans="1:5" ht="15" customHeight="1" x14ac:dyDescent="0.25">
      <c r="A18" t="s">
        <v>2931</v>
      </c>
      <c r="B18">
        <f>COUNTA('Functional Test Cases'!$A$3:$A$260)</f>
        <v>198</v>
      </c>
      <c r="D18" t="s">
        <v>2931</v>
      </c>
      <c r="E18">
        <f>COUNTA('Integration Test Cases'!$A$3:$A$100)</f>
        <v>23</v>
      </c>
    </row>
    <row r="19" spans="1:5" ht="15" customHeight="1" x14ac:dyDescent="0.25">
      <c r="A19" t="s">
        <v>2932</v>
      </c>
      <c r="B19">
        <f>COUNTIF('Functional Test Cases'!$R$3:$R$260,"?*")</f>
        <v>13</v>
      </c>
      <c r="D19" t="s">
        <v>2932</v>
      </c>
      <c r="E19">
        <f>COUNTIF('Integration Test Cases'!$R$3:$R$100,"?*")</f>
        <v>2</v>
      </c>
    </row>
    <row r="20" spans="1:5" ht="15" customHeight="1" x14ac:dyDescent="0.25">
      <c r="A20" t="s">
        <v>2933</v>
      </c>
      <c r="B20">
        <f>COUNTIF('Functional Test Cases'!$P$3:$P$260,"QnA*")</f>
        <v>94</v>
      </c>
      <c r="D20" t="s">
        <v>2933</v>
      </c>
      <c r="E20">
        <f>COUNTIF('Integration Test Cases'!$P$3:$P$100,"QnA*")</f>
        <v>15</v>
      </c>
    </row>
    <row r="22" spans="1:5" ht="15" customHeight="1" x14ac:dyDescent="0.25">
      <c r="A22" s="1" t="s">
        <v>2934</v>
      </c>
    </row>
    <row r="23" spans="1:5" ht="15" customHeight="1" x14ac:dyDescent="0.25">
      <c r="A23" t="s">
        <v>1663</v>
      </c>
      <c r="B23">
        <f>COUNTIF('Functional Test Scenarios'!$D$3:$D$220,"ONB - Onboarding")</f>
        <v>17</v>
      </c>
    </row>
    <row r="24" spans="1:5" ht="15" customHeight="1" x14ac:dyDescent="0.25">
      <c r="A24" t="s">
        <v>1755</v>
      </c>
      <c r="B24">
        <f>COUNTIF('Functional Test Scenarios'!$D$3:$D$220,"HP - Homepage &amp; Login Gate")</f>
        <v>40</v>
      </c>
    </row>
    <row r="25" spans="1:5" ht="15" customHeight="1" x14ac:dyDescent="0.25">
      <c r="A25" t="s">
        <v>1843</v>
      </c>
      <c r="B25">
        <f>COUNTIF('Functional Test Scenarios'!$D$3:$D$220,"SU - Signup")</f>
        <v>19</v>
      </c>
    </row>
    <row r="26" spans="1:5" ht="15" customHeight="1" x14ac:dyDescent="0.25">
      <c r="A26" t="s">
        <v>1891</v>
      </c>
      <c r="B26">
        <f>COUNTIF('Functional Test Scenarios'!$D$3:$D$220,"LI - Login")</f>
        <v>9</v>
      </c>
    </row>
    <row r="27" spans="1:5" ht="15" customHeight="1" x14ac:dyDescent="0.25">
      <c r="A27" t="s">
        <v>1923</v>
      </c>
      <c r="B27">
        <f>COUNTIF('Functional Test Scenarios'!$D$3:$D$220,"CT - Cart")</f>
        <v>42</v>
      </c>
    </row>
    <row r="28" spans="1:5" ht="15" customHeight="1" x14ac:dyDescent="0.25">
      <c r="A28" t="s">
        <v>2050</v>
      </c>
      <c r="B28">
        <f>COUNTIF('Functional Test Scenarios'!$D$3:$D$220,"CO - Checkout")</f>
        <v>14</v>
      </c>
    </row>
    <row r="29" spans="1:5" ht="15" customHeight="1" x14ac:dyDescent="0.25">
      <c r="A29" t="s">
        <v>2929</v>
      </c>
      <c r="B29">
        <f>SUM(B23:B28)</f>
        <v>141</v>
      </c>
    </row>
    <row r="31" spans="1:5" ht="15" customHeight="1" x14ac:dyDescent="0.25">
      <c r="A31" s="1" t="s">
        <v>2935</v>
      </c>
    </row>
    <row r="32" spans="1:5" ht="15" customHeight="1" x14ac:dyDescent="0.25">
      <c r="A32" t="s">
        <v>2460</v>
      </c>
      <c r="B32">
        <f>COUNTIF('Integration Test Scenarios'!$C$3:$C$100,"Zalo/SMS OTP Gateway")</f>
        <v>2</v>
      </c>
    </row>
    <row r="33" spans="1:2" ht="15" customHeight="1" x14ac:dyDescent="0.25">
      <c r="A33" t="s">
        <v>2475</v>
      </c>
      <c r="B33">
        <f>COUNTIF('Integration Test Scenarios'!$C$3:$C$100,"Payment &amp; BNPL Gateway")</f>
        <v>2</v>
      </c>
    </row>
    <row r="34" spans="1:2" ht="15" customHeight="1" x14ac:dyDescent="0.25">
      <c r="A34" t="s">
        <v>2490</v>
      </c>
      <c r="B34">
        <f>COUNTIF('Integration Test Scenarios'!$C$3:$C$100,"OMS/DMS - Slot Capacity &amp; Next-day")</f>
        <v>2</v>
      </c>
    </row>
    <row r="35" spans="1:2" ht="15" customHeight="1" x14ac:dyDescent="0.25">
      <c r="A35" t="s">
        <v>2505</v>
      </c>
      <c r="B35">
        <f>COUNTIF('Integration Test Scenarios'!$C$3:$C$100,"OMS - Order Placement (Place Order)")</f>
        <v>2</v>
      </c>
    </row>
    <row r="36" spans="1:2" ht="15" customHeight="1" x14ac:dyDescent="0.25">
      <c r="A36" t="s">
        <v>2518</v>
      </c>
      <c r="B36">
        <f>COUNTIF('Integration Test Scenarios'!$C$3:$C$100,"Store Configuration Service - Catalog/Price/Stock")</f>
        <v>2</v>
      </c>
    </row>
    <row r="37" spans="1:2" ht="15" customHeight="1" x14ac:dyDescent="0.25">
      <c r="A37" t="s">
        <v>2530</v>
      </c>
      <c r="B37">
        <f>COUNTIF('Integration Test Scenarios'!$C$3:$C$100,"Biometric / Device Security Ticket")</f>
        <v>2</v>
      </c>
    </row>
    <row r="38" spans="1:2" ht="15" customHeight="1" x14ac:dyDescent="0.25">
      <c r="A38" t="s">
        <v>2538</v>
      </c>
      <c r="B38">
        <f>COUNTIF('Integration Test Scenarios'!$C$3:$C$100,"Session / Auth Token")</f>
        <v>1</v>
      </c>
    </row>
    <row r="39" spans="1:2" ht="15" customHeight="1" x14ac:dyDescent="0.25">
      <c r="A39" t="s">
        <v>2547</v>
      </c>
      <c r="B39">
        <f>COUNTIF('Integration Test Scenarios'!$C$3:$C$100,"Coupon &amp; Promotion Engine")</f>
        <v>2</v>
      </c>
    </row>
    <row r="40" spans="1:2" ht="15" customHeight="1" x14ac:dyDescent="0.25">
      <c r="A40" t="s">
        <v>2561</v>
      </c>
      <c r="B40">
        <f>COUNTIF('Integration Test Scenarios'!$C$3:$C$100,"Loyalty &amp; Reward Points Engine")</f>
        <v>1</v>
      </c>
    </row>
    <row r="41" spans="1:2" ht="15" customHeight="1" x14ac:dyDescent="0.25">
      <c r="A41" t="s">
        <v>2570</v>
      </c>
      <c r="B41">
        <f>COUNTIF('Integration Test Scenarios'!$C$3:$C$100,"GotIt / Gift Card Service")</f>
        <v>1</v>
      </c>
    </row>
    <row r="42" spans="1:2" ht="15" customHeight="1" x14ac:dyDescent="0.25">
      <c r="A42" t="s">
        <v>2576</v>
      </c>
      <c r="B42">
        <f>COUNTIF('Integration Test Scenarios'!$C$3:$C$100,"VAT Invoice Service")</f>
        <v>1</v>
      </c>
    </row>
    <row r="43" spans="1:2" ht="15" customHeight="1" x14ac:dyDescent="0.25">
      <c r="A43" t="s">
        <v>2583</v>
      </c>
      <c r="B43">
        <f>COUNTIF('Integration Test Scenarios'!$C$3:$C$100,"Delivery Partner &amp; Locker Network")</f>
        <v>1</v>
      </c>
    </row>
    <row r="44" spans="1:2" ht="15" customHeight="1" x14ac:dyDescent="0.25">
      <c r="A44" t="s">
        <v>2591</v>
      </c>
      <c r="B44">
        <f>COUNTIF('Integration Test Scenarios'!$C$3:$C$100,"Address &amp; Service-zone Resolution Service (Geo/Service-zone)")</f>
        <v>2</v>
      </c>
    </row>
    <row r="45" spans="1:2" ht="15" customHeight="1" x14ac:dyDescent="0.25">
      <c r="A45" t="s">
        <v>2605</v>
      </c>
      <c r="B45">
        <f>COUNTIF('Integration Test Scenarios'!$C$3:$C$100,"Security - OTP/PIN Attempt Limit")</f>
        <v>1</v>
      </c>
    </row>
    <row r="46" spans="1:2" ht="15" customHeight="1" x14ac:dyDescent="0.25">
      <c r="A46" t="s">
        <v>2929</v>
      </c>
      <c r="B46">
        <f>SUM(B32:B45)</f>
        <v>22</v>
      </c>
    </row>
    <row r="48" spans="1:2" ht="15" customHeight="1" x14ac:dyDescent="0.25">
      <c r="A48" s="1" t="s">
        <v>2936</v>
      </c>
    </row>
    <row r="49" spans="1:2" ht="15" customHeight="1" x14ac:dyDescent="0.25">
      <c r="A49" t="s">
        <v>23</v>
      </c>
      <c r="B49">
        <f>COUNTIF('Functional Test Cases'!$E$3:$E$260,"Functional")</f>
        <v>87</v>
      </c>
    </row>
    <row r="50" spans="1:2" ht="15" customHeight="1" x14ac:dyDescent="0.25">
      <c r="A50" t="s">
        <v>245</v>
      </c>
      <c r="B50">
        <f>COUNTIF('Functional Test Cases'!$E$3:$E$260,"Validation")</f>
        <v>9</v>
      </c>
    </row>
    <row r="51" spans="1:2" ht="15" customHeight="1" x14ac:dyDescent="0.25">
      <c r="A51" t="s">
        <v>59</v>
      </c>
      <c r="B51">
        <f>COUNTIF('Functional Test Cases'!$E$3:$E$260,"Negative")</f>
        <v>28</v>
      </c>
    </row>
    <row r="52" spans="1:2" ht="15" customHeight="1" x14ac:dyDescent="0.25">
      <c r="A52" t="s">
        <v>32</v>
      </c>
      <c r="B52">
        <f>COUNTIF('Functional Test Cases'!$E$3:$E$260,"Boundary")</f>
        <v>26</v>
      </c>
    </row>
    <row r="53" spans="1:2" ht="15" customHeight="1" x14ac:dyDescent="0.25">
      <c r="A53" t="s">
        <v>86</v>
      </c>
      <c r="B53">
        <f>COUNTIF('Functional Test Cases'!$E$3:$E$260,"Edge")</f>
        <v>39</v>
      </c>
    </row>
    <row r="54" spans="1:2" ht="15" customHeight="1" x14ac:dyDescent="0.25">
      <c r="A54" t="s">
        <v>41</v>
      </c>
      <c r="B54">
        <f>COUNTIF('Functional Test Cases'!$E$3:$E$260,"Regression")</f>
        <v>5</v>
      </c>
    </row>
    <row r="55" spans="1:2" ht="15" customHeight="1" x14ac:dyDescent="0.25">
      <c r="A55" t="s">
        <v>2929</v>
      </c>
      <c r="B55">
        <f>SUM(B49:B54)</f>
        <v>194</v>
      </c>
    </row>
    <row r="57" spans="1:2" ht="15" customHeight="1" x14ac:dyDescent="0.25">
      <c r="A57" s="1" t="s">
        <v>2937</v>
      </c>
    </row>
    <row r="58" spans="1:2" ht="15" customHeight="1" x14ac:dyDescent="0.25">
      <c r="A58" t="s">
        <v>23</v>
      </c>
      <c r="B58">
        <f>COUNTIF('Integration Test Cases'!$E$3:$E$100,"Functional")</f>
        <v>14</v>
      </c>
    </row>
    <row r="59" spans="1:2" ht="15" customHeight="1" x14ac:dyDescent="0.25">
      <c r="A59" t="s">
        <v>32</v>
      </c>
      <c r="B59">
        <f>COUNTIF('Integration Test Cases'!$E$3:$E$100,"Boundary")</f>
        <v>3</v>
      </c>
    </row>
    <row r="60" spans="1:2" ht="15" customHeight="1" x14ac:dyDescent="0.25">
      <c r="A60" t="s">
        <v>59</v>
      </c>
      <c r="B60">
        <f>COUNTIF('Integration Test Cases'!$E$3:$E$100,"Negative")</f>
        <v>1</v>
      </c>
    </row>
    <row r="61" spans="1:2" ht="15" customHeight="1" x14ac:dyDescent="0.25">
      <c r="A61" t="s">
        <v>2483</v>
      </c>
      <c r="B61">
        <f>COUNTIF('Integration Test Cases'!$E$3:$E$100,"Exception")</f>
        <v>2</v>
      </c>
    </row>
    <row r="62" spans="1:2" ht="15" customHeight="1" x14ac:dyDescent="0.25">
      <c r="A62" t="s">
        <v>2531</v>
      </c>
      <c r="B62">
        <f>COUNTIF('Integration Test Cases'!$E$3:$E$100,"Security")</f>
        <v>2</v>
      </c>
    </row>
    <row r="63" spans="1:2" ht="15" customHeight="1" x14ac:dyDescent="0.25">
      <c r="A63" t="s">
        <v>2599</v>
      </c>
      <c r="B63">
        <f>COUNTIF('Integration Test Cases'!$E$3:$E$100,"Integration")</f>
        <v>1</v>
      </c>
    </row>
    <row r="64" spans="1:2" ht="15" customHeight="1" x14ac:dyDescent="0.25">
      <c r="A64" t="s">
        <v>2929</v>
      </c>
      <c r="B64">
        <f>SUM(B58:B63)</f>
        <v>23</v>
      </c>
    </row>
    <row r="66" spans="1:1" ht="15" customHeight="1" x14ac:dyDescent="0.25">
      <c r="A66" s="1"/>
    </row>
  </sheetData>
  <mergeCells count="1">
    <mergeCell ref="A1:E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showGridLines="0" zoomScaleNormal="100" workbookViewId="0">
      <pane ySplit="2" topLeftCell="A3" activePane="bottomLeft" state="frozen"/>
      <selection pane="bottomLeft"/>
    </sheetView>
  </sheetViews>
  <sheetFormatPr defaultColWidth="8.7109375" defaultRowHeight="15" x14ac:dyDescent="0.25"/>
  <cols>
    <col min="1" max="1" width="30" customWidth="1"/>
    <col min="2" max="2" width="60" customWidth="1"/>
    <col min="3" max="3" width="24" customWidth="1"/>
  </cols>
  <sheetData>
    <row r="1" spans="1:3" ht="17.25" customHeight="1" x14ac:dyDescent="0.25">
      <c r="A1" s="20" t="s">
        <v>2938</v>
      </c>
      <c r="B1" s="21"/>
      <c r="C1" s="21"/>
    </row>
    <row r="2" spans="1:3" ht="15" customHeight="1" x14ac:dyDescent="0.25">
      <c r="A2" s="4" t="s">
        <v>2939</v>
      </c>
      <c r="B2" s="4" t="s">
        <v>2940</v>
      </c>
      <c r="C2" s="4" t="s">
        <v>2941</v>
      </c>
    </row>
    <row r="3" spans="1:3" ht="39.75" customHeight="1" x14ac:dyDescent="0.25">
      <c r="A3" s="5" t="s">
        <v>2460</v>
      </c>
      <c r="B3" s="5" t="s">
        <v>2942</v>
      </c>
      <c r="C3" s="5" t="s">
        <v>2943</v>
      </c>
    </row>
    <row r="4" spans="1:3" ht="39.75" customHeight="1" x14ac:dyDescent="0.25">
      <c r="A4" s="5" t="s">
        <v>2944</v>
      </c>
      <c r="B4" s="5" t="s">
        <v>2945</v>
      </c>
      <c r="C4" s="5" t="s">
        <v>2946</v>
      </c>
    </row>
    <row r="5" spans="1:3" ht="39.75" customHeight="1" x14ac:dyDescent="0.25">
      <c r="A5" s="5" t="s">
        <v>2947</v>
      </c>
      <c r="B5" s="5" t="s">
        <v>2948</v>
      </c>
      <c r="C5" s="5" t="s">
        <v>2949</v>
      </c>
    </row>
    <row r="6" spans="1:3" ht="39.75" customHeight="1" x14ac:dyDescent="0.25">
      <c r="A6" s="5" t="s">
        <v>2950</v>
      </c>
      <c r="B6" s="5" t="s">
        <v>2951</v>
      </c>
      <c r="C6" s="5" t="s">
        <v>2946</v>
      </c>
    </row>
    <row r="7" spans="1:3" ht="39.75" customHeight="1" x14ac:dyDescent="0.25">
      <c r="A7" s="5" t="s">
        <v>2952</v>
      </c>
      <c r="B7" s="5" t="s">
        <v>2953</v>
      </c>
      <c r="C7" s="5" t="s">
        <v>2954</v>
      </c>
    </row>
    <row r="8" spans="1:3" ht="39.75" customHeight="1" x14ac:dyDescent="0.25">
      <c r="A8" s="5" t="s">
        <v>2530</v>
      </c>
      <c r="B8" s="5" t="s">
        <v>2955</v>
      </c>
      <c r="C8" s="5" t="s">
        <v>2943</v>
      </c>
    </row>
    <row r="9" spans="1:3" ht="39.75" customHeight="1" x14ac:dyDescent="0.25">
      <c r="A9" s="5" t="s">
        <v>2956</v>
      </c>
      <c r="B9" s="5" t="s">
        <v>2957</v>
      </c>
      <c r="C9" s="5" t="s">
        <v>2958</v>
      </c>
    </row>
    <row r="10" spans="1:3" ht="39.75" customHeight="1" x14ac:dyDescent="0.25">
      <c r="A10" s="5" t="s">
        <v>2547</v>
      </c>
      <c r="B10" s="5" t="s">
        <v>2959</v>
      </c>
      <c r="C10" s="5" t="s">
        <v>2960</v>
      </c>
    </row>
    <row r="11" spans="1:3" ht="39.75" customHeight="1" x14ac:dyDescent="0.25">
      <c r="A11" s="5" t="s">
        <v>2561</v>
      </c>
      <c r="B11" s="5" t="s">
        <v>2961</v>
      </c>
      <c r="C11" s="5" t="s">
        <v>2960</v>
      </c>
    </row>
    <row r="12" spans="1:3" ht="39.75" customHeight="1" x14ac:dyDescent="0.25">
      <c r="A12" s="5" t="s">
        <v>2570</v>
      </c>
      <c r="B12" s="5" t="s">
        <v>2962</v>
      </c>
      <c r="C12" s="5" t="s">
        <v>2946</v>
      </c>
    </row>
    <row r="13" spans="1:3" ht="39.75" customHeight="1" x14ac:dyDescent="0.25">
      <c r="A13" s="5" t="s">
        <v>2576</v>
      </c>
      <c r="B13" s="5" t="s">
        <v>2963</v>
      </c>
      <c r="C13" s="5" t="s">
        <v>2946</v>
      </c>
    </row>
    <row r="14" spans="1:3" ht="39.75" customHeight="1" x14ac:dyDescent="0.25">
      <c r="A14" s="5" t="s">
        <v>2583</v>
      </c>
      <c r="B14" s="5" t="s">
        <v>2964</v>
      </c>
      <c r="C14" s="5" t="s">
        <v>2960</v>
      </c>
    </row>
    <row r="15" spans="1:3" ht="39.75" customHeight="1" x14ac:dyDescent="0.25">
      <c r="A15" s="5" t="s">
        <v>2591</v>
      </c>
      <c r="B15" s="5" t="s">
        <v>2965</v>
      </c>
      <c r="C15" s="5" t="s">
        <v>2966</v>
      </c>
    </row>
    <row r="16" spans="1:3" ht="39.75" customHeight="1" x14ac:dyDescent="0.25">
      <c r="A16" s="5" t="s">
        <v>2967</v>
      </c>
      <c r="B16" s="5" t="s">
        <v>2968</v>
      </c>
      <c r="C16" s="5" t="s">
        <v>2943</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Functional Test Scenarios</vt:lpstr>
      <vt:lpstr>Functional Test Cases</vt:lpstr>
      <vt:lpstr>Integration Test Scenarios</vt:lpstr>
      <vt:lpstr>Integration Test Cases</vt:lpstr>
      <vt:lpstr>E2E Checkout Test Cases</vt:lpstr>
      <vt:lpstr>Summary</vt:lpstr>
      <vt:lpstr>Integration 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License Lotte</cp:lastModifiedBy>
  <cp:revision>0</cp:revision>
  <dcterms:created xsi:type="dcterms:W3CDTF">2026-08-25T08:39:39Z</dcterms:created>
  <dcterms:modified xsi:type="dcterms:W3CDTF">2026-09-03T10:27:28Z</dcterms:modified>
  <dc:language>en-US</dc:language>
</cp:coreProperties>
</file>