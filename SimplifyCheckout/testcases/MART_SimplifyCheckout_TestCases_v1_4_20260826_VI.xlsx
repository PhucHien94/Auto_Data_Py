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2" autoFilterDateGrouping="1"/>
  </bookViews>
  <sheets>
    <sheet xmlns:r="http://schemas.openxmlformats.org/officeDocument/2006/relationships" name="Cover" sheetId="1" state="visible" r:id="rId1"/>
    <sheet xmlns:r="http://schemas.openxmlformats.org/officeDocument/2006/relationships" name="Functional Test Scenarios" sheetId="2" state="visible" r:id="rId2"/>
    <sheet xmlns:r="http://schemas.openxmlformats.org/officeDocument/2006/relationships" name="Functional Test Cases" sheetId="3" state="visible" r:id="rId3"/>
    <sheet xmlns:r="http://schemas.openxmlformats.org/officeDocument/2006/relationships" name="Integration Test Scenarios" sheetId="4" state="visible" r:id="rId4"/>
    <sheet xmlns:r="http://schemas.openxmlformats.org/officeDocument/2006/relationships" name="Integration Test Cases" sheetId="5" state="visible" r:id="rId5"/>
    <sheet xmlns:r="http://schemas.openxmlformats.org/officeDocument/2006/relationships" name="E2E Checkout Test Cases" sheetId="6" state="visible" r:id="rId6"/>
    <sheet xmlns:r="http://schemas.openxmlformats.org/officeDocument/2006/relationships" name="Summary" sheetId="7" state="visible" r:id="rId7"/>
    <sheet xmlns:r="http://schemas.openxmlformats.org/officeDocument/2006/relationships" name="Integration Points" sheetId="8" state="visible" r:id="rId8"/>
  </sheets>
  <definedNames>
    <definedName name="_xlnm._FilterDatabase" localSheetId="1" hidden="1">'Functional Test Scenarios'!$A$2:$M$80</definedName>
    <definedName name="_xlnm._FilterDatabase" localSheetId="2" hidden="1">'Functional Test Cases'!$A$2:$R$88</definedName>
  </definedNames>
  <calcPr calcId="191029" fullCalcOnLoad="1" iterateDelta="0.0001"/>
</workbook>
</file>

<file path=xl/styles.xml><?xml version="1.0" encoding="utf-8"?>
<styleSheet xmlns="http://schemas.openxmlformats.org/spreadsheetml/2006/main">
  <numFmts count="1">
    <numFmt numFmtId="164" formatCode="yyyy-mm-dd h:mm:ss"/>
  </numFmts>
  <fonts count="9">
    <font>
      <name val="Calibri"/>
      <charset val="1"/>
      <family val="2"/>
      <color theme="1"/>
      <sz val="11"/>
    </font>
    <font>
      <name val="Cambria"/>
      <charset val="1"/>
      <b val="1"/>
      <color rgb="FF1F4E78"/>
      <sz val="14"/>
    </font>
    <font>
      <name val="Cambria"/>
      <charset val="1"/>
      <b val="1"/>
      <sz val="13"/>
    </font>
    <font>
      <name val="Cambria"/>
      <charset val="1"/>
      <b val="1"/>
      <sz val="11"/>
    </font>
    <font>
      <name val="Cambria"/>
      <charset val="1"/>
      <b val="1"/>
      <sz val="12"/>
    </font>
    <font>
      <name val="Cambria"/>
      <charset val="1"/>
      <b val="1"/>
      <color rgb="FFFFFFFF"/>
      <sz val="11"/>
    </font>
    <font>
      <name val="Noto Sans CJK SC"/>
      <family val="2"/>
      <color theme="1"/>
      <sz val="11"/>
    </font>
    <font>
      <name val="Cambria"/>
      <charset val="1"/>
      <i val="1"/>
      <color rgb="FF666666"/>
      <sz val="9"/>
    </font>
    <font>
      <name val="Cambria"/>
      <charset val="1"/>
      <i val="1"/>
      <color rgb="FF555555"/>
      <sz val="10"/>
    </font>
  </fonts>
  <fills count="9">
    <fill>
      <patternFill/>
    </fill>
    <fill>
      <patternFill patternType="gray125"/>
    </fill>
    <fill>
      <patternFill patternType="solid">
        <fgColor rgb="FF1F4E78"/>
        <bgColor rgb="FF003366"/>
      </patternFill>
    </fill>
    <fill>
      <patternFill patternType="solid">
        <fgColor rgb="FFFFF2CC"/>
        <bgColor rgb="FFE2EFDA"/>
      </patternFill>
    </fill>
    <fill>
      <patternFill patternType="solid">
        <fgColor rgb="FFE2EFDA"/>
        <bgColor rgb="FFFFF2CC"/>
      </patternFill>
    </fill>
    <fill>
      <patternFill patternType="solid">
        <fgColor rgb="FFD9D9D9"/>
        <bgColor rgb="FFE2EFDA"/>
      </patternFill>
    </fill>
    <fill>
      <patternFill patternType="solid">
        <fgColor rgb="FFFFE699"/>
        <bgColor rgb="FFFFF2CC"/>
      </patternFill>
    </fill>
    <fill>
      <patternFill patternType="solid">
        <fgColor rgb="FFF8CBAD"/>
        <bgColor rgb="FFFFE699"/>
      </patternFill>
    </fill>
    <fill>
      <patternFill patternType="solid">
        <fgColor rgb="FFFCE4D6"/>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26">
    <xf numFmtId="0" fontId="0" fillId="0" borderId="0" pivotButton="0" quotePrefix="0" xfId="0"/>
    <xf numFmtId="0" fontId="7" fillId="0" borderId="0" applyAlignment="1" pivotButton="0" quotePrefix="0" xfId="0">
      <alignment vertical="top" wrapText="1"/>
    </xf>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center"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8" fillId="0" borderId="0" pivotButton="0" quotePrefix="0" xfId="0"/>
    <xf numFmtId="0" fontId="3" fillId="5" borderId="2" applyAlignment="1" pivotButton="0" quotePrefix="0" xfId="0">
      <alignment vertical="center" wrapText="1"/>
    </xf>
    <xf numFmtId="0" fontId="0" fillId="4" borderId="2" applyAlignment="1" pivotButton="0" quotePrefix="0" xfId="0">
      <alignment vertical="top" wrapText="1"/>
    </xf>
    <xf numFmtId="0" fontId="0" fillId="6" borderId="2" applyAlignment="1" pivotButton="0" quotePrefix="0" xfId="0">
      <alignment vertical="top" wrapText="1"/>
    </xf>
    <xf numFmtId="0" fontId="0" fillId="7" borderId="2" applyAlignment="1" pivotButton="0" quotePrefix="0" xfId="0">
      <alignment vertical="top" wrapText="1"/>
    </xf>
    <xf numFmtId="0" fontId="0" fillId="0" borderId="0" applyAlignment="1" pivotButton="0" quotePrefix="0" xfId="0">
      <alignment vertical="top"/>
    </xf>
    <xf numFmtId="0" fontId="1" fillId="0" borderId="0" applyAlignment="1" pivotButton="0" quotePrefix="0" xfId="0">
      <alignment horizontal="left" vertical="top"/>
    </xf>
    <xf numFmtId="0" fontId="0" fillId="0" borderId="0" applyAlignment="1" pivotButton="0" quotePrefix="0" xfId="0">
      <alignment horizontal="left" vertical="top"/>
    </xf>
    <xf numFmtId="0" fontId="2" fillId="0" borderId="0" applyAlignment="1" pivotButton="0" quotePrefix="0" xfId="0">
      <alignment horizontal="left" vertical="top"/>
    </xf>
    <xf numFmtId="0" fontId="3" fillId="0" borderId="0" applyAlignment="1" pivotButton="0" quotePrefix="0" xfId="0">
      <alignment horizontal="left" vertical="top"/>
    </xf>
    <xf numFmtId="0" fontId="4" fillId="0" borderId="0" applyAlignment="1" pivotButton="0" quotePrefix="0" xfId="0">
      <alignment horizontal="left" vertical="top"/>
    </xf>
    <xf numFmtId="15" fontId="0" fillId="0" borderId="0" applyAlignment="1" pivotButton="0" quotePrefix="0" xfId="0">
      <alignment horizontal="left"/>
    </xf>
    <xf numFmtId="0" fontId="0" fillId="0" borderId="0" pivotButton="0" quotePrefix="0" xfId="0"/>
    <xf numFmtId="0" fontId="0" fillId="0" borderId="0" applyAlignment="1" pivotButton="0" quotePrefix="1" xfId="0">
      <alignment vertical="top"/>
    </xf>
    <xf numFmtId="0" fontId="0" fillId="8"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E699"/>
      <rgbColor rgb="FF99CCFF"/>
      <rgbColor rgb="FFFF99CC"/>
      <rgbColor rgb="FFCC99FF"/>
      <rgbColor rgb="FFF8CBAD"/>
      <rgbColor rgb="FF3366FF"/>
      <rgbColor rgb="FF33CCCC"/>
      <rgbColor rgb="FF99CC00"/>
      <rgbColor rgb="FFFFCC00"/>
      <rgbColor rgb="FFFF9900"/>
      <rgbColor rgb="FFFF6600"/>
      <rgbColor rgb="FF666666"/>
      <rgbColor rgb="FF999999"/>
      <rgbColor rgb="FF003366"/>
      <rgbColor rgb="FF339966"/>
      <rgbColor rgb="FF003300"/>
      <rgbColor rgb="FF333300"/>
      <rgbColor rgb="FF993300"/>
      <rgbColor rgb="FF993366"/>
      <rgbColor rgb="FF1F4E78"/>
      <rgbColor rgb="FF555555"/>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7"/>
  <sheetViews>
    <sheetView showGridLines="0" zoomScaleNormal="100" workbookViewId="0">
      <selection activeCell="C18" sqref="C18"/>
    </sheetView>
  </sheetViews>
  <sheetFormatPr baseColWidth="8" defaultColWidth="8.7109375" defaultRowHeight="15"/>
  <cols>
    <col width="37.85546875" customWidth="1" style="18" min="1" max="1"/>
    <col width="23.28515625" customWidth="1" style="23" min="2" max="2"/>
    <col width="17.140625" customWidth="1" style="23" min="3" max="3"/>
    <col width="100" customWidth="1" style="23" min="4" max="4"/>
  </cols>
  <sheetData>
    <row r="1" ht="17.25" customHeight="1" s="23">
      <c r="A1" s="17" t="inlineStr">
        <is>
          <t>MART VN ONLINE RENEWAL 2026 PROJECT</t>
        </is>
      </c>
    </row>
    <row r="2" ht="15" customHeight="1" s="23">
      <c r="A2" s="18" t="inlineStr">
        <is>
          <t xml:space="preserve">Simplify Checkout — Functional &amp; System Integration Test Suite </t>
        </is>
      </c>
    </row>
    <row r="3" ht="15.75" customHeight="1" s="23">
      <c r="A3" s="19" t="inlineStr">
        <is>
          <t xml:space="preserve">Simplify Checkout — Functional &amp; System Integration Test Suite </t>
        </is>
      </c>
    </row>
    <row r="6" s="23">
      <c r="A6" s="20" t="inlineStr">
        <is>
          <t>Document</t>
        </is>
      </c>
      <c r="B6" s="16" t="inlineStr">
        <is>
          <t xml:space="preserve">MART-SimplifyCheckout Combined Test Suite </t>
        </is>
      </c>
    </row>
    <row r="7" s="23">
      <c r="A7" s="20" t="inlineStr">
        <is>
          <t>Prepared for</t>
        </is>
      </c>
      <c r="B7" s="16" t="inlineStr">
        <is>
          <t>Mart Online Division</t>
        </is>
      </c>
    </row>
    <row r="8" s="23">
      <c r="A8" s="20" t="inlineStr">
        <is>
          <t>Prepared by</t>
        </is>
      </c>
      <c r="B8" s="16" t="inlineStr">
        <is>
          <t>Hien Nguyen</t>
        </is>
      </c>
    </row>
    <row r="9" s="23">
      <c r="A9" s="20" t="inlineStr">
        <is>
          <t>Date</t>
        </is>
      </c>
      <c r="B9" s="16" t="inlineStr">
        <is>
          <t>25 August 2026</t>
        </is>
      </c>
    </row>
    <row r="10" s="23">
      <c r="A10" s="20" t="inlineStr">
        <is>
          <t>Source - REQ</t>
        </is>
      </c>
      <c r="B10" s="24" t="inlineStr">
        <is>
          <t xml:space="preserve">- MART-AN02-SRS-Simplify User Flow-v0.1-20260814.pptx 
- Figma "Checkout Flow - Review" </t>
        </is>
      </c>
    </row>
    <row r="11" s="23">
      <c r="A11" s="20" t="n"/>
      <c r="B11" s="16" t="n"/>
    </row>
    <row r="12" s="23">
      <c r="A12" s="20" t="inlineStr">
        <is>
          <t>Structure</t>
        </is>
      </c>
      <c r="B12" s="16" t="inlineStr">
        <is>
          <t>Cover / Functional Test Scenarios / Functional Test Cases / Integration Test Scenarios / Integration Test Cases / E2E Checkout Test Cases / Summary / Integration Points.</t>
        </is>
      </c>
    </row>
    <row r="13" s="23">
      <c r="A13" s="20" t="inlineStr">
        <is>
          <t>File QnA</t>
        </is>
      </c>
      <c r="B13" s="16" t="inlineStr">
        <is>
          <t xml:space="preserve">MART_SimplifyCheckout_QnA_Log.xlsx </t>
        </is>
      </c>
    </row>
    <row r="15" ht="15" customHeight="1" s="23">
      <c r="A15" s="21" t="inlineStr">
        <is>
          <t>Legend</t>
        </is>
      </c>
    </row>
    <row r="16" ht="27.75" customHeight="1" s="23">
      <c r="A16" s="20" t="inlineStr">
        <is>
          <t>Functional Scenario/Test Case Type</t>
        </is>
      </c>
      <c r="B16" s="16" t="inlineStr">
        <is>
          <t>Normal, Functional, Validation, Negative, Boundary, Edge, Regression</t>
        </is>
      </c>
    </row>
    <row r="17" ht="27.75" customHeight="1" s="23">
      <c r="A17" s="20" t="inlineStr">
        <is>
          <t>Integration Test Case Type</t>
        </is>
      </c>
      <c r="B17" s="16" t="inlineStr">
        <is>
          <t>Functional, Boundary, Negative, Exception, Security, Integration</t>
        </is>
      </c>
    </row>
    <row r="18" ht="27.75" customHeight="1" s="23">
      <c r="A18" s="20" t="inlineStr">
        <is>
          <t>Test Result (Summary sheet)</t>
        </is>
      </c>
      <c r="B18" s="16" t="inlineStr">
        <is>
          <t>Pass / Fail / Blocked / N/A / Not Run</t>
        </is>
      </c>
    </row>
    <row r="19" ht="27.75" customHeight="1" s="23">
      <c r="A19" s="20" t="inlineStr">
        <is>
          <t>Cot mau vang</t>
        </is>
      </c>
      <c r="B19" s="16" t="inlineStr">
        <is>
          <t>Trường theo dõi thực thi để QC điền (Actual Result, Pass/Fail Status, Tester, Test Date)</t>
        </is>
      </c>
    </row>
    <row r="20" ht="27.75" customHeight="1" s="23">
      <c r="A20" s="20" t="inlineStr">
        <is>
          <t>Cot mau xanh la (Ghi chu Review)</t>
        </is>
      </c>
      <c r="B20" s="16" t="inlineStr">
        <is>
          <t xml:space="preserve">Nhận xét của người review </t>
        </is>
      </c>
    </row>
    <row r="21" ht="27.75" customHeight="1" s="23">
      <c r="A21" s="20" t="inlineStr">
        <is>
          <t>Cot QnA Ref</t>
        </is>
      </c>
      <c r="B21" s="16" t="inlineStr">
        <is>
          <t>Mã tham chiếu tới file QnA Log</t>
        </is>
      </c>
    </row>
    <row r="22">
      <c r="A22" s="20" t="inlineStr">
        <is>
          <t>Cot mau cam (QnA Ref co du lieu)</t>
        </is>
      </c>
      <c r="B22" s="16" t="inlineStr">
        <is>
          <t>Test case/scenario co tham chieu QnA Log (cot QnA Ref khong rong)</t>
        </is>
      </c>
    </row>
    <row r="23" ht="15" customHeight="1" s="23">
      <c r="A23" s="21" t="inlineStr">
        <is>
          <t>Change History</t>
        </is>
      </c>
    </row>
    <row r="24" ht="15" customHeight="1" s="23">
      <c r="A24" s="20" t="inlineStr">
        <is>
          <t>Version</t>
        </is>
      </c>
      <c r="B24" s="4" t="inlineStr">
        <is>
          <t>Date</t>
        </is>
      </c>
      <c r="C24" s="4" t="inlineStr">
        <is>
          <t>Author</t>
        </is>
      </c>
      <c r="D24" s="4" t="inlineStr">
        <is>
          <t>Change</t>
        </is>
      </c>
    </row>
    <row r="25" ht="15" customHeight="1" s="23">
      <c r="A25" s="18" t="inlineStr">
        <is>
          <t>v1.0</t>
        </is>
      </c>
      <c r="B25" s="22" t="n">
        <v>46260</v>
      </c>
      <c r="C25" t="inlineStr">
        <is>
          <t>Hien Nguyen</t>
        </is>
      </c>
      <c r="D25" t="inlineStr">
        <is>
          <t>Tạo lần đầu từ SRS v0.1 + đối chiếu Figma.</t>
        </is>
      </c>
    </row>
    <row r="26">
      <c r="A26" s="18" t="inlineStr">
        <is>
          <t>v1.1</t>
        </is>
      </c>
      <c r="B26" s="22" t="n">
        <v>46260</v>
      </c>
      <c r="C26" t="inlineStr">
        <is>
          <t>Hien Nguyen</t>
        </is>
      </c>
      <c r="D26" t="inlineStr">
        <is>
          <t>Bo sung QnA-44..48 (tracking backend ONB-02, GPS nearest/tie-break, dia gioi hanh chinh cu/moi, tat app giua Onboarding); bo sung 6 scenario/test case moi (SCR-ONB-02-SC4/SC5, SCR-ONB-03-SC5/SC6/SC7, SCR-ONB-04-SC3); sap xep lai scenario/test case theo dung nhom Screen ID; to mau cac dong co QnA Ref.</t>
        </is>
      </c>
    </row>
    <row r="27">
      <c r="A27" s="18" t="inlineStr">
        <is>
          <t>v1.2</t>
        </is>
      </c>
      <c r="B27" s="22" t="n">
        <v>46260</v>
      </c>
      <c r="C27" t="inlineStr">
        <is>
          <t>Hien Nguyen</t>
        </is>
      </c>
      <c r="D27" t="inlineStr">
        <is>
          <t>Doi chieu toan bo 19 muc trong sheet Review - Gaps &amp; Issues: 18/19 muc da co test case (TBD cho cac muc con cho QnA). Muc con lai (#13, NFR-01..05 Performance/Load) duoc bo sung INT-16-SC1 / INT-16-SC1-TC1 (baseline TBD, cho QnA-41). Da xoa sheet Review - Gaps &amp; Issues sau khi xu ly xong toan bo.</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filterMode="1">
    <outlinePr summaryBelow="1" summaryRight="1"/>
    <pageSetUpPr/>
  </sheetPr>
  <dimension ref="A1:M86"/>
  <sheetViews>
    <sheetView showGridLines="0" topLeftCell="C1" zoomScaleNormal="100" workbookViewId="0">
      <pane ySplit="2" topLeftCell="A3" activePane="bottomLeft" state="frozen"/>
      <selection pane="bottomLeft" activeCell="A5" sqref="A5:XFD5"/>
    </sheetView>
  </sheetViews>
  <sheetFormatPr baseColWidth="8" defaultColWidth="8.7109375" defaultRowHeight="15"/>
  <cols>
    <col width="6" customWidth="1" style="23" min="1" max="1"/>
    <col width="20" customWidth="1" style="23" min="2" max="2"/>
    <col width="14" customWidth="1" style="23" min="3" max="3"/>
    <col width="26" customWidth="1" style="23" min="4" max="4"/>
    <col width="20" customWidth="1" style="23" min="5" max="5"/>
    <col width="12" customWidth="1" style="23" min="6" max="6"/>
    <col width="40" customWidth="1" style="23" min="7" max="7"/>
    <col width="24" customWidth="1" style="23" min="8" max="8"/>
    <col width="34" customWidth="1" style="23" min="9" max="9"/>
    <col width="46" customWidth="1" style="23" min="10" max="10"/>
    <col width="34" customWidth="1" style="23" min="11" max="11"/>
    <col width="10" customWidth="1" style="23" min="12" max="12"/>
    <col width="40" customWidth="1" style="23" min="13" max="13"/>
  </cols>
  <sheetData>
    <row r="1" ht="17.25" customHeight="1" s="23">
      <c r="A1" s="2" t="inlineStr">
        <is>
          <t>Simplify Checkout — Functional Test Scenario Register</t>
        </is>
      </c>
    </row>
    <row r="2" ht="27.75" customHeight="1" s="23">
      <c r="A2" s="7" t="inlineStr">
        <is>
          <t>No</t>
        </is>
      </c>
      <c r="B2" s="7" t="inlineStr">
        <is>
          <t>Scenario ID</t>
        </is>
      </c>
      <c r="C2" s="7" t="inlineStr">
        <is>
          <t>Screen ID</t>
        </is>
      </c>
      <c r="D2" s="7" t="inlineStr">
        <is>
          <t>Capability Area</t>
        </is>
      </c>
      <c r="E2" s="7" t="inlineStr">
        <is>
          <t>REQ ID (SRS)</t>
        </is>
      </c>
      <c r="F2" s="7" t="inlineStr">
        <is>
          <t>Scenario Type</t>
        </is>
      </c>
      <c r="G2" s="7" t="inlineStr">
        <is>
          <t>User Action</t>
        </is>
      </c>
      <c r="H2" s="7" t="inlineStr">
        <is>
          <t>Input</t>
        </is>
      </c>
      <c r="I2" s="7" t="inlineStr">
        <is>
          <t>Preconditions</t>
        </is>
      </c>
      <c r="J2" s="7" t="inlineStr">
        <is>
          <t>Expected Output</t>
        </is>
      </c>
      <c r="K2" s="7" t="inlineStr">
        <is>
          <t>Acceptance Criteria</t>
        </is>
      </c>
      <c r="L2" s="7" t="inlineStr">
        <is>
          <t>QnA Ref</t>
        </is>
      </c>
      <c r="M2" s="7" t="inlineStr">
        <is>
          <t>Comments</t>
        </is>
      </c>
    </row>
    <row r="3" hidden="1" ht="45.75" customHeight="1" s="23">
      <c r="A3" s="8" t="n">
        <v>1</v>
      </c>
      <c r="B3" s="8" t="inlineStr">
        <is>
          <t>SCR-ONB-01-SC1</t>
        </is>
      </c>
      <c r="C3" s="8" t="inlineStr">
        <is>
          <t>SCR-ONB-01</t>
        </is>
      </c>
      <c r="D3" s="8" t="inlineStr">
        <is>
          <t>ONB - Onboarding</t>
        </is>
      </c>
      <c r="E3" s="8" t="inlineStr">
        <is>
          <t>ONB-01</t>
        </is>
      </c>
      <c r="F3" s="8" t="inlineStr">
        <is>
          <t>Normal</t>
        </is>
      </c>
      <c r="G3" s="8" t="inlineStr">
        <is>
          <t>Chọn 1 trong 3 ngôn ngữ (Tiếng Việt / English / 한국어) trên màn hình chọn ngôn ngữ đầu tiên.</t>
        </is>
      </c>
      <c r="H3" s="8" t="inlineStr">
        <is>
          <t>Chọn lần lượt: Tiếng Việt, English, 한국어</t>
        </is>
      </c>
      <c r="I3" s="8" t="inlineStr">
        <is>
          <t>Mở app lần đầu (chưa có dữ liệu app / vừa xoá data).</t>
        </is>
      </c>
      <c r="J3" s="8" t="inlineStr">
        <is>
          <t>Toàn bộ nhãn trên màn hình (nút Tiếp tục, dòng chú thích đổi ngôn ngữ sau) đổi ngay lập tức theo ngôn ngữ vừa chọn, trước khi bấm Tiếp tục. Luôn có đúng 1 lựa chọn được chọn (không có trạng thái trống).</t>
        </is>
      </c>
      <c r="K3" s="8" t="inlineStr">
        <is>
          <t>Cả 3 lựa chọn đều chọn được, giao diện re-render tức thì, nút Tiếp tục luôn ở trạng thái enabled.</t>
        </is>
      </c>
      <c r="L3" s="8" t="n"/>
      <c r="M3" s="8" t="inlineStr">
        <is>
          <t>ONB-01: mặc định suy ra từ locale thiết bị; nếu locale không khớp 3 ngôn ngữ thì mặc định Tiếng Việt.</t>
        </is>
      </c>
    </row>
    <row r="4" hidden="1" ht="45.75" customHeight="1" s="23">
      <c r="A4" s="8" t="n">
        <v>2</v>
      </c>
      <c r="B4" s="8" t="inlineStr">
        <is>
          <t>SCR-ONB-01-SC2</t>
        </is>
      </c>
      <c r="C4" s="8" t="inlineStr">
        <is>
          <t>SCR-ONB-01</t>
        </is>
      </c>
      <c r="D4" s="8" t="inlineStr">
        <is>
          <t>ONB - Onboarding</t>
        </is>
      </c>
      <c r="E4" s="8" t="inlineStr">
        <is>
          <t>ONB-01</t>
        </is>
      </c>
      <c r="F4" s="8" t="inlineStr">
        <is>
          <t>Edge</t>
        </is>
      </c>
      <c r="G4" s="8" t="inlineStr">
        <is>
          <t>Kiểm tra màn hình chọn ngôn ngữ KHÔNG hiện lại ở lần mở app tiếp theo, và ngôn ngữ đổi được trong Settings.</t>
        </is>
      </c>
      <c r="H4" s="8" t="inlineStr">
        <is>
          <t>Mở lại app sau khi đã hoàn tất Onboarding; sau đó vào Settings đổi ngôn ngữ.</t>
        </is>
      </c>
      <c r="I4" s="8" t="inlineStr">
        <is>
          <t>Đã hoàn tất onboarding ít nhất 1 lần trước đó (không xoá dữ liệu app).</t>
        </is>
      </c>
      <c r="J4" s="8" t="inlineStr">
        <is>
          <t>Màn hình SCR-ONB-01 không xuất hiện lại ở lần mở app kế tiếp; ngôn ngữ vẫn có thể đổi được từ Settings và ảnh hưởng toàn bộ định dạng số/tiền tệ/ngày tháng trong phiên.</t>
        </is>
      </c>
      <c r="K4" s="8" t="inlineStr">
        <is>
          <t>Màn hình chỉ hiện 1 lần duy nhất cho mỗi lần cài đặt/xoá dữ liệu app.</t>
        </is>
      </c>
      <c r="L4" s="8" t="n"/>
      <c r="M4" s="8" t="n"/>
    </row>
    <row r="5" ht="45.75" customHeight="1" s="23">
      <c r="A5" s="8" t="n">
        <v>3</v>
      </c>
      <c r="B5" s="8" t="inlineStr">
        <is>
          <t>SCR-ONB-02-SC1</t>
        </is>
      </c>
      <c r="C5" s="8" t="inlineStr">
        <is>
          <t>SCR-ONB-02</t>
        </is>
      </c>
      <c r="D5" s="8" t="inlineStr">
        <is>
          <t>ONB - Onboarding</t>
        </is>
      </c>
      <c r="E5" s="8" t="inlineStr">
        <is>
          <t>ONB-02, ONB-03, ONB-04</t>
        </is>
      </c>
      <c r="F5" s="8" t="inlineStr">
        <is>
          <t>Normal</t>
        </is>
      </c>
      <c r="G5" s="8" t="inlineStr">
        <is>
          <t>Lần lượt Allow cả 3 dialog quyền hệ thống: theo dõi hoạt động, thông báo, vị trí.</t>
        </is>
      </c>
      <c r="H5" s="8" t="inlineStr">
        <is>
          <t>Allow / Allow / Allow While Using App</t>
        </is>
      </c>
      <c r="I5" s="8" t="inlineStr">
        <is>
          <t>Đã chọn ngôn ngữ ở SCR-ONB-01.</t>
        </is>
      </c>
      <c r="J5" s="8" t="inlineStr">
        <is>
          <t>Cả 3 dialog là dialog của OS (LOTTE MART không đổi được nội dung/nút ngoài purpose string), hiển thị lần lượt và không chặn tiến trình dù Allow hay Deny. Sau khi qua cả 3, chuyển sang SCR-ONB-03 với vị trí = Allowed.</t>
        </is>
      </c>
      <c r="K5" s="8" t="inlineStr">
        <is>
          <t>Với vị trí = Allowed, SCR-ONB-03 sẽ pre-select store gần nhất theo GPS (BRL-02).</t>
        </is>
      </c>
      <c r="L5" s="8" t="n"/>
      <c r="M5" s="8" t="n"/>
    </row>
    <row r="6" ht="45.75" customHeight="1" s="23">
      <c r="A6" s="8" t="n">
        <v>4</v>
      </c>
      <c r="B6" s="8" t="inlineStr">
        <is>
          <t>SCR-ONB-02-SC2</t>
        </is>
      </c>
      <c r="C6" s="8" t="inlineStr">
        <is>
          <t>SCR-ONB-02</t>
        </is>
      </c>
      <c r="D6" s="8" t="inlineStr">
        <is>
          <t>ONB - Onboarding</t>
        </is>
      </c>
      <c r="E6" s="8" t="inlineStr">
        <is>
          <t>ONB-02, ONB-03, ONB-04</t>
        </is>
      </c>
      <c r="F6" s="8" t="inlineStr">
        <is>
          <t>Negative</t>
        </is>
      </c>
      <c r="G6" s="8" t="inlineStr">
        <is>
          <t>Lần lượt Deny cả 3 dialog quyền hệ thống.</t>
        </is>
      </c>
      <c r="H6" s="8" t="inlineStr">
        <is>
          <t>Don't Allow / Don't Allow / Don't Allow</t>
        </is>
      </c>
      <c r="I6" s="8" t="inlineStr">
        <is>
          <t>Đã chọn ngôn ngữ ở SCR-ONB-01.</t>
        </is>
      </c>
      <c r="J6" s="8" t="inlineStr">
        <is>
          <t>Từ chối cả 3 quyền KHÔNG chặn hành trình - khách vẫn tiếp tục sang SCR-ONB-03, nhưng không có store nào được pre-select (BRL-02) và thông báo đơn hàng sẽ fallback qua in-app/Zalo/SMS thay vì push notification.</t>
        </is>
      </c>
      <c r="K6" s="8" t="inlineStr">
        <is>
          <t>Từ chối bất kỳ quyền nào chỉ mất 1 tiện ích, không bao giờ mất 1 chức năng.</t>
        </is>
      </c>
      <c r="L6" s="8" t="n"/>
      <c r="M6" s="8" t="inlineStr">
        <is>
          <t>Đối với vị trí: Deny là trường hợp dẫn đến SCR-ONB-03 State B (chọn store thủ công, không có mặc định).</t>
        </is>
      </c>
    </row>
    <row r="7" hidden="1" ht="45.75" customHeight="1" s="23">
      <c r="A7" s="8" t="n">
        <v>5</v>
      </c>
      <c r="B7" s="8" t="inlineStr">
        <is>
          <t>SCR-ONB-02-SC3</t>
        </is>
      </c>
      <c r="C7" s="8" t="inlineStr">
        <is>
          <t>SCR-ONB-02</t>
        </is>
      </c>
      <c r="D7" s="8" t="inlineStr">
        <is>
          <t>ONB - Onboarding</t>
        </is>
      </c>
      <c r="E7" s="8" t="inlineStr">
        <is>
          <t>ONB-02, ONB-03, ONB-04</t>
        </is>
      </c>
      <c r="F7" s="8" t="inlineStr">
        <is>
          <t>Functional</t>
        </is>
      </c>
      <c r="G7" s="8" t="inlineStr">
        <is>
          <t>Chọn tổ hợp Allow/Deny KHÁC NHAU cho từng dialog quyền (không phải toàn Allow hoặc toàn Deny).</t>
        </is>
      </c>
      <c r="H7" s="8" t="inlineStr">
        <is>
          <t>Allow vị trí, nhưng Deny tracking và Deny notification.</t>
        </is>
      </c>
      <c r="I7" s="8" t="inlineStr">
        <is>
          <t>Đã chọn ngôn ngữ ở SCR-ONB-01.</t>
        </is>
      </c>
      <c r="J7" s="8" t="inlineStr">
        <is>
          <t>Chỉ riêng kết quả của quyền VỊ TRÍ ảnh hưởng bước kế tiếp (SCR-ONB-03 pre-select store theo GPS); Deny tracking/notification không chặn hay đổi hành vi bước tiếp theo.</t>
        </is>
      </c>
      <c r="K7" s="8" t="inlineStr">
        <is>
          <t>Tổ hợp hỗn hợp phải cho kết quả giống hệt việc chỉ xét riêng quyền vị trí, không phụ thuộc 2 quyền còn lại.</t>
        </is>
      </c>
      <c r="L7" s="8" t="n"/>
      <c r="M7" s="8" t="inlineStr">
        <is>
          <t>Bổ sung theo Review 26/08/2026 - trước đó chỉ có test toàn-Allow (SC1) và toàn-Deny (SC2), thiếu tổ hợp hỗn hợp.</t>
        </is>
      </c>
    </row>
    <row r="8" hidden="1" ht="45.75" customHeight="1" s="23">
      <c r="A8" s="25" t="n">
        <v>6</v>
      </c>
      <c r="B8" s="25" t="inlineStr">
        <is>
          <t>SCR-ONB-02-SC4</t>
        </is>
      </c>
      <c r="C8" s="25" t="inlineStr">
        <is>
          <t>SCR-ONB-02</t>
        </is>
      </c>
      <c r="D8" s="25" t="inlineStr">
        <is>
          <t>ONB - Onboarding</t>
        </is>
      </c>
      <c r="E8" s="25" t="inlineStr">
        <is>
          <t>ONB-02</t>
        </is>
      </c>
      <c r="F8" s="25" t="inlineStr">
        <is>
          <t>Functional</t>
        </is>
      </c>
      <c r="G8" s="25" t="inlineStr">
        <is>
          <t>Deny quyền tracking (Activity tracking / ATT), sau đó xác minh hệ thống tracking backend của LOTTE MART có ghi nhận sự kiện của khách hay không.</t>
        </is>
      </c>
      <c r="H8" s="25" t="inlineStr">
        <is>
          <t>Ask App Not to Track (Deny) trên dialog Activity tracking; Allow 2 dialog còn lại để không lẫn biến số.</t>
        </is>
      </c>
      <c r="I8" s="25" t="inlineStr">
        <is>
          <t>Đã chọn ngôn ngữ ở SCR-ONB-01; có công cụ quan sát sự kiện gửi lên hệ thống tracking (network log / debug console của SDK analytics).</t>
        </is>
      </c>
      <c r="J8" s="25" t="inlineStr">
        <is>
          <t>TBD - SRS (ONB-02) chỉ xác nhận Deny KHÔNG chặn luồng ứng dụng, nhưng CHƯA xác nhận hành vi ghi nhận dữ liệu ở hệ thống tracking backend (ví dụ sự kiện app-open, view-screen có còn được ghi nhận nội bộ hay không, hay chỉ riêng việc chia sẻ CHÉO sang app/web khác bị chặn theo đúng phạm vi ATT). Cần câu trả lời QnA-44 trước khi chốt Expected Output.</t>
        </is>
      </c>
      <c r="K8" s="25" t="inlineStr">
        <is>
          <t>TBD - chờ QnA-44 xác nhận phạm vi ảnh hưởng của việc Deny lên hệ thống tracking backend.</t>
        </is>
      </c>
      <c r="L8" s="25" t="inlineStr">
        <is>
          <t>QnA-44</t>
        </is>
      </c>
      <c r="M8" s="25" t="inlineStr">
        <is>
          <t>Bổ sung theo yêu cầu review 26/08/2026 - REQ ONB-02 hiện chỉ mô tả góc độ UX (không chặn luồng), chưa có REQ nào mô tả góc độ hệ thống tracking backend.</t>
        </is>
      </c>
    </row>
    <row r="9" hidden="1" ht="45.75" customHeight="1" s="23">
      <c r="A9" s="25" t="n">
        <v>7</v>
      </c>
      <c r="B9" s="25" t="inlineStr">
        <is>
          <t>SCR-ONB-02-SC5</t>
        </is>
      </c>
      <c r="C9" s="25" t="inlineStr">
        <is>
          <t>SCR-ONB-02</t>
        </is>
      </c>
      <c r="D9" s="25" t="inlineStr">
        <is>
          <t>ONB - Onboarding</t>
        </is>
      </c>
      <c r="E9" s="25" t="inlineStr">
        <is>
          <t>ONB-02, ONB-03, ONB-04</t>
        </is>
      </c>
      <c r="F9" s="25" t="inlineStr">
        <is>
          <t>Edge</t>
        </is>
      </c>
      <c r="G9" s="25" t="inlineStr">
        <is>
          <t>Tắt hẳn ứng dụng (kill app) ngay khi đang hiển thị 1 trong 3 dialog quyền hệ thống, sau đó mở lại app.</t>
        </is>
      </c>
      <c r="H9" s="25" t="inlineStr">
        <is>
          <t>Kill app khi dialog Location đang hiển thị (chưa bấm Allow/Deny); mở lại app từ icon.</t>
        </is>
      </c>
      <c r="I9" s="25" t="inlineStr">
        <is>
          <t>Đã chọn ngôn ngữ ở SCR-ONB-01, đang ở giữa chuỗi 3 dialog quyền (đã Allow tracking, đã Allow notification, dialog Location đang hiện).</t>
        </is>
      </c>
      <c r="J9" s="25" t="inlineStr">
        <is>
          <t>TBD - SRS không mô tả hành vi này. Cần ghi nhận hành vi thực tế: app tiếp tục đúng dialog dở dang, quay lại từ dialog đầu tiên, hay quay lại từ SCR-ONB-01. Đối chiếu với câu trả lời QnA-47 khi có.</t>
        </is>
      </c>
      <c r="K9" s="25" t="inlineStr">
        <is>
          <t>TBD - chờ QnA-47.</t>
        </is>
      </c>
      <c r="L9" s="25" t="inlineStr">
        <is>
          <t>QnA-47</t>
        </is>
      </c>
      <c r="M9" s="25" t="inlineStr">
        <is>
          <t>Bổ sung theo yêu cầu review 26/08/2026.</t>
        </is>
      </c>
    </row>
    <row r="10" hidden="1" ht="45.75" customHeight="1" s="23">
      <c r="A10" s="8" t="n">
        <v>8</v>
      </c>
      <c r="B10" s="8" t="inlineStr">
        <is>
          <t>SCR-ONB-03-SC1</t>
        </is>
      </c>
      <c r="C10" s="8" t="inlineStr">
        <is>
          <t>SCR-ONB-03</t>
        </is>
      </c>
      <c r="D10" s="8" t="inlineStr">
        <is>
          <t>ONB - Onboarding</t>
        </is>
      </c>
      <c r="E10" s="8" t="inlineStr">
        <is>
          <t>ONB-05</t>
        </is>
      </c>
      <c r="F10" s="8" t="inlineStr">
        <is>
          <t>Normal</t>
        </is>
      </c>
      <c r="G10" s="8" t="inlineStr">
        <is>
          <t>Vị trí đã Allow: xác nhận store gần nhất được pre-select và bấm Tiếp tục.</t>
        </is>
      </c>
      <c r="H10" s="8" t="inlineStr">
        <is>
          <t>Không thao tác gì thêm, dùng store đã được pre-select.</t>
        </is>
      </c>
      <c r="I10" s="8" t="inlineStr">
        <is>
          <t>Quyền vị trí = Allowed từ SCR-ONB-02.</t>
        </is>
      </c>
      <c r="J10" s="8" t="inlineStr">
        <is>
          <t>Store gần nhất theo GPS được pre-select và gắn nhãn 'Nearest'; nút Tiếp tục ở trạng thái enabled ngay; bấm Tiếp tục chuyển sang SCR-ONB-04.</t>
        </is>
      </c>
      <c r="K10" s="8" t="inlineStr">
        <is>
          <t>Store mặc định đúng theo khoảng cách GPS thực tế; nút Tiếp tục enabled từ đầu màn hình này.</t>
        </is>
      </c>
      <c r="L10" s="8" t="n"/>
      <c r="M10" s="8" t="n"/>
    </row>
    <row r="11" hidden="1" ht="45.75" customHeight="1" s="23">
      <c r="A11" s="8" t="n">
        <v>9</v>
      </c>
      <c r="B11" s="8" t="inlineStr">
        <is>
          <t>SCR-ONB-03-SC2</t>
        </is>
      </c>
      <c r="C11" s="8" t="inlineStr">
        <is>
          <t>SCR-ONB-03</t>
        </is>
      </c>
      <c r="D11" s="8" t="inlineStr">
        <is>
          <t>ONB - Onboarding</t>
        </is>
      </c>
      <c r="E11" s="8" t="inlineStr">
        <is>
          <t>ONB-05</t>
        </is>
      </c>
      <c r="F11" s="8" t="inlineStr">
        <is>
          <t>Boundary</t>
        </is>
      </c>
      <c r="G11" s="8" t="inlineStr">
        <is>
          <t>Vị trí đã Deny: không có store nào được pre-select, bấm Tiếp tục khi CHƯA chọn store nào.</t>
        </is>
      </c>
      <c r="H11" s="8" t="inlineStr">
        <is>
          <t>Không chọn store nào, bấm thẳng Tiếp tục.</t>
        </is>
      </c>
      <c r="I11" s="8" t="inlineStr">
        <is>
          <t>Quyền vị trí = Denied từ SCR-ONB-02.</t>
        </is>
      </c>
      <c r="J11" s="8" t="inlineStr">
        <is>
          <t>Không có store nào được đánh dấu mặc định, không hiện khoảng cách; banner màu vàng đề nghị bật vị trí; nút Tiếp tục DISABLED cho đến khi khách chọn 1 store cụ thể (enforcement của BRL-01).</t>
        </is>
      </c>
      <c r="K11" s="8" t="inlineStr">
        <is>
          <t>Nút Tiếp tục phải disabled khi chưa có store nào được chọn trong State B; không có Back/Skip nào bỏ qua được bước này.</t>
        </is>
      </c>
      <c r="L11" s="8" t="n"/>
      <c r="M11" s="8" t="inlineStr">
        <is>
          <t>BRL-01: việc chọn store là bước bắt buộc duy nhất trước Homepage, không có Back/Skip.</t>
        </is>
      </c>
    </row>
    <row r="12" hidden="1" ht="45.75" customHeight="1" s="23">
      <c r="A12" s="8" t="n">
        <v>10</v>
      </c>
      <c r="B12" s="8" t="inlineStr">
        <is>
          <t>SCR-ONB-03-SC3</t>
        </is>
      </c>
      <c r="C12" s="8" t="inlineStr">
        <is>
          <t>SCR-ONB-03</t>
        </is>
      </c>
      <c r="D12" s="8" t="inlineStr">
        <is>
          <t>ONB - Onboarding</t>
        </is>
      </c>
      <c r="E12" s="8" t="inlineStr">
        <is>
          <t>ONB-05</t>
        </is>
      </c>
      <c r="F12" s="8" t="inlineStr">
        <is>
          <t>Functional</t>
        </is>
      </c>
      <c r="G12" s="8" t="inlineStr">
        <is>
          <t>Dùng ô tìm kiếm store theo tên hoặc quận/thành phố để lọc danh sách.</t>
        </is>
      </c>
      <c r="H12" s="8" t="inlineStr">
        <is>
          <t>Nhập 'Tân Bình' vào ô tìm kiếm store.</t>
        </is>
      </c>
      <c r="I12" s="8" t="inlineStr">
        <is>
          <t>Đang ở màn hình chọn store (cả 2 state A/B).</t>
        </is>
      </c>
      <c r="J12" s="8" t="inlineStr">
        <is>
          <t>Danh sách store được lọc chỉ còn các store khớp tên/quận; không làm mất trạng thái bắt buộc của bước chọn store.</t>
        </is>
      </c>
      <c r="K12" s="8" t="inlineStr">
        <is>
          <t>Kết quả lọc đúng, không ảnh hưởng tính bắt buộc của bước chọn.</t>
        </is>
      </c>
      <c r="L12" s="8" t="n"/>
      <c r="M12" s="8" t="n"/>
    </row>
    <row r="13" hidden="1" ht="45.75" customHeight="1" s="23">
      <c r="A13" s="25" t="n">
        <v>11</v>
      </c>
      <c r="B13" s="25" t="inlineStr">
        <is>
          <t>SCR-ONB-03-SC4</t>
        </is>
      </c>
      <c r="C13" s="25" t="inlineStr">
        <is>
          <t>SCR-ONB-03</t>
        </is>
      </c>
      <c r="D13" s="25" t="inlineStr">
        <is>
          <t>ONB - Onboarding</t>
        </is>
      </c>
      <c r="E13" s="25" t="inlineStr">
        <is>
          <t>ONB-05</t>
        </is>
      </c>
      <c r="F13" s="25" t="inlineStr">
        <is>
          <t>Edge</t>
        </is>
      </c>
      <c r="G13" s="25" t="inlineStr">
        <is>
          <t>Gõ từ khoá tìm kiếm KHÔNG khớp store nào (0 kết quả).</t>
        </is>
      </c>
      <c r="H13" s="25" t="inlineStr">
        <is>
          <t>Nhập 'Vũng Tàu' (không có store LOTTE MART nào khớp) vào ô tìm kiếm.</t>
        </is>
      </c>
      <c r="I13" s="25" t="inlineStr">
        <is>
          <t>Đang ở màn hình chọn store (cả 2 state A/B).</t>
        </is>
      </c>
      <c r="J13" s="25" t="inlineStr">
        <is>
          <t>TBD - SRS chưa mô tả trạng thái 0 kết quả (màn hình trống trơn, hay có thông báo 'Không tìm thấy store phù hợp'?). Ghi nhận hành vi thực tế và đối chiếu với câu trả lời QnA-40 khi có.</t>
        </is>
      </c>
      <c r="K13" s="25" t="inlineStr">
        <is>
          <t>TBD - cần câu trả lời QnA-40 trước khi chốt Acceptance Criteria.</t>
        </is>
      </c>
      <c r="L13" s="25" t="inlineStr">
        <is>
          <t>QnA-40</t>
        </is>
      </c>
      <c r="M13" s="25" t="inlineStr">
        <is>
          <t>Bổ sung theo Review 26/08/2026 - đóng gap đã ghi nhận từ lần review trước (Ghi chu Review (QC) cũ trên SCR-ONB-03-SC3-TC1).</t>
        </is>
      </c>
    </row>
    <row r="14" hidden="1" ht="45.75" customHeight="1" s="23">
      <c r="A14" s="25" t="n">
        <v>12</v>
      </c>
      <c r="B14" s="25" t="inlineStr">
        <is>
          <t>SCR-ONB-03-SC5</t>
        </is>
      </c>
      <c r="C14" s="25" t="inlineStr">
        <is>
          <t>SCR-ONB-03</t>
        </is>
      </c>
      <c r="D14" s="25" t="inlineStr">
        <is>
          <t>ONB - Onboarding</t>
        </is>
      </c>
      <c r="E14" s="25" t="inlineStr">
        <is>
          <t>ONB-05</t>
        </is>
      </c>
      <c r="F14" s="25" t="inlineStr">
        <is>
          <t>Boundary</t>
        </is>
      </c>
      <c r="G14" s="25" t="inlineStr">
        <is>
          <t>Vị trí Allowed, GPS mô phỏng vị trí có 2 store cách đều (khoảng cách bằng nhau hoặc cùng làm tròn về 1 số).</t>
        </is>
      </c>
      <c r="H14" s="25" t="inlineStr">
        <is>
          <t>Toạ độ GPS giả lập cách đều LOTTE Mart Nam Sài Gòn và 1 store khác (ví dụ cùng 2.1 km).</t>
        </is>
      </c>
      <c r="I14" s="25" t="inlineStr">
        <is>
          <t>Quyền vị trí = Allowed; dữ liệu test có ít nhất 2 store cùng khoảng cách tới vị trí giả lập.</t>
        </is>
      </c>
      <c r="J14" s="25" t="inlineStr">
        <is>
          <t>TBD - SRS/BRL-02 chỉ nói "nearest store... pre-selected", không có quy tắc tie-break khi khoảng cách bằng nhau. Ghi nhận store nào thực tế được pre-select và đối chiếu với câu trả lời QnA-45.</t>
        </is>
      </c>
      <c r="K14" s="25" t="inlineStr">
        <is>
          <t>TBD - chờ QnA-45 xác nhận quy tắc tie-break chính thức.</t>
        </is>
      </c>
      <c r="L14" s="25" t="inlineStr">
        <is>
          <t>QnA-45</t>
        </is>
      </c>
      <c r="M14" s="25" t="inlineStr">
        <is>
          <t>Bổ sung theo yêu cầu review 26/08/2026 - làm rõ câu hỏi "GPS như thế nào được xác định là nearest, case khoảng cách bằng nhau ưu tiên store nào".</t>
        </is>
      </c>
    </row>
    <row r="15" hidden="1" ht="45.75" customHeight="1" s="23">
      <c r="A15" s="25" t="n">
        <v>13</v>
      </c>
      <c r="B15" s="25" t="inlineStr">
        <is>
          <t>SCR-ONB-03-SC6</t>
        </is>
      </c>
      <c r="C15" s="25" t="inlineStr">
        <is>
          <t>SCR-ONB-03</t>
        </is>
      </c>
      <c r="D15" s="25" t="inlineStr">
        <is>
          <t>ONB - Onboarding</t>
        </is>
      </c>
      <c r="E15" s="25" t="inlineStr">
        <is>
          <t>ONB-05</t>
        </is>
      </c>
      <c r="F15" s="25" t="inlineStr">
        <is>
          <t>Functional</t>
        </is>
      </c>
      <c r="G15" s="25" t="inlineStr">
        <is>
          <t>Dùng ô tìm kiếm store theo tên quận, và quan sát nhãn địa giới hiển thị trên danh sách store (kể cả store được pre-select theo GPS).</t>
        </is>
      </c>
      <c r="H15" s="25" t="inlineStr">
        <is>
          <t>Nhập tên quận theo địa giới CŨ (ví dụ 'Thủ Đức' hoặc tên quận đã sáp nhập) vào ô tìm kiếm.</t>
        </is>
      </c>
      <c r="I15" s="25" t="inlineStr">
        <is>
          <t>Đang ở màn hình chọn store (State A hoặc B); dữ liệu store backend đã được cấu hình sẵn (chưa rõ theo địa giới cũ hay mới).</t>
        </is>
      </c>
      <c r="J15" s="25" t="inlineStr">
        <is>
          <t>TBD - SRS/Figma hiện dùng nhãn địa giới kiểu cũ ("Q.7", "Q.11"...) làm demo, chưa xác nhận dữ liệu backend thực tế dùng địa giới hành chính CŨ hay MỚI (sau sáp nhập tỉnh/thành 2025). Ghi nhận hành vi thực tế của tìm kiếm/nhãn hiển thị, đối chiếu QnA-46.</t>
        </is>
      </c>
      <c r="K15" s="25" t="inlineStr">
        <is>
          <t>TBD - chờ QnA-46 xác nhận nguồn dữ liệu địa giới hành chính dùng cho GPS/tìm kiếm store.</t>
        </is>
      </c>
      <c r="L15" s="25" t="inlineStr">
        <is>
          <t>QnA-46</t>
        </is>
      </c>
      <c r="M15" s="25" t="inlineStr">
        <is>
          <t>Bổ sung theo yêu cầu review 26/08/2026.</t>
        </is>
      </c>
    </row>
    <row r="16" hidden="1" ht="45.75" customHeight="1" s="23">
      <c r="A16" s="25" t="n">
        <v>14</v>
      </c>
      <c r="B16" s="25" t="inlineStr">
        <is>
          <t>SCR-ONB-03-SC7</t>
        </is>
      </c>
      <c r="C16" s="25" t="inlineStr">
        <is>
          <t>SCR-ONB-03</t>
        </is>
      </c>
      <c r="D16" s="25" t="inlineStr">
        <is>
          <t>ONB - Onboarding</t>
        </is>
      </c>
      <c r="E16" s="25" t="inlineStr">
        <is>
          <t>ONB-05</t>
        </is>
      </c>
      <c r="F16" s="25" t="inlineStr">
        <is>
          <t>Edge</t>
        </is>
      </c>
      <c r="G16" s="25" t="inlineStr">
        <is>
          <t>Tắt hẳn ứng dụng khi đang ở màn chọn store bắt buộc nhưng CHƯA bấm Continue, sau đó mở lại app.</t>
        </is>
      </c>
      <c r="H16" s="25" t="inlineStr">
        <is>
          <t>Kill app khi đang ở SCR-ONB-03 (đã hoặc chưa chọn store thủ công); mở lại app từ icon.</t>
        </is>
      </c>
      <c r="I16" s="25" t="inlineStr">
        <is>
          <t>Đã qua bước xin quyền (SCR-ONB-02), đang ở SCR-ONB-03, chưa bấm Continue.</t>
        </is>
      </c>
      <c r="J16" s="25" t="inlineStr">
        <is>
          <t>TBD - SRS không mô tả. Cần ghi nhận: app có giữ lại lựa chọn store đã chọn (nếu có) khi mở lại, hay quay về từ đầu Onboarding, hay giữ nguyên đúng màn SCR-ONB-03 nhưng mất lựa chọn đã chọn. Đối chiếu QnA-47.</t>
        </is>
      </c>
      <c r="K16" s="25" t="inlineStr">
        <is>
          <t>TBD - chờ QnA-47.</t>
        </is>
      </c>
      <c r="L16" s="25" t="inlineStr">
        <is>
          <t>QnA-47</t>
        </is>
      </c>
      <c r="M16" s="25" t="inlineStr">
        <is>
          <t>Bổ sung theo yêu cầu review 26/08/2026 - cùng câu hỏi QnA-47 với SCR-ONB-02-SC5 (tắt app giữa Onboarding) nhưng ở bước chọn store.</t>
        </is>
      </c>
    </row>
    <row r="17" hidden="1" ht="45.75" customHeight="1" s="23">
      <c r="A17" s="25" t="n">
        <v>15</v>
      </c>
      <c r="B17" s="25" t="inlineStr">
        <is>
          <t>SCR-ONB-04-SC1</t>
        </is>
      </c>
      <c r="C17" s="25" t="inlineStr">
        <is>
          <t>SCR-ONB-04</t>
        </is>
      </c>
      <c r="D17" s="25" t="inlineStr">
        <is>
          <t>ONB - Onboarding</t>
        </is>
      </c>
      <c r="E17" s="25" t="inlineStr">
        <is>
          <t>ONB-06</t>
        </is>
      </c>
      <c r="F17" s="25" t="inlineStr">
        <is>
          <t>Normal</t>
        </is>
      </c>
      <c r="G17" s="25" t="inlineStr">
        <is>
          <t>Vượt qua 3 màn hình giới thiệu bằng vuốt (swipe) hoặc bấm Next, xem progress dot cập nhật đúng.</t>
        </is>
      </c>
      <c r="H17" s="25" t="inlineStr">
        <is>
          <t>Vuốt trái liên tiếp từ màn 1 sang màn 3.</t>
        </is>
      </c>
      <c r="I17" s="25" t="inlineStr">
        <is>
          <t>Đã hoàn tất chọn store bắt buộc ở SCR-ONB-03.</t>
        </is>
      </c>
      <c r="J17" s="25" t="inlineStr">
        <is>
          <t>3 chấm progress hiện đúng vị trí hiện tại (chấm active được kéo dài); vuốt trái/phải di chuyển cả 2 chiều; màn 3 đổi nút chính thành 'Start shopping'.</t>
        </is>
      </c>
      <c r="K17" s="25" t="inlineStr">
        <is>
          <t>Điều hướng carousel mượt, đúng thứ tự 3 màn.</t>
        </is>
      </c>
      <c r="L17" s="25" t="inlineStr">
        <is>
          <t>QnA-06</t>
        </is>
      </c>
      <c r="M17" s="25" t="inlineStr">
        <is>
          <t>Nội dung/artwork 3 màn hình đang là đề xuất của BA, chưa được LOTTE MART xác nhận (QnA-06).</t>
        </is>
      </c>
    </row>
    <row r="18" hidden="1" ht="45.75" customHeight="1" s="23">
      <c r="A18" s="8" t="n">
        <v>16</v>
      </c>
      <c r="B18" s="8" t="inlineStr">
        <is>
          <t>SCR-ONB-04-SC2</t>
        </is>
      </c>
      <c r="C18" s="8" t="inlineStr">
        <is>
          <t>SCR-ONB-04</t>
        </is>
      </c>
      <c r="D18" s="8" t="inlineStr">
        <is>
          <t>ONB - Onboarding</t>
        </is>
      </c>
      <c r="E18" s="8" t="inlineStr">
        <is>
          <t>ONB-06, ONB-07</t>
        </is>
      </c>
      <c r="F18" s="8" t="inlineStr">
        <is>
          <t>Normal</t>
        </is>
      </c>
      <c r="G18" s="8" t="inlineStr">
        <is>
          <t>Bấm Skip ngay từ màn giới thiệu đầu tiên.</t>
        </is>
      </c>
      <c r="H18" s="8" t="inlineStr">
        <is>
          <t>Bấm Skip tại màn 1/3.</t>
        </is>
      </c>
      <c r="I18" s="8" t="inlineStr">
        <is>
          <t>Đang ở SCR-ONB-04 màn 1.</t>
        </is>
      </c>
      <c r="J18" s="8" t="inlineStr">
        <is>
          <t>Hệ thống bỏ qua toàn bộ các màn còn lại và vào thẳng Homepage (SCR-HOM-01) ở trạng thái Guest, hiển thị theo đúng store đã chọn ở SCR-ONB-03 (ONB-07, BR-03).</t>
        </is>
      </c>
      <c r="K18" s="8" t="inlineStr">
        <is>
          <t>Skip luôn đưa thẳng về Homepage bất kể đang ở màn nào trong 3 màn.</t>
        </is>
      </c>
      <c r="L18" s="8" t="n"/>
      <c r="M18" s="8" t="inlineStr">
        <is>
          <t>Carousel không bao giờ là bước bắt buộc (khác với bước chọn store).</t>
        </is>
      </c>
    </row>
    <row r="19" hidden="1" ht="45.75" customHeight="1" s="23">
      <c r="A19" s="25" t="n">
        <v>17</v>
      </c>
      <c r="B19" s="25" t="inlineStr">
        <is>
          <t>SCR-ONB-04-SC3</t>
        </is>
      </c>
      <c r="C19" s="25" t="inlineStr">
        <is>
          <t>SCR-ONB-04</t>
        </is>
      </c>
      <c r="D19" s="25" t="inlineStr">
        <is>
          <t>ONB - Onboarding</t>
        </is>
      </c>
      <c r="E19" s="25" t="inlineStr">
        <is>
          <t>ONB-06</t>
        </is>
      </c>
      <c r="F19" s="25" t="inlineStr">
        <is>
          <t>Edge</t>
        </is>
      </c>
      <c r="G19" s="25" t="inlineStr">
        <is>
          <t>Tắt hẳn ứng dụng khi đang ở giữa carousel giới thiệu (màn 2/3), sau đó mở lại app.</t>
        </is>
      </c>
      <c r="H19" s="25" t="inlineStr">
        <is>
          <t>Kill app ở màn carousel 2/3; mở lại app từ icon.</t>
        </is>
      </c>
      <c r="I19" s="25" t="inlineStr">
        <is>
          <t>Đã hoàn tất chọn store bắt buộc ở SCR-ONB-03, đang ở carousel màn 2/3.</t>
        </is>
      </c>
      <c r="J19" s="25" t="inlineStr">
        <is>
          <t>TBD - SRS chỉ nói carousel "shown on first launch only", không định nghĩa rõ khi app bị tắt giữa chừng thì lần mở lại có tính là "first launch" tiếp theo hay không. Ghi nhận hành vi thực tế (tiếp tục carousel dở dang / vào thẳng Homepage / carousel lại từ đầu), đối chiếu QnA-48.</t>
        </is>
      </c>
      <c r="K19" s="25" t="inlineStr">
        <is>
          <t>TBD - chờ QnA-48.</t>
        </is>
      </c>
      <c r="L19" s="25" t="inlineStr">
        <is>
          <t>QnA-48</t>
        </is>
      </c>
      <c r="M19" s="25" t="inlineStr">
        <is>
          <t>Bổ sung theo yêu cầu review 26/08/2026.</t>
        </is>
      </c>
    </row>
    <row r="20" hidden="1" ht="45.75" customHeight="1" s="23">
      <c r="A20" s="8" t="n">
        <v>18</v>
      </c>
      <c r="B20" s="8" t="inlineStr">
        <is>
          <t>SCR-HOM-01-SC1</t>
        </is>
      </c>
      <c r="C20" s="8" t="inlineStr">
        <is>
          <t>SCR-HOM-01</t>
        </is>
      </c>
      <c r="D20" s="8" t="inlineStr">
        <is>
          <t>HP - Homepage &amp; Login Gate</t>
        </is>
      </c>
      <c r="E20" s="8" t="inlineStr">
        <is>
          <t>HP-01, HP-04</t>
        </is>
      </c>
      <c r="F20" s="8" t="inlineStr">
        <is>
          <t>Normal</t>
        </is>
      </c>
      <c r="G20" s="8" t="inlineStr">
        <is>
          <t>Xem Homepage khi Guest CHƯA có địa chỉ (State A).</t>
        </is>
      </c>
      <c r="H20" s="8" t="inlineStr">
        <is>
          <t>Không nhập địa chỉ.</t>
        </is>
      </c>
      <c r="I20" s="8" t="inlineStr">
        <is>
          <t>Guest vừa hoàn tất Onboarding, chưa tạo địa chỉ.</t>
        </is>
      </c>
      <c r="J20" s="8" t="inlineStr">
        <is>
          <t>Header hiện 'Choose delivery address', ước tính giao hàng hiện Standard + slot sớm nhất của store đã chọn (ước tính theo store, không phải theo địa chỉ); danh mục/giá/khuyến mãi hiện theo đúng store đã chọn ở Onboarding (BRL-01); không yêu cầu đăng nhập để duyệt (BR-04).</t>
        </is>
      </c>
      <c r="K20" s="8" t="inlineStr">
        <is>
          <t>Guest duyệt được toàn bộ Homepage không bị chặn bởi địa chỉ hay đăng nhập.</t>
        </is>
      </c>
      <c r="L20" s="8" t="n"/>
      <c r="M20" s="8" t="n"/>
    </row>
    <row r="21" hidden="1" ht="45.75" customHeight="1" s="23">
      <c r="A21" s="8" t="n">
        <v>19</v>
      </c>
      <c r="B21" s="8" t="inlineStr">
        <is>
          <t>SCR-HOM-01-SC2</t>
        </is>
      </c>
      <c r="C21" s="8" t="inlineStr">
        <is>
          <t>SCR-HOM-01</t>
        </is>
      </c>
      <c r="D21" s="8" t="inlineStr">
        <is>
          <t>HP - Homepage &amp; Login Gate</t>
        </is>
      </c>
      <c r="E21" s="8" t="inlineStr">
        <is>
          <t>HP-01, HP-04</t>
        </is>
      </c>
      <c r="F21" s="8" t="inlineStr">
        <is>
          <t>Normal</t>
        </is>
      </c>
      <c r="G21" s="8" t="inlineStr">
        <is>
          <t>Xem Homepage khi Guest ĐÃ có địa chỉ trong vùng 60-Minute (State B).</t>
        </is>
      </c>
      <c r="H21" s="8" t="inlineStr">
        <is>
          <t>Địa chỉ đã lưu nằm trong bán kính 3-5km của store.</t>
        </is>
      </c>
      <c r="I21" s="8" t="inlineStr">
        <is>
          <t>Guest đã tạo 1 địa chỉ qua SCR-HOM-02, địa chỉ nằm trong bán kính 60-Minute của store hiện tại.</t>
        </is>
      </c>
      <c r="J21" s="8" t="inlineStr">
        <is>
          <t>Header hiện đúng địa chỉ đã lưu, ước tính đổi thành 'Standard - hôm nay HH:MM-HH:MM' kèm banner '60-Minute delivery is available for this address'; Standard vẫn là lựa chọn mặc định, 60-Minute chỉ là đề xuất (BRL-10).</t>
        </is>
      </c>
      <c r="K21" s="8" t="inlineStr">
        <is>
          <t>Banner 60-Minute chỉ xuất hiện khi vùng phủ cho phép, không tự động chuyển sang 60-Minute.</t>
        </is>
      </c>
      <c r="L21" s="8" t="n"/>
      <c r="M21" s="8" t="n"/>
    </row>
    <row r="22" hidden="1" ht="45.75" customHeight="1" s="23">
      <c r="A22" s="8" t="n">
        <v>20</v>
      </c>
      <c r="B22" s="8" t="inlineStr">
        <is>
          <t>SCR-HOM-01-SC3</t>
        </is>
      </c>
      <c r="C22" s="8" t="inlineStr">
        <is>
          <t>SCR-HOM-01</t>
        </is>
      </c>
      <c r="D22" s="8" t="inlineStr">
        <is>
          <t>HP - Homepage &amp; Login Gate</t>
        </is>
      </c>
      <c r="E22" s="8" t="inlineStr">
        <is>
          <t>HP-01, BR-06</t>
        </is>
      </c>
      <c r="F22" s="8" t="inlineStr">
        <is>
          <t>Functional</t>
        </is>
      </c>
      <c r="G22" s="8" t="inlineStr">
        <is>
          <t>Kiểm tra hiển thị giá kép (dual pricing) Guest/Member trên sản phẩm nổi bật khi là Guest.</t>
        </is>
      </c>
      <c r="H22" s="8" t="inlineStr">
        <is>
          <t>Xem danh sách 'Best sellers at this store'.</t>
        </is>
      </c>
      <c r="I22" s="8" t="inlineStr">
        <is>
          <t>Đang ở Homepage, trạng thái Guest, có sản phẩm có cả 2 mức giá.</t>
        </is>
      </c>
      <c r="J22" s="8" t="inlineStr">
        <is>
          <t>Với SKU có cả 2 mức giá, cả giá Guest và giá Member đều hiển thị cùng lúc, thể hiện lợi ích của việc đăng nhập trước khi đăng ký (BR-06).</t>
        </is>
      </c>
      <c r="K22" s="8" t="inlineStr">
        <is>
          <t>Cả 2 mức giá hiển thị đồng thời, không bị ẩn giá nào.</t>
        </is>
      </c>
      <c r="L22" s="8" t="n"/>
      <c r="M22" s="8" t="n"/>
    </row>
    <row r="23" hidden="1" ht="45.75" customHeight="1" s="23">
      <c r="A23" s="8" t="n">
        <v>21</v>
      </c>
      <c r="B23" s="8" t="inlineStr">
        <is>
          <t>SCR-HOM-02-SC1</t>
        </is>
      </c>
      <c r="C23" s="8" t="inlineStr">
        <is>
          <t>SCR-HOM-02</t>
        </is>
      </c>
      <c r="D23" s="8" t="inlineStr">
        <is>
          <t>HP - Homepage &amp; Login Gate</t>
        </is>
      </c>
      <c r="E23" s="8" t="inlineStr">
        <is>
          <t>HP-02, HP-03</t>
        </is>
      </c>
      <c r="F23" s="8" t="inlineStr">
        <is>
          <t>Normal</t>
        </is>
      </c>
      <c r="G23" s="8" t="inlineStr">
        <is>
          <t>Guest tạo địa chỉ giao hàng mới bằng GPS pre-fill rồi tự bổ sung số nhà/tầng/toà.</t>
        </is>
      </c>
      <c r="H23" s="8" t="inlineStr">
        <is>
          <t>Chạm 'Use my location', bổ sung số nhà/tầng, lưu.</t>
        </is>
      </c>
      <c r="I23" s="8" t="inlineStr">
        <is>
          <t>Guest chưa có địa chỉ, đang ở SCR-HOM-02 (form không có trường người nhận).</t>
        </is>
      </c>
      <c r="J23" s="8" t="inlineStr">
        <is>
          <t>GPS chỉ pre-fill gợi ý địa chỉ; khách BẮT BUỘC phải xem lại và bổ sung chi tiết GPS không biết được (số nhà, tầng, block) rồi mới Save (HP-02, BRL-03). Form Guest KHÔNG có trường tên/SĐT người nhận.</t>
        </is>
      </c>
      <c r="K23" s="8" t="inlineStr">
        <is>
          <t>Địa chỉ không được tự động chấp nhận từ GPS mà phải qua xác nhận của khách.</t>
        </is>
      </c>
      <c r="L23" s="8" t="n"/>
      <c r="M23" s="8" t="n"/>
    </row>
    <row r="24" hidden="1" ht="45.75" customHeight="1" s="23">
      <c r="A24" s="8" t="n">
        <v>22</v>
      </c>
      <c r="B24" s="8" t="inlineStr">
        <is>
          <t>SCR-HOM-02-SC2</t>
        </is>
      </c>
      <c r="C24" s="8" t="inlineStr">
        <is>
          <t>SCR-HOM-02</t>
        </is>
      </c>
      <c r="D24" s="8" t="inlineStr">
        <is>
          <t>HP - Homepage &amp; Login Gate</t>
        </is>
      </c>
      <c r="E24" s="8" t="inlineStr">
        <is>
          <t>HP-03</t>
        </is>
      </c>
      <c r="F24" s="8" t="inlineStr">
        <is>
          <t>Validation</t>
        </is>
      </c>
      <c r="G24" s="8" t="inlineStr">
        <is>
          <t>Member tạo địa chỉ: trường tên và SĐT người nhận là bắt buộc, được mặc định từ tài khoản.</t>
        </is>
      </c>
      <c r="H24" s="8" t="inlineStr">
        <is>
          <t>Xoá trống trường tên người nhận, thử Save.</t>
        </is>
      </c>
      <c r="I24" s="8" t="inlineStr">
        <is>
          <t>Đã đăng nhập (Member), đang ở SCR-HOM-02 State B.</t>
        </is>
      </c>
      <c r="J24" s="8" t="inlineStr">
        <is>
          <t>Tên và SĐT người nhận được mặc định điền sẵn từ tài khoản nhưng có thể sửa; đây là trường bắt buộc đối với Member (khác Guest); Save bị chặn nếu để trống tên hoặc SĐT.</t>
        </is>
      </c>
      <c r="K24" s="8" t="inlineStr">
        <is>
          <t>Validation bắt buộc đúng cho trường tên/SĐT khi là Member; Guest không bị yêu cầu 2 trường này.</t>
        </is>
      </c>
      <c r="L24" s="8" t="n"/>
      <c r="M24" s="8" t="n"/>
    </row>
    <row r="25" hidden="1" ht="45.75" customHeight="1" s="23">
      <c r="A25" s="8" t="n">
        <v>23</v>
      </c>
      <c r="B25" s="8" t="inlineStr">
        <is>
          <t>SCR-HOM-02-SC3</t>
        </is>
      </c>
      <c r="C25" s="8" t="inlineStr">
        <is>
          <t>SCR-HOM-02</t>
        </is>
      </c>
      <c r="D25" s="8" t="inlineStr">
        <is>
          <t>HP - Homepage &amp; Login Gate</t>
        </is>
      </c>
      <c r="E25" s="8" t="inlineStr">
        <is>
          <t>HP-04, HP-05</t>
        </is>
      </c>
      <c r="F25" s="8" t="inlineStr">
        <is>
          <t>Functional</t>
        </is>
      </c>
      <c r="G25" s="8" t="inlineStr">
        <is>
          <t>Lưu địa chỉ xong, ước tính giao hàng trên header được tính lại ngay lập tức.</t>
        </is>
      </c>
      <c r="H25" s="8" t="inlineStr">
        <is>
          <t>Lưu 1 địa chỉ hợp lệ nằm ngoài mọi vùng phục vụ.</t>
        </is>
      </c>
      <c r="I25" s="8" t="inlineStr">
        <is>
          <t>Đang ở SCR-HOM-02, nhập địa chỉ nằm ngoài bán kính Standard và ngoài mọi khu vực Next-day.</t>
        </is>
      </c>
      <c r="J25" s="8" t="inlineStr">
        <is>
          <t>Sau Save, header chuyển sang trạng thái 'không được phục vụ': không hiện ngày/giờ giao, chỉ hiện thông báo + CTA 'Change address'; duyệt và Pickup vẫn hoạt động bình thường.</t>
        </is>
      </c>
      <c r="K25" s="8" t="inlineStr">
        <is>
          <t>Hệ thống phải phát hiện và hiện đúng trạng thái 'not served' ngay sau khi lưu địa chỉ (SCR-HOM-05 state D).</t>
        </is>
      </c>
      <c r="L25" s="8" t="n"/>
      <c r="M25" s="8" t="n"/>
    </row>
    <row r="26" hidden="1" ht="45.75" customHeight="1" s="23">
      <c r="A26" s="8" t="n">
        <v>24</v>
      </c>
      <c r="B26" s="8" t="inlineStr">
        <is>
          <t>SCR-HOM-03-SC1</t>
        </is>
      </c>
      <c r="C26" s="8" t="inlineStr">
        <is>
          <t>SCR-HOM-03</t>
        </is>
      </c>
      <c r="D26" s="8" t="inlineStr">
        <is>
          <t>HP - Homepage &amp; Login Gate</t>
        </is>
      </c>
      <c r="E26" s="8" t="inlineStr">
        <is>
          <t>HP-09</t>
        </is>
      </c>
      <c r="F26" s="8" t="inlineStr">
        <is>
          <t>Normal</t>
        </is>
      </c>
      <c r="G26" s="8" t="inlineStr">
        <is>
          <t>Chọn 1 địa chỉ đã lưu khác mà store hiện tại VẪN phục vụ được.</t>
        </is>
      </c>
      <c r="H26" s="8" t="inlineStr">
        <is>
          <t>Chọn địa chỉ 'Office' (vẫn do Nam Sài Gòn phục vụ).</t>
        </is>
      </c>
      <c r="I26" s="8" t="inlineStr">
        <is>
          <t>Tài khoản có &gt;=2 địa chỉ đã lưu, địa chỉ mới chọn vẫn thuộc vùng phục vụ của store hiện tại.</t>
        </is>
      </c>
      <c r="J26" s="8" t="inlineStr">
        <is>
          <t>Store được GIỮ NGUYÊN, chỉ địa chỉ và ước tính giao hàng được làm mới; KHÔNG có dialog xác nhận nào (thay đổi áp dụng ngay, BRL-09).</t>
        </is>
      </c>
      <c r="K26" s="8" t="inlineStr">
        <is>
          <t>Đổi địa chỉ cùng store luôn không cần xác nhận.</t>
        </is>
      </c>
      <c r="L26" s="8" t="n"/>
      <c r="M26" s="8" t="n"/>
    </row>
    <row r="27" hidden="1" ht="45.75" customHeight="1" s="23">
      <c r="A27" s="25" t="n">
        <v>25</v>
      </c>
      <c r="B27" s="25" t="inlineStr">
        <is>
          <t>SCR-HOM-03-SC2</t>
        </is>
      </c>
      <c r="C27" s="25" t="inlineStr">
        <is>
          <t>SCR-HOM-03</t>
        </is>
      </c>
      <c r="D27" s="25" t="inlineStr">
        <is>
          <t>HP - Homepage &amp; Login Gate</t>
        </is>
      </c>
      <c r="E27" s="25" t="inlineStr">
        <is>
          <t>HP-09</t>
        </is>
      </c>
      <c r="F27" s="25" t="inlineStr">
        <is>
          <t>Edge</t>
        </is>
      </c>
      <c r="G27" s="25" t="inlineStr">
        <is>
          <t>Chọn 1 địa chỉ đã lưu mà store hiện tại KHÔNG còn phục vụ được (ví dụ địa chỉ ở Hà Nội).</t>
        </is>
      </c>
      <c r="H27" s="25" t="inlineStr">
        <is>
          <t>Chọn địa chỉ 'Parents' (Hà Nội, thuộc vùng Next-day của store khác).</t>
        </is>
      </c>
      <c r="I27" s="25" t="inlineStr">
        <is>
          <t>Tài khoản có địa chỉ ở khu vực khác tỉnh/thành với store hiện tại.</t>
        </is>
      </c>
      <c r="J27" s="25" t="inlineStr">
        <is>
          <t>Hệ thống TỰ ĐỘNG chuyển sang store phục vụ được địa chỉ đó mà KHÔNG hỏi xác nhận (nếu chỉ 1 store phù hợp, chuyển thẳng; nếu nhiều store phù hợp, chọn store gần nhất); hiện toast báo 'Store changed to [tên store]'; ước tính giao hàng tính lại theo cặp store-địa chỉ mới.</t>
        </is>
      </c>
      <c r="K27" s="25" t="inlineStr">
        <is>
          <t>Chuyển store tự động trên Homepage không cần Confirm/Cancel (khác với trong Cart - SCR-CRT-06).</t>
        </is>
      </c>
      <c r="L27" s="25" t="inlineStr">
        <is>
          <t>QnA-01</t>
        </is>
      </c>
      <c r="M27" s="25" t="inlineStr">
        <is>
          <t>Nếu địa chỉ vừa chọn lại không còn hợp lệ (ví dụ bị xoá) sau khi đổi store khác, thứ tự ưu tiên chọn địa chỉ thay thế vẫn là OQ-01/QnA-01, hiện là đề xuất tạm thời của BA.</t>
        </is>
      </c>
    </row>
    <row r="28" hidden="1" ht="45.75" customHeight="1" s="23">
      <c r="A28" s="8" t="n">
        <v>26</v>
      </c>
      <c r="B28" s="8" t="inlineStr">
        <is>
          <t>SCR-HOM-04-SC1</t>
        </is>
      </c>
      <c r="C28" s="8" t="inlineStr">
        <is>
          <t>SCR-HOM-04</t>
        </is>
      </c>
      <c r="D28" s="8" t="inlineStr">
        <is>
          <t>HP - Homepage &amp; Login Gate</t>
        </is>
      </c>
      <c r="E28" s="8" t="inlineStr">
        <is>
          <t>HP-08</t>
        </is>
      </c>
      <c r="F28" s="8" t="inlineStr">
        <is>
          <t>Normal</t>
        </is>
      </c>
      <c r="G28" s="8" t="inlineStr">
        <is>
          <t>Đổi store từ header Homepage, địa chỉ hiện tại vẫn còn trong vùng phục vụ của store mới.</t>
        </is>
      </c>
      <c r="H28" s="8" t="inlineStr">
        <is>
          <t>Chọn 'LOTTE Mart Tân Bình' trong khi địa chỉ vẫn trong Standard radius của store mới.</t>
        </is>
      </c>
      <c r="I28" s="8" t="inlineStr">
        <is>
          <t>Đang có địa chỉ 'Standard only' phù hợp cả 2 store.</t>
        </is>
      </c>
      <c r="J28" s="8" t="inlineStr">
        <is>
          <t>Store đổi ngay lập tức, KHÔNG có dialog xác nhận (khác hẳn vị trí trong Cart); danh mục/giá/tồn kho re-render theo store mới.</t>
        </is>
      </c>
      <c r="K28" s="8" t="inlineStr">
        <is>
          <t>Đổi store trên Homepage luôn áp dụng ngay không cần Confirm (BRL-08).</t>
        </is>
      </c>
      <c r="L28" s="8" t="n"/>
      <c r="M28" s="8" t="n"/>
    </row>
    <row r="29" hidden="1" ht="45.75" customHeight="1" s="23">
      <c r="A29" s="25" t="n">
        <v>27</v>
      </c>
      <c r="B29" s="25" t="inlineStr">
        <is>
          <t>SCR-HOM-04-SC2</t>
        </is>
      </c>
      <c r="C29" s="25" t="inlineStr">
        <is>
          <t>SCR-HOM-04</t>
        </is>
      </c>
      <c r="D29" s="25" t="inlineStr">
        <is>
          <t>HP - Homepage &amp; Login Gate</t>
        </is>
      </c>
      <c r="E29" s="25" t="inlineStr">
        <is>
          <t>HP-08</t>
        </is>
      </c>
      <c r="F29" s="25" t="inlineStr">
        <is>
          <t>Edge</t>
        </is>
      </c>
      <c r="G29" s="25" t="inlineStr">
        <is>
          <t>Đổi store từ header Homepage khiến dịch vụ bị rớt hạng (ví dụ mất 60-Minute, chỉ còn Standard).</t>
        </is>
      </c>
      <c r="H29" s="25" t="inlineStr">
        <is>
          <t>Chọn store mới mà địa chỉ hiện tại chỉ còn nằm trong Standard radius (mất 60-Minute).</t>
        </is>
      </c>
      <c r="I29" s="25" t="inlineStr">
        <is>
          <t>Địa chỉ hiện tại đang ở vùng 60-Minute của store cũ.</t>
        </is>
      </c>
      <c r="J29" s="25" t="inlineStr">
        <is>
          <t>Hệ thống tự động fallback dịch vụ (rớt từ 60-Minute+Standard xuống chỉ còn Standard) VÀ hiện thông báo rõ ràng cho khách biết dịch vụ nào bị mất/được thêm (BRL-08) - không được âm thầm đổi.</t>
        </is>
      </c>
      <c r="K29" s="25" t="inlineStr">
        <is>
          <t>Thông báo fallback dịch vụ là bắt buộc, không được để khách tự phát hiện.</t>
        </is>
      </c>
      <c r="L29" s="25" t="inlineStr">
        <is>
          <t>QnA-01</t>
        </is>
      </c>
      <c r="M29" s="25" t="n"/>
    </row>
    <row r="30" hidden="1" ht="45.75" customHeight="1" s="23">
      <c r="A30" s="8" t="n">
        <v>28</v>
      </c>
      <c r="B30" s="8" t="inlineStr">
        <is>
          <t>SCR-HOM-04-SC3</t>
        </is>
      </c>
      <c r="C30" s="8" t="inlineStr">
        <is>
          <t>SCR-HOM-04</t>
        </is>
      </c>
      <c r="D30" s="8" t="inlineStr">
        <is>
          <t>HP - Homepage &amp; Login Gate</t>
        </is>
      </c>
      <c r="E30" s="8" t="inlineStr">
        <is>
          <t>HP-08</t>
        </is>
      </c>
      <c r="F30" s="8" t="inlineStr">
        <is>
          <t>Edge</t>
        </is>
      </c>
      <c r="G30" s="8" t="inlineStr">
        <is>
          <t>Store không thể giao đến địa chỉ hiện tại vẫn chọn được để duyệt/Pickup.</t>
        </is>
      </c>
      <c r="H30" s="8" t="inlineStr">
        <is>
          <t>Chọn 'LOTTE Mart Long Biên' trong khi địa chỉ là ở TP.HCM.</t>
        </is>
      </c>
      <c r="I30" s="8" t="inlineStr">
        <is>
          <t>Địa chỉ hiện tại (TP.HCM) nằm ngoài vùng phục vụ của store Hà Nội.</t>
        </is>
      </c>
      <c r="J30" s="8" t="inlineStr">
        <is>
          <t>Store vẫn đổi được (không bị chặn chọn); chỉ riêng Delivery cho địa chỉ hiện tại chuyển sang trạng thái 'not served', còn duyệt và Pickup vẫn hợp lệ bình thường tại store mới.</t>
        </is>
      </c>
      <c r="K30" s="8" t="inlineStr">
        <is>
          <t>Store không phục vụ được vẫn là 1 lựa chọn hợp lệ trong danh sách - chỉ ảnh hưởng Delivery.</t>
        </is>
      </c>
      <c r="L30" s="8" t="n"/>
      <c r="M30" s="8" t="n"/>
    </row>
    <row r="31" hidden="1" ht="45.75" customHeight="1" s="23">
      <c r="A31" s="8" t="n">
        <v>29</v>
      </c>
      <c r="B31" s="8" t="inlineStr">
        <is>
          <t>SCR-HOM-05-SC1</t>
        </is>
      </c>
      <c r="C31" s="8" t="inlineStr">
        <is>
          <t>SCR-HOM-05</t>
        </is>
      </c>
      <c r="D31" s="8" t="inlineStr">
        <is>
          <t>HP - Homepage &amp; Login Gate</t>
        </is>
      </c>
      <c r="E31" s="8" t="inlineStr">
        <is>
          <t>HP-04</t>
        </is>
      </c>
      <c r="F31" s="8" t="inlineStr">
        <is>
          <t>Boundary</t>
        </is>
      </c>
      <c r="G31" s="8" t="inlineStr">
        <is>
          <t>Kiểm tra đủ 4 trạng thái loại trừ lẫn nhau của ước tính giao hàng theo khoảng cách địa chỉ-store.</t>
        </is>
      </c>
      <c r="H31" s="8" t="inlineStr">
        <is>
          <t>4 địa chỉ mẫu: trong 3-5km / 10-15km / thuộc Next-day / ngoài mọi vùng.</t>
        </is>
      </c>
      <c r="I31" s="8" t="inlineStr">
        <is>
          <t>4 địa chỉ test đã được chuẩn bị sẵn khớp đúng 4 ngưỡng khoảng cách BRL-10/11/12.</t>
        </is>
      </c>
      <c r="J31" s="8" t="inlineStr">
        <is>
          <t>Bán kính 60-Minute (3-5km): hiện 60-Minute+Standard. Trong Standard (10-15km): chỉ Standard. Trong Next-day: chỉ ngày giao, không có khung giờ. Ngoài mọi vùng: không ngày/giờ, chỉ thông báo + CTA đổi địa chỉ.</t>
        </is>
      </c>
      <c r="K31" s="8" t="inlineStr">
        <is>
          <t>Đúng 4 trạng thái, không chồng lấn nhau, đúng ngưỡng cấu hình của từng store.</t>
        </is>
      </c>
      <c r="L31" s="8" t="n"/>
      <c r="M31" s="8" t="n"/>
    </row>
    <row r="32" hidden="1" ht="45.75" customHeight="1" s="23">
      <c r="A32" s="8" t="n">
        <v>30</v>
      </c>
      <c r="B32" s="8" t="inlineStr">
        <is>
          <t>SCR-HOM-06-SC1</t>
        </is>
      </c>
      <c r="C32" s="8" t="inlineStr">
        <is>
          <t>SCR-HOM-06</t>
        </is>
      </c>
      <c r="D32" s="8" t="inlineStr">
        <is>
          <t>HP - Homepage &amp; Login Gate</t>
        </is>
      </c>
      <c r="E32" s="8" t="inlineStr">
        <is>
          <t>HP-01, BR-06</t>
        </is>
      </c>
      <c r="F32" s="8" t="inlineStr">
        <is>
          <t>Normal</t>
        </is>
      </c>
      <c r="G32" s="8" t="inlineStr">
        <is>
          <t>Đăng nhập thành công, giá Member trở thành giá chính (thay vì giá Guest).</t>
        </is>
      </c>
      <c r="H32" s="8" t="inlineStr">
        <is>
          <t>Đăng nhập 1 tài khoản Member có dữ liệu tier/điểm/coupon.</t>
        </is>
      </c>
      <c r="I32" s="8" t="inlineStr">
        <is>
          <t>Vừa đăng nhập thành công.</t>
        </is>
      </c>
      <c r="J32" s="8" t="inlineStr">
        <is>
          <t>Strip thông tin Member (tên, tier, điểm, coupon) xuất hiện; giá Member được hiện làm giá chính, giá Guest bị làm mờ/thu nhỏ (ngược lại với trạng thái Guest).</t>
        </is>
      </c>
      <c r="K32" s="8" t="inlineStr">
        <is>
          <t>Chuyển đổi Guest&lt;-&gt;Member phải đổi đúng thứ tự ưu tiên giá hiển thị.</t>
        </is>
      </c>
      <c r="L32" s="8" t="n"/>
      <c r="M32" s="8" t="n"/>
    </row>
    <row r="33" hidden="1" ht="45.75" customHeight="1" s="23">
      <c r="A33" s="25" t="n">
        <v>31</v>
      </c>
      <c r="B33" s="25" t="inlineStr">
        <is>
          <t>SCR-HOM-06-SC2</t>
        </is>
      </c>
      <c r="C33" s="25" t="inlineStr">
        <is>
          <t>SCR-HOM-06</t>
        </is>
      </c>
      <c r="D33" s="25" t="inlineStr">
        <is>
          <t>HP - Homepage &amp; Login Gate</t>
        </is>
      </c>
      <c r="E33" s="25" t="inlineStr">
        <is>
          <t>HP-10, NFR-03</t>
        </is>
      </c>
      <c r="F33" s="25" t="inlineStr">
        <is>
          <t>Normal</t>
        </is>
      </c>
      <c r="G33" s="25" t="inlineStr">
        <is>
          <t>Đăng xuất: store được giữ lại, địa chỉ bị xoá.</t>
        </is>
      </c>
      <c r="H33" s="25" t="inlineStr">
        <is>
          <t>Bấm Logout, xác nhận trong dialog.</t>
        </is>
      </c>
      <c r="I33" s="25" t="inlineStr">
        <is>
          <t>Đang đăng nhập, có địa chỉ đã lưu và đã chọn.</t>
        </is>
      </c>
      <c r="J33" s="25" t="inlineStr">
        <is>
          <t>Sau khi xác nhận logout: quay về SCR-HOM-01 State A - CÙNG STORE được giữ nguyên (không phải dữ liệu cá nhân, luôn cần để duyệt - NFR-03), địa chỉ bị XOÁ khỏi màn hình (để không lộ cho người dùng kế tiếp trên thiết bị dùng chung); Cart icon vẫn hiển thị.</t>
        </is>
      </c>
      <c r="K33" s="25" t="inlineStr">
        <is>
          <t>Logout phải giữ store và xoá địa chỉ - không được làm ngược lại.</t>
        </is>
      </c>
      <c r="L33" s="25" t="inlineStr">
        <is>
          <t>QnA-26</t>
        </is>
      </c>
      <c r="M33" s="25" t="inlineStr">
        <is>
          <t>Địa chỉ nào sẽ active khi đăng nhập lại (cùng tài khoản hoặc tài khoản khác) vẫn còn là OQ-26/QnA-26 - hiện tại đề xuất tạm thời là không active địa chỉ nào, để khách tự chọn.</t>
        </is>
      </c>
    </row>
    <row r="34" hidden="1" ht="45.75" customHeight="1" s="23">
      <c r="A34" s="8" t="n">
        <v>32</v>
      </c>
      <c r="B34" s="8" t="inlineStr">
        <is>
          <t>SCR-AUT-01-SC1</t>
        </is>
      </c>
      <c r="C34" s="8" t="inlineStr">
        <is>
          <t>SCR-AUT-01</t>
        </is>
      </c>
      <c r="D34" s="8" t="inlineStr">
        <is>
          <t>HP - Homepage &amp; Login Gate</t>
        </is>
      </c>
      <c r="E34" s="8" t="inlineStr">
        <is>
          <t>HP-06</t>
        </is>
      </c>
      <c r="F34" s="8" t="inlineStr">
        <is>
          <t>Normal</t>
        </is>
      </c>
      <c r="G34" s="8" t="inlineStr">
        <is>
          <t>Guest bấm 'Add to Cart', bị chặn bởi login gate; đăng nhập thành công thì sản phẩm được thêm tự động.</t>
        </is>
      </c>
      <c r="H34" s="8" t="inlineStr">
        <is>
          <t>Bấm Add to Cart trên 1 sản phẩm, đăng nhập thành công.</t>
        </is>
      </c>
      <c r="I34" s="8" t="inlineStr">
        <is>
          <t>Guest chưa đăng nhập, đang xem 1 sản phẩm có thể thêm vào giỏ.</t>
        </is>
      </c>
      <c r="J34" s="8" t="inlineStr">
        <is>
          <t>Hệ thống chặn thao tác Add to Cart TRƯỚC khi thêm, mở bottom sheet đăng nhập/đăng ký; sau xác thực thành công, sản phẩm được TỰ ĐỘNG thêm vào giỏ (không cần bấm lại Add to Cart), hiện toast xác nhận, địa chỉ Guest local (nếu có) được đồng bộ lên tài khoản.</t>
        </is>
      </c>
      <c r="K34" s="8" t="inlineStr">
        <is>
          <t>Resume đúng sản phẩm đã định thêm, không yêu cầu lặp lại thao tác (BRL-07).</t>
        </is>
      </c>
      <c r="L34" s="8" t="n"/>
      <c r="M34" s="8" t="n"/>
    </row>
    <row r="35" hidden="1" ht="45.75" customHeight="1" s="23">
      <c r="A35" s="8" t="n">
        <v>33</v>
      </c>
      <c r="B35" s="8" t="inlineStr">
        <is>
          <t>SCR-AUT-01-SC2</t>
        </is>
      </c>
      <c r="C35" s="8" t="inlineStr">
        <is>
          <t>SCR-AUT-01</t>
        </is>
      </c>
      <c r="D35" s="8" t="inlineStr">
        <is>
          <t>HP - Homepage &amp; Login Gate</t>
        </is>
      </c>
      <c r="E35" s="8" t="inlineStr">
        <is>
          <t>HP-07, CT-01</t>
        </is>
      </c>
      <c r="F35" s="8" t="inlineStr">
        <is>
          <t>Normal</t>
        </is>
      </c>
      <c r="G35" s="8" t="inlineStr">
        <is>
          <t>Guest bấm icon Cart, bị chặn bởi login gate; đăng nhập thành công thì Cart mở trực tiếp.</t>
        </is>
      </c>
      <c r="H35" s="8" t="inlineStr">
        <is>
          <t>Bấm Cart icon, đăng nhập thành công.</t>
        </is>
      </c>
      <c r="I35" s="8" t="inlineStr">
        <is>
          <t>Guest chưa đăng nhập.</t>
        </is>
      </c>
      <c r="J35" s="8" t="inlineStr">
        <is>
          <t>Hệ thống chặn và mở bottom sheet đăng nhập/đăng ký với nội dung riêng cho ngữ cảnh mở Cart; sau xác thực thành công, Cart MỞ TRỰC TIẾP (không phải thêm sản phẩm); địa chỉ, dịch vụ, khung giờ đã chọn ở Homepage được mang theo vào Cart.</t>
        </is>
      </c>
      <c r="K35" s="8" t="inlineStr">
        <is>
          <t>Cart icon KHÔNG BAO GIỜ bị ẩn/disable với Guest (BRL-06); tap vào luôn mở gate thay vì lỗi.</t>
        </is>
      </c>
      <c r="L35" s="8" t="n"/>
      <c r="M35" s="8" t="n"/>
    </row>
    <row r="36" hidden="1" ht="45.75" customHeight="1" s="23">
      <c r="A36" s="8" t="n">
        <v>34</v>
      </c>
      <c r="B36" s="8" t="inlineStr">
        <is>
          <t>SCR-AUT-01-SC3</t>
        </is>
      </c>
      <c r="C36" s="8" t="inlineStr">
        <is>
          <t>SCR-AUT-01</t>
        </is>
      </c>
      <c r="D36" s="8" t="inlineStr">
        <is>
          <t>HP - Homepage &amp; Login Gate</t>
        </is>
      </c>
      <c r="E36" s="8" t="inlineStr">
        <is>
          <t>HP-06, HP-07</t>
        </is>
      </c>
      <c r="F36" s="8" t="inlineStr">
        <is>
          <t>Negative</t>
        </is>
      </c>
      <c r="G36" s="8" t="inlineStr">
        <is>
          <t>Guest huỷ (Cancel) bottom sheet đăng nhập - không mất ngữ cảnh đang duyệt.</t>
        </is>
      </c>
      <c r="H36" s="8" t="inlineStr">
        <is>
          <t>Bấm Cancel/đóng sheet đăng nhập từ cả 2 lối vào (Add to Cart và Cart icon).</t>
        </is>
      </c>
      <c r="I36" s="8" t="inlineStr">
        <is>
          <t>Login gate đang mở từ 1 trong 2 trigger.</t>
        </is>
      </c>
      <c r="J36" s="8" t="inlineStr">
        <is>
          <t>Quay lại trang trước đó với ngữ cảnh duyệt nguyên vẹn; sản phẩm KHÔNG được thêm (trường hợp Add to Cart), Cart KHÔNG mở (trường hợp Cart icon); không mất dữ liệu đang xem.</t>
        </is>
      </c>
      <c r="K36" s="8" t="inlineStr">
        <is>
          <t>Huỷ đăng nhập không được phá huỷ (non-destructive) - BRL-08.</t>
        </is>
      </c>
      <c r="L36" s="8" t="n"/>
      <c r="M36" s="8" t="n"/>
    </row>
    <row r="37" hidden="1" ht="45.75" customHeight="1" s="23">
      <c r="A37" s="8" t="n">
        <v>35</v>
      </c>
      <c r="B37" s="8" t="inlineStr">
        <is>
          <t>SCR-AUT-02-SC1</t>
        </is>
      </c>
      <c r="C37" s="8" t="inlineStr">
        <is>
          <t>SCR-AUT-02</t>
        </is>
      </c>
      <c r="D37" s="8" t="inlineStr">
        <is>
          <t>SU - Signup</t>
        </is>
      </c>
      <c r="E37" s="8" t="inlineStr">
        <is>
          <t>SU-01, SU-02, SU-03</t>
        </is>
      </c>
      <c r="F37" s="8" t="inlineStr">
        <is>
          <t>Normal</t>
        </is>
      </c>
      <c r="G37" s="8" t="inlineStr">
        <is>
          <t>Nhập SĐT, chọn kênh OTP Zalo (mặc định), nhập đúng OTP.</t>
        </is>
      </c>
      <c r="H37" s="8" t="inlineStr">
        <is>
          <t>SĐT hợp lệ, giữ kênh Zalo mặc định, mã OTP đúng.</t>
        </is>
      </c>
      <c r="I37" s="8" t="inlineStr">
        <is>
          <t>Chọn 'New customer - Register' từ login gate.</t>
        </is>
      </c>
      <c r="J37" s="8" t="inlineStr">
        <is>
          <t>Zalo được đánh dấu 'Recommended' và chọn sẵn (BRL-13); sau khi gửi OTP, nút Resend bị disable trong thời gian đếm ngược (BRL-15); nhập đúng OTP chuyển sang SCR-AUT-03 (tạo PIN).</t>
        </is>
      </c>
      <c r="K37" s="8" t="inlineStr">
        <is>
          <t>Kênh mặc định là Zalo; luồng thành công dẫn đến màn tạo PIN.</t>
        </is>
      </c>
      <c r="L37" s="8" t="n"/>
      <c r="M37" s="8" t="n"/>
    </row>
    <row r="38" hidden="1" ht="45.75" customHeight="1" s="23">
      <c r="A38" s="25" t="n">
        <v>36</v>
      </c>
      <c r="B38" s="25" t="inlineStr">
        <is>
          <t>SCR-AUT-02-SC2</t>
        </is>
      </c>
      <c r="C38" s="25" t="inlineStr">
        <is>
          <t>SCR-AUT-02</t>
        </is>
      </c>
      <c r="D38" s="25" t="inlineStr">
        <is>
          <t>SU - Signup</t>
        </is>
      </c>
      <c r="E38" s="25" t="inlineStr">
        <is>
          <t>SU-03</t>
        </is>
      </c>
      <c r="F38" s="25" t="inlineStr">
        <is>
          <t>Boundary</t>
        </is>
      </c>
      <c r="G38" s="25" t="inlineStr">
        <is>
          <t>Hết thời gian đếm ngược Resend, chuyển kênh thủ công sang SMS.</t>
        </is>
      </c>
      <c r="H38" s="25" t="inlineStr">
        <is>
          <t>Chờ hết đếm ngược Resend, bấm 'đổi kênh' chọn SMS.</t>
        </is>
      </c>
      <c r="I38" s="25" t="inlineStr">
        <is>
          <t>Đã gửi OTP qua Zalo, đang trong màn nhập OTP.</t>
        </is>
      </c>
      <c r="J38" s="25" t="inlineStr">
        <is>
          <t>Nút Resend chỉ active lại SAU khi hết đếm ngược; hệ thống KHÔNG tự động fallback sang SMS - khách phải chủ động bấm Resend hoặc đổi kênh (BRL-14); sau khi đổi kênh, OTP mới được gửi qua SMS.</t>
        </is>
      </c>
      <c r="K38" s="25" t="inlineStr">
        <is>
          <t>Không có fallback tự động từ Zalo sang SMS trong bất kỳ trường hợp nào.</t>
        </is>
      </c>
      <c r="L38" s="25" t="inlineStr">
        <is>
          <t>QnA-08</t>
        </is>
      </c>
      <c r="M38" s="25" t="inlineStr">
        <is>
          <t>Xác nhận kỹ thuật về hành vi thật sự khi Zalo thất bại gửi tin vẫn đang mở - OQ-08/QnA-08.</t>
        </is>
      </c>
    </row>
    <row r="39" hidden="1" ht="45.75" customHeight="1" s="23">
      <c r="A39" s="8" t="n">
        <v>37</v>
      </c>
      <c r="B39" s="8" t="inlineStr">
        <is>
          <t>SCR-AUT-02-SC3</t>
        </is>
      </c>
      <c r="C39" s="8" t="inlineStr">
        <is>
          <t>SCR-AUT-02</t>
        </is>
      </c>
      <c r="D39" s="8" t="inlineStr">
        <is>
          <t>SU - Signup</t>
        </is>
      </c>
      <c r="E39" s="8" t="inlineStr">
        <is>
          <t>SU-09</t>
        </is>
      </c>
      <c r="F39" s="8" t="inlineStr">
        <is>
          <t>Negative</t>
        </is>
      </c>
      <c r="G39" s="8" t="inlineStr">
        <is>
          <t>Đăng ký bằng SĐT đã tồn tại trên hệ thống.</t>
        </is>
      </c>
      <c r="H39" s="8" t="inlineStr">
        <is>
          <t>Nhập 1 SĐT đã có tài khoản Member.</t>
        </is>
      </c>
      <c r="I39" s="8" t="inlineStr">
        <is>
          <t>Đang ở bước nhập SĐT của Signup.</t>
        </is>
      </c>
      <c r="J39" s="8" t="inlineStr">
        <is>
          <t>Hiện thông báo lỗi (số đã được đăng ký), SĐT VẪN được giữ nguyên trên ô nhập (không bị xoá trắng), CTA chính đổi thành 'Sign in' để khách không phải gõ lại số.</t>
        </is>
      </c>
      <c r="K39" s="8" t="inlineStr">
        <is>
          <t>SĐT không bị mất, CTA chuyển hướng đúng sang đăng nhập.</t>
        </is>
      </c>
      <c r="L39" s="8" t="n"/>
      <c r="M39" s="8" t="n"/>
    </row>
    <row r="40" hidden="1" ht="45.75" customHeight="1" s="23">
      <c r="A40" s="8" t="n">
        <v>38</v>
      </c>
      <c r="B40" s="8" t="inlineStr">
        <is>
          <t>SCR-AUT-03-SC1</t>
        </is>
      </c>
      <c r="C40" s="8" t="inlineStr">
        <is>
          <t>SCR-AUT-03</t>
        </is>
      </c>
      <c r="D40" s="8" t="inlineStr">
        <is>
          <t>SU - Signup</t>
        </is>
      </c>
      <c r="E40" s="8" t="inlineStr">
        <is>
          <t>SU-04</t>
        </is>
      </c>
      <c r="F40" s="8" t="inlineStr">
        <is>
          <t>Normal</t>
        </is>
      </c>
      <c r="G40" s="8" t="inlineStr">
        <is>
          <t>Tạo PIN 6 số và xác nhận lại khớp.</t>
        </is>
      </c>
      <c r="H40" s="8" t="inlineStr">
        <is>
          <t>Nhập PIN '123456' 2 lần giống nhau.</t>
        </is>
      </c>
      <c r="I40" s="8" t="inlineStr">
        <is>
          <t>Vừa xác thực OTP thành công.</t>
        </is>
      </c>
      <c r="J40" s="8" t="inlineStr">
        <is>
          <t>Bàn phím số riêng của app (không dùng bàn phím hệ thống) được dùng để nhập; sau khi nhập khớp 2 lần, chuyển sang SCR-AUT-04 (hồ sơ).</t>
        </is>
      </c>
      <c r="K40" s="8" t="inlineStr">
        <is>
          <t>PIN chỉ được tạo sau khi OTP đã xác thực, không bao giờ tạo PIN trên số chưa xác minh.</t>
        </is>
      </c>
      <c r="L40" s="8" t="n"/>
      <c r="M40" s="8" t="n"/>
    </row>
    <row r="41" hidden="1" ht="45.75" customHeight="1" s="23">
      <c r="A41" s="8" t="n">
        <v>39</v>
      </c>
      <c r="B41" s="8" t="inlineStr">
        <is>
          <t>SCR-AUT-03-SC2</t>
        </is>
      </c>
      <c r="C41" s="8" t="inlineStr">
        <is>
          <t>SCR-AUT-03</t>
        </is>
      </c>
      <c r="D41" s="8" t="inlineStr">
        <is>
          <t>SU - Signup</t>
        </is>
      </c>
      <c r="E41" s="8" t="inlineStr">
        <is>
          <t>SU-04</t>
        </is>
      </c>
      <c r="F41" s="8" t="inlineStr">
        <is>
          <t>Negative</t>
        </is>
      </c>
      <c r="G41" s="8" t="inlineStr">
        <is>
          <t>Nhập PIN xác nhận KHÔNG khớp PIN đã tạo lần đầu.</t>
        </is>
      </c>
      <c r="H41" s="8" t="inlineStr">
        <is>
          <t>Lần 1: '123456'. Lần 2 (xác nhận): '654321'.</t>
        </is>
      </c>
      <c r="I41" s="8" t="inlineStr">
        <is>
          <t>Đang ở bước nhập lại PIN để xác nhận.</t>
        </is>
      </c>
      <c r="J41" s="8" t="inlineStr">
        <is>
          <t>Hệ thống báo mismatch và CHỈ xoá ô xác nhận (không xoá ô PIN đã nhập lần đầu) để khách không phải gõ lại từ đầu.</t>
        </is>
      </c>
      <c r="K41" s="8" t="inlineStr">
        <is>
          <t>Chỉ reset ô xác nhận khi không khớp, không reset cả 2 ô.</t>
        </is>
      </c>
      <c r="L41" s="8" t="n"/>
      <c r="M41" s="8" t="inlineStr">
        <is>
          <t>QnA-03: số lần thử sai PIN cho phép trước khi khoá/restart bước vẫn đang chờ Security/Dev xác nhận (OQ-03).</t>
        </is>
      </c>
    </row>
    <row r="42" hidden="1" ht="45.75" customHeight="1" s="23">
      <c r="A42" s="8" t="n">
        <v>40</v>
      </c>
      <c r="B42" s="8" t="inlineStr">
        <is>
          <t>SCR-AUT-04-SC1</t>
        </is>
      </c>
      <c r="C42" s="8" t="inlineStr">
        <is>
          <t>SCR-AUT-04</t>
        </is>
      </c>
      <c r="D42" s="8" t="inlineStr">
        <is>
          <t>SU - Signup</t>
        </is>
      </c>
      <c r="E42" s="8" t="inlineStr">
        <is>
          <t>SU-05</t>
        </is>
      </c>
      <c r="F42" s="8" t="inlineStr">
        <is>
          <t>Validation</t>
        </is>
      </c>
      <c r="G42" s="8" t="inlineStr">
        <is>
          <t>Điền hồ sơ bắt buộc, checkbox Điều khoản là điều kiện chặn Submit.</t>
        </is>
      </c>
      <c r="H42" s="8" t="inlineStr">
        <is>
          <t>Điền đủ tên/giới tính/ngày sinh/quốc tịch/store, mà KHÔNG tick Điều khoản sử dụng.</t>
        </is>
      </c>
      <c r="I42" s="8" t="inlineStr">
        <is>
          <t>Vừa tạo PIN thành công ở SCR-AUT-03.</t>
        </is>
      </c>
      <c r="J42" s="8" t="inlineStr">
        <is>
          <t>Nút Tạo tài khoản bị CHẶN (disabled hoặc báo lỗi) khi checkbox Điều khoản &amp; Chính sách chưa được tick; checkbox Marketing là tuỳ chọn, mặc định KHÔNG tick và không chặn submit.</t>
        </is>
      </c>
      <c r="K42" s="8" t="inlineStr">
        <is>
          <t>Điều khoản là điều kiện bắt buộc duy nhất trong số các checkbox.</t>
        </is>
      </c>
      <c r="L42" s="8" t="n"/>
      <c r="M42" s="8" t="n"/>
    </row>
    <row r="43" hidden="1" ht="45.75" customHeight="1" s="23">
      <c r="A43" s="25" t="n">
        <v>41</v>
      </c>
      <c r="B43" s="25" t="inlineStr">
        <is>
          <t>SCR-AUT-04-SC2</t>
        </is>
      </c>
      <c r="C43" s="25" t="inlineStr">
        <is>
          <t>SCR-AUT-04</t>
        </is>
      </c>
      <c r="D43" s="25" t="inlineStr">
        <is>
          <t>SU - Signup</t>
        </is>
      </c>
      <c r="E43" s="25" t="inlineStr">
        <is>
          <t>SU-05</t>
        </is>
      </c>
      <c r="F43" s="25" t="inlineStr">
        <is>
          <t>Functional</t>
        </is>
      </c>
      <c r="G43" s="25" t="inlineStr">
        <is>
          <t>Kiểm tra giới tính mặc định chọn sẵn 'Chị' và store đăng ký được pre-fill từ Onboarding.</t>
        </is>
      </c>
      <c r="H43" s="25" t="inlineStr">
        <is>
          <t>Không đổi giá trị mặc định, quan sát 2 trường này.</t>
        </is>
      </c>
      <c r="I43" s="25" t="inlineStr">
        <is>
          <t>Đã chọn store 'LOTTE Mart Nam Sài Gòn' ở Onboarding, đang ở bước hồ sơ.</t>
        </is>
      </c>
      <c r="J43" s="25" t="inlineStr">
        <is>
          <t>Giới tính mặc định là 'Chị' (có thể đổi 1 chạm - QnA-02 đã chốt giữ mặc định này); store đăng ký được điền sẵn = store đã chọn ở Onboarding nhưng vẫn sửa được.</t>
        </is>
      </c>
      <c r="K43" s="25" t="inlineStr">
        <is>
          <t>Cả 2 giá trị mặc định phải đúng như SRS đã chốt (QnA-02).</t>
        </is>
      </c>
      <c r="L43" s="25" t="inlineStr">
        <is>
          <t>QnA-02</t>
        </is>
      </c>
      <c r="M43" s="25" t="n"/>
    </row>
    <row r="44" hidden="1" ht="45.75" customHeight="1" s="23">
      <c r="A44" s="8" t="n">
        <v>42</v>
      </c>
      <c r="B44" s="8" t="inlineStr">
        <is>
          <t>SCR-AUT-04-SC3</t>
        </is>
      </c>
      <c r="C44" s="8" t="inlineStr">
        <is>
          <t>SCR-AUT-04</t>
        </is>
      </c>
      <c r="D44" s="8" t="inlineStr">
        <is>
          <t>SU - Signup</t>
        </is>
      </c>
      <c r="E44" s="8" t="inlineStr">
        <is>
          <t>SU-06, SU-08</t>
        </is>
      </c>
      <c r="F44" s="8" t="inlineStr">
        <is>
          <t>Normal</t>
        </is>
      </c>
      <c r="G44" s="8" t="inlineStr">
        <is>
          <t>Submit tạo tài khoản thành công, tự động đăng nhập và resume thao tác Add to Cart ban đầu.</t>
        </is>
      </c>
      <c r="H44" s="8" t="inlineStr">
        <is>
          <t>Điền đủ hồ sơ hợp lệ, tick Điều khoản, bấm Tạo tài khoản.</t>
        </is>
      </c>
      <c r="I44" s="8" t="inlineStr">
        <is>
          <t>Luồng Signup này được kích hoạt từ 1 thao tác 'Add to Cart' bị chặn bởi login gate.</t>
        </is>
      </c>
      <c r="J44" s="8" t="inlineStr">
        <is>
          <t>Tài khoản được tạo và TỰ ĐỘNG đăng nhập (không có bước đăng nhập riêng); sản phẩm đã định thêm trước đó được thêm tự động vào giỏ; địa chỉ Guest cục bộ (nếu có) được đồng bộ lên tài khoản mới.</t>
        </is>
      </c>
      <c r="K44" s="8" t="inlineStr">
        <is>
          <t>Toàn bộ chuỗi resume (tạo tài khoản -&gt; đăng nhập -&gt; thêm sản phẩm -&gt; đồng bộ địa chỉ) phải xảy ra không cần thao tác thêm từ khách.</t>
        </is>
      </c>
      <c r="L44" s="8" t="n"/>
      <c r="M44" s="8" t="n"/>
    </row>
    <row r="45" hidden="1" ht="45.75" customHeight="1" s="23">
      <c r="A45" s="8" t="n">
        <v>43</v>
      </c>
      <c r="B45" s="8" t="inlineStr">
        <is>
          <t>SCR-AUT-04-SC4</t>
        </is>
      </c>
      <c r="C45" s="8" t="inlineStr">
        <is>
          <t>SCR-AUT-04</t>
        </is>
      </c>
      <c r="D45" s="8" t="inlineStr">
        <is>
          <t>SU - Signup</t>
        </is>
      </c>
      <c r="E45" s="8" t="inlineStr">
        <is>
          <t>SU-07</t>
        </is>
      </c>
      <c r="F45" s="8" t="inlineStr">
        <is>
          <t>Functional</t>
        </is>
      </c>
      <c r="G45" s="8" t="inlineStr">
        <is>
          <t>Lời mời bật Face ID/vân tay là tuỳ chọn, từ chối không ảnh hưởng PIN.</t>
        </is>
      </c>
      <c r="H45" s="8" t="inlineStr">
        <is>
          <t>Bấm 'Bỏ qua'/'Không, cảm ơn' ở lời mời sinh trắc học.</t>
        </is>
      </c>
      <c r="I45" s="8" t="inlineStr">
        <is>
          <t>Vừa tạo tài khoản thành công.</t>
        </is>
      </c>
      <c r="J45" s="8" t="inlineStr">
        <is>
          <t>Lời mời chỉ xuất hiện SAU khi tài khoản đã được tạo (không trước); từ chối không mất gì cả - PIN vẫn là phương thức chính; mỗi thiết bị chỉ giữ 1 bio ticket đang hoạt động (NFR-02).</t>
        </is>
      </c>
      <c r="K45" s="8" t="inlineStr">
        <is>
          <t>Từ chối bật Face ID/vân tay không làm gián đoạn luồng resume thao tác.</t>
        </is>
      </c>
      <c r="L45" s="8" t="n"/>
      <c r="M45" s="8" t="n"/>
    </row>
    <row r="46" hidden="1" ht="45.75" customHeight="1" s="23">
      <c r="A46" s="8" t="n">
        <v>44</v>
      </c>
      <c r="B46" s="8" t="inlineStr">
        <is>
          <t>SCR-AUT-05-SC1</t>
        </is>
      </c>
      <c r="C46" s="8" t="inlineStr">
        <is>
          <t>SCR-AUT-05</t>
        </is>
      </c>
      <c r="D46" s="8" t="inlineStr">
        <is>
          <t>LI - Login</t>
        </is>
      </c>
      <c r="E46" s="8" t="inlineStr">
        <is>
          <t>LI-02</t>
        </is>
      </c>
      <c r="F46" s="8" t="inlineStr">
        <is>
          <t>Normal</t>
        </is>
      </c>
      <c r="G46" s="8" t="inlineStr">
        <is>
          <t>Đăng nhập bằng Face ID/vân tay khi thiết bị đã bật sinh trắc học.</t>
        </is>
      </c>
      <c r="H46" s="8" t="inlineStr">
        <is>
          <t>Xác thực Face ID/vân tay thành công.</t>
        </is>
      </c>
      <c r="I46" s="8" t="inlineStr">
        <is>
          <t>Tài khoản đã bật sinh trắc học trên thiết bị này, đang ở màn đăng nhập.</t>
        </is>
      </c>
      <c r="J46" s="8" t="inlineStr">
        <is>
          <t>Hệ thống tự động dùng Face ID/vân tay TRƯỚC (không yêu cầu nhập SĐT/PIN); thành công thì đăng nhập ngay và resume thao tác ban đầu (LI-03).</t>
        </is>
      </c>
      <c r="K46" s="8" t="inlineStr">
        <is>
          <t>Sinh trắc học là ưu tiên cao nhất trong thứ tự xác thực (LI-02).</t>
        </is>
      </c>
      <c r="L46" s="8" t="n"/>
      <c r="M46" s="8" t="n"/>
    </row>
    <row r="47" hidden="1" ht="45.75" customHeight="1" s="23">
      <c r="A47" s="8" t="n">
        <v>45</v>
      </c>
      <c r="B47" s="8" t="inlineStr">
        <is>
          <t>SCR-AUT-05-SC2</t>
        </is>
      </c>
      <c r="C47" s="8" t="inlineStr">
        <is>
          <t>SCR-AUT-05</t>
        </is>
      </c>
      <c r="D47" s="8" t="inlineStr">
        <is>
          <t>LI - Login</t>
        </is>
      </c>
      <c r="E47" s="8" t="inlineStr">
        <is>
          <t>LI-01, LI-02</t>
        </is>
      </c>
      <c r="F47" s="8" t="inlineStr">
        <is>
          <t>Normal</t>
        </is>
      </c>
      <c r="G47" s="8" t="inlineStr">
        <is>
          <t>Đăng nhập bằng SĐT + PIN khi sinh trắc học không khả dụng.</t>
        </is>
      </c>
      <c r="H47" s="8" t="inlineStr">
        <is>
          <t>Nhập SĐT, nhập đúng PIN 6 số.</t>
        </is>
      </c>
      <c r="I47" s="8" t="inlineStr">
        <is>
          <t>Thiết bị không hỗ trợ/không bật sinh trắc học.</t>
        </is>
      </c>
      <c r="J47" s="8" t="inlineStr">
        <is>
          <t>PIN là fallback khi không có sinh trắc học; nhập đúng PIN thì đăng nhập thành công và resume thao tác ban đầu.</t>
        </is>
      </c>
      <c r="K47" s="8" t="inlineStr">
        <is>
          <t>PIN là phương thức thứ 2 trong thứ tự ưu tiên.</t>
        </is>
      </c>
      <c r="L47" s="8" t="n"/>
      <c r="M47" s="8" t="n"/>
    </row>
    <row r="48" hidden="1" ht="45.75" customHeight="1" s="23">
      <c r="A48" s="8" t="n">
        <v>46</v>
      </c>
      <c r="B48" s="8" t="inlineStr">
        <is>
          <t>SCR-AUT-05-SC3</t>
        </is>
      </c>
      <c r="C48" s="8" t="inlineStr">
        <is>
          <t>SCR-AUT-05</t>
        </is>
      </c>
      <c r="D48" s="8" t="inlineStr">
        <is>
          <t>LI - Login</t>
        </is>
      </c>
      <c r="E48" s="8" t="inlineStr">
        <is>
          <t>LI-04</t>
        </is>
      </c>
      <c r="F48" s="8" t="inlineStr">
        <is>
          <t>Negative</t>
        </is>
      </c>
      <c r="G48" s="8" t="inlineStr">
        <is>
          <t>Đăng nhập bằng SĐT chưa từng đăng ký.</t>
        </is>
      </c>
      <c r="H48" s="8" t="inlineStr">
        <is>
          <t>Nhập 1 SĐT chưa có tài khoản.</t>
        </is>
      </c>
      <c r="I48" s="8" t="inlineStr">
        <is>
          <t>Đang ở màn nhập SĐT đăng nhập.</t>
        </is>
      </c>
      <c r="J48" s="8" t="inlineStr">
        <is>
          <t>Báo lỗi 'số chưa được đăng ký', SĐT vẫn được giữ nguyên trên ô nhập, CTA chính đổi thành 'Đăng ký' (đối xứng với SU-09).</t>
        </is>
      </c>
      <c r="K48" s="8" t="inlineStr">
        <is>
          <t>Deviation đối xứng với luồng Signup (SU-09).</t>
        </is>
      </c>
      <c r="L48" s="8" t="n"/>
      <c r="M48" s="8" t="n"/>
    </row>
    <row r="49" hidden="1" ht="45.75" customHeight="1" s="23">
      <c r="A49" s="25" t="n">
        <v>47</v>
      </c>
      <c r="B49" s="25" t="inlineStr">
        <is>
          <t>SCR-AUT-05-SC4</t>
        </is>
      </c>
      <c r="C49" s="25" t="inlineStr">
        <is>
          <t>SCR-AUT-05</t>
        </is>
      </c>
      <c r="D49" s="25" t="inlineStr">
        <is>
          <t>LI - Login</t>
        </is>
      </c>
      <c r="E49" s="25" t="inlineStr">
        <is>
          <t>LI-06</t>
        </is>
      </c>
      <c r="F49" s="25" t="inlineStr">
        <is>
          <t>Boundary</t>
        </is>
      </c>
      <c r="G49" s="25" t="inlineStr">
        <is>
          <t>Nhập sai PIN nhiều lần liên tiếp - kích hoạt giới hạn thử (attempt limit).</t>
        </is>
      </c>
      <c r="H49" s="25" t="inlineStr">
        <is>
          <t>Nhập sai PIN N+1 lần liên tiếp (N = giới hạn, đang chờ xác nhận).</t>
        </is>
      </c>
      <c r="I49" s="25" t="inlineStr">
        <is>
          <t>Đang ở bước nhập PIN đăng nhập.</t>
        </is>
      </c>
      <c r="J49" s="25" t="inlineStr">
        <is>
          <t>Sau khi vượt qua ngưỡng giới hạn, tài khoản/thiết bị bị khoá tạm thời và bắt buộc xác thực lại bằng OTP (BRL-16, NFR-01); thông báo rõ cho khách lý do khoá và cách mở khoá.</t>
        </is>
      </c>
      <c r="K49" s="25" t="inlineStr">
        <is>
          <t>Giới hạn thử sai phải được thực thi trên cả OTP và PIN (BR-11).</t>
        </is>
      </c>
      <c r="L49" s="25" t="inlineStr">
        <is>
          <t>QnA-03</t>
        </is>
      </c>
      <c r="M49" s="25" t="inlineStr">
        <is>
          <t>Con số chính xác N và thời gian khoá vẫn đang chờ Security/Dev (OQ-03/QnA-03) - test này dùng placeholder N và sẽ cập nhật lại khi có giá trị chính thức.</t>
        </is>
      </c>
    </row>
    <row r="50" hidden="1" ht="45.75" customHeight="1" s="23">
      <c r="A50" s="8" t="n">
        <v>48</v>
      </c>
      <c r="B50" s="8" t="inlineStr">
        <is>
          <t>SCR-AUT-06-SC1</t>
        </is>
      </c>
      <c r="C50" s="8" t="inlineStr">
        <is>
          <t>SCR-AUT-06</t>
        </is>
      </c>
      <c r="D50" s="8" t="inlineStr">
        <is>
          <t>LI - Login</t>
        </is>
      </c>
      <c r="E50" s="8" t="inlineStr">
        <is>
          <t>LI-05</t>
        </is>
      </c>
      <c r="F50" s="8" t="inlineStr">
        <is>
          <t>Normal</t>
        </is>
      </c>
      <c r="G50" s="8" t="inlineStr">
        <is>
          <t>Quên PIN: xác thực lại bằng OTP rồi đặt PIN mới.</t>
        </is>
      </c>
      <c r="H50" s="8" t="inlineStr">
        <is>
          <t>Bấm 'Quên PIN', xác thực OTP đúng, đặt PIN mới khác PIN cũ.</t>
        </is>
      </c>
      <c r="I50" s="8" t="inlineStr">
        <is>
          <t>Đang ở màn đăng nhập, chọn 'Quên PIN'.</t>
        </is>
      </c>
      <c r="J50" s="8" t="inlineStr">
        <is>
          <t>SĐT hiển thị dạng che (mask) vì đã được định danh từ bước trước; xác thực OTP đúng là điều kiện bắt buộc TRƯỚC khi cho đặt PIN mới (một thay đổi thông tin xác thực không được phép từ thiết bị chưa xác minh); đặt PIN mới thành công thay thế hoàn toàn PIN cũ.</t>
        </is>
      </c>
      <c r="K50" s="8" t="inlineStr">
        <is>
          <t>Đổi PIN bắt buộc phải qua xác thực OTP, không có đường tắt nào khác.</t>
        </is>
      </c>
      <c r="L50" s="8" t="n"/>
      <c r="M50" s="8" t="n"/>
    </row>
    <row r="51" hidden="1" ht="45.75" customHeight="1" s="23">
      <c r="A51" s="8" t="n">
        <v>49</v>
      </c>
      <c r="B51" s="8" t="inlineStr">
        <is>
          <t>SCR-AUT-06-SC2</t>
        </is>
      </c>
      <c r="C51" s="8" t="inlineStr">
        <is>
          <t>SCR-AUT-06</t>
        </is>
      </c>
      <c r="D51" s="8" t="inlineStr">
        <is>
          <t>LI - Login</t>
        </is>
      </c>
      <c r="E51" s="8" t="inlineStr">
        <is>
          <t>LI-03, LI-05</t>
        </is>
      </c>
      <c r="F51" s="8" t="inlineStr">
        <is>
          <t>Functional</t>
        </is>
      </c>
      <c r="G51" s="8" t="inlineStr">
        <is>
          <t>Sau khi đặt lại PIN thành công, tự động đăng nhập và resume thao tác; bio ticket không bị ảnh hưởng.</t>
        </is>
      </c>
      <c r="H51" s="8" t="inlineStr">
        <is>
          <t>Hoàn tất đặt PIN mới, kiểm tra trạng thái đăng nhập và sinh trắc học.</t>
        </is>
      </c>
      <c r="I51" s="8" t="inlineStr">
        <is>
          <t>Đã hoàn tất xác thực OTP và đặt PIN mới.</t>
        </is>
      </c>
      <c r="J51" s="8" t="inlineStr">
        <is>
          <t>Khách được đăng nhập ngay không cần bước thêm; thao tác ban đầu (thêm sản phẩm/mở Cart) được resume tự động; sinh trắc học đã bật trước đó (nếu có) KHÔNG bị thu hồi bởi việc đổi PIN.</t>
        </is>
      </c>
      <c r="K51" s="8" t="inlineStr">
        <is>
          <t>Reset PIN không làm mất trạng thái bio ticket đã thiết lập.</t>
        </is>
      </c>
      <c r="L51" s="8" t="n"/>
      <c r="M51" s="8" t="n"/>
    </row>
    <row r="52" hidden="1" ht="45.75" customHeight="1" s="23">
      <c r="A52" s="25" t="n">
        <v>50</v>
      </c>
      <c r="B52" s="25" t="inlineStr">
        <is>
          <t>SCR-CRT-01-SC1</t>
        </is>
      </c>
      <c r="C52" s="25" t="inlineStr">
        <is>
          <t>SCR-CRT-01</t>
        </is>
      </c>
      <c r="D52" s="25" t="inlineStr">
        <is>
          <t>CT - Cart</t>
        </is>
      </c>
      <c r="E52" s="25" t="inlineStr">
        <is>
          <t>CT-03</t>
        </is>
      </c>
      <c r="F52" s="25" t="inlineStr">
        <is>
          <t>Functional</t>
        </is>
      </c>
      <c r="G52" s="25" t="inlineStr">
        <is>
          <t>Xem tiến độ Freeship (Standard) và thêm sản phẩm để đạt ngưỡng.</t>
        </is>
      </c>
      <c r="H52" s="25" t="inlineStr">
        <is>
          <t>Giỏ hàng đang ở 117.000đ, thiếu 33.000đ để đạt 150.000đ.</t>
        </is>
      </c>
      <c r="I52" s="25" t="inlineStr">
        <is>
          <t>Đang ở Cart, tab Delivery/Standard, giỏ hàng chưa đạt ngưỡng freeship.</t>
        </is>
      </c>
      <c r="J52" s="25" t="inlineStr">
        <is>
          <t>Thanh tiến độ hiện rõ số tiền còn thiếu ('Còn 33.000đ để được miễn phí giao hàng' - BRL-19); danh sách sản phẩm gợi ý để mua thêm được hiển thị.</t>
        </is>
      </c>
      <c r="K52" s="25" t="inlineStr">
        <is>
          <t>Tiến độ freeship tính đúng theo BRL-19 (ngưỡng 150.000đ).</t>
        </is>
      </c>
      <c r="L52" s="25" t="inlineStr">
        <is>
          <t>QnA-15</t>
        </is>
      </c>
      <c r="M52" s="25" t="inlineStr">
        <is>
          <t>Logic chọn sản phẩm nào để gợi ý (suggestion logic) vẫn là OQ-15/QnA-15, chưa có quy tắc chính thức.</t>
        </is>
      </c>
    </row>
    <row r="53" hidden="1" ht="45.75" customHeight="1" s="23">
      <c r="A53" s="8" t="n">
        <v>51</v>
      </c>
      <c r="B53" s="8" t="inlineStr">
        <is>
          <t>SCR-CRT-01-SC2</t>
        </is>
      </c>
      <c r="C53" s="8" t="inlineStr">
        <is>
          <t>SCR-CRT-01</t>
        </is>
      </c>
      <c r="D53" s="8" t="inlineStr">
        <is>
          <t>CT - Cart</t>
        </is>
      </c>
      <c r="E53" s="8" t="inlineStr">
        <is>
          <t>CT-04</t>
        </is>
      </c>
      <c r="F53" s="8" t="inlineStr">
        <is>
          <t>Functional</t>
        </is>
      </c>
      <c r="G53" s="8" t="inlineStr">
        <is>
          <t>Lọc danh sách sản phẩm trong Cart theo 2 bộ lọc độc lập: 60-Minute eligible và BNPL eligible.</t>
        </is>
      </c>
      <c r="H53" s="8" t="inlineStr">
        <is>
          <t>Bật riêng lọc 60-Minute, rồi bật thêm cả lọc BNPL.</t>
        </is>
      </c>
      <c r="I53" s="8" t="inlineStr">
        <is>
          <t>Giỏ hàng có cả sản phẩm chỉ hợp lệ 60-Minute, chỉ hợp lệ BNPL, và cả hai.</t>
        </is>
      </c>
      <c r="J53" s="8" t="inlineStr">
        <is>
          <t>2 bộ lọc hoạt động độc lập và KẾT HỢP được với nhau (AND); danh sách cập nhật đúng theo từng tổ hợp bật/tắt.</t>
        </is>
      </c>
      <c r="K53" s="8" t="inlineStr">
        <is>
          <t>Kết quả lọc đúng với cả 4 tổ hợp (không bật, chỉ 60-Minute, chỉ BNPL, cả hai).</t>
        </is>
      </c>
      <c r="L53" s="8" t="n"/>
      <c r="M53" s="8" t="n"/>
    </row>
    <row r="54" hidden="1" ht="45.75" customHeight="1" s="23">
      <c r="A54" s="25" t="n">
        <v>52</v>
      </c>
      <c r="B54" s="25" t="inlineStr">
        <is>
          <t>SCR-CRT-01-SC3</t>
        </is>
      </c>
      <c r="C54" s="25" t="inlineStr">
        <is>
          <t>SCR-CRT-01</t>
        </is>
      </c>
      <c r="D54" s="25" t="inlineStr">
        <is>
          <t>CT - Cart</t>
        </is>
      </c>
      <c r="E54" s="25" t="inlineStr">
        <is>
          <t>CT-06</t>
        </is>
      </c>
      <c r="F54" s="25" t="inlineStr">
        <is>
          <t>Edge</t>
        </is>
      </c>
      <c r="G54" s="25" t="inlineStr">
        <is>
          <t>Sản phẩm hết hàng được tách riêng vào nhóm 'không khả dụng', phần còn lại vẫn thanh toán được.</t>
        </is>
      </c>
      <c r="H54" s="25" t="inlineStr">
        <is>
          <t>1 trong 3 sản phẩm trong giỏ bị hết hàng.</t>
        </is>
      </c>
      <c r="I54" s="25" t="inlineStr">
        <is>
          <t>Giỏ hàng có ít nhất 1 SKU chuyển sang hết hàng giữa chừng.</t>
        </is>
      </c>
      <c r="J54" s="25" t="inlineStr">
        <is>
          <t>SKU hết hàng được CHUYỂN sang nhóm riêng (không còn nằm chung với các sản phẩm còn lại), có đề xuất sản phẩm thay thế hoặc đăng ký báo khi có hàng; các sản phẩm còn lại VẪN thanh toán được bình thường.</t>
        </is>
      </c>
      <c r="K54" s="25" t="inlineStr">
        <is>
          <t>Tách nhóm không làm gián đoạn checkout của phần còn lại.</t>
        </is>
      </c>
      <c r="L54" s="25" t="inlineStr">
        <is>
          <t>QnA-05</t>
        </is>
      </c>
      <c r="M54" s="25" t="inlineStr">
        <is>
          <t>Thời gian giữ SKU hết hàng trong nhóm riêng trước khi bị loại hẳn vẫn là OQ-05/QnA-05.</t>
        </is>
      </c>
    </row>
    <row r="55" hidden="1" ht="45.75" customHeight="1" s="23">
      <c r="A55" s="25" t="n">
        <v>53</v>
      </c>
      <c r="B55" s="25" t="inlineStr">
        <is>
          <t>SCR-CRT-01-SC4</t>
        </is>
      </c>
      <c r="C55" s="25" t="inlineStr">
        <is>
          <t>SCR-CRT-01</t>
        </is>
      </c>
      <c r="D55" s="25" t="inlineStr">
        <is>
          <t>CT - Cart</t>
        </is>
      </c>
      <c r="E55" s="25" t="inlineStr">
        <is>
          <t>CT-06</t>
        </is>
      </c>
      <c r="F55" s="25" t="inlineStr">
        <is>
          <t>Boundary</t>
        </is>
      </c>
      <c r="G55" s="25" t="inlineStr">
        <is>
          <t>Ưu đãi PwP ('Mua Kèm Deal Sốc') hết hạn sau thời gian đếm ngược hiện trên Figma.</t>
        </is>
      </c>
      <c r="H55" s="25" t="inlineStr">
        <is>
          <t>Chờ đồng hồ đếm ngược của 1 ô PwP chạy về 0.</t>
        </is>
      </c>
      <c r="I55" s="25" t="inlineStr">
        <is>
          <t>Giỏ hàng đang hiện 1 ô PwP với đồng hồ đếm ngược (ví dụ còn 30 phút).</t>
        </is>
      </c>
      <c r="J55" s="25" t="inlineStr">
        <is>
          <t>Sau khi đếm ngược về 0, ưu đãi PwP đó KHÔNG còn áp dụng được/biến mất khỏi Cart (hành vi cụ thể đang chờ BA xác nhận - QnA-28, hiện SRS CT-06/BRL-32 chưa mô tả cơ chế đếm ngược này).</t>
        </is>
      </c>
      <c r="K55" s="25" t="inlineStr">
        <is>
          <t>TBD - cần BA xác nhận hành vi chính xác khi hết đếm ngược trước khi chốt Expected Result.</t>
        </is>
      </c>
      <c r="L55" s="25" t="inlineStr">
        <is>
          <t>QnA-28</t>
        </is>
      </c>
      <c r="M55" s="25" t="inlineStr">
        <is>
          <t>Toàn bộ cơ chế đếm ngược của PwP CHƯA có trong SRS - test case này đánh dấu TBD cho đến khi QnA-28 được trả lời.</t>
        </is>
      </c>
    </row>
    <row r="56" hidden="1" ht="45.75" customHeight="1" s="23">
      <c r="A56" s="25" t="n">
        <v>54</v>
      </c>
      <c r="B56" s="25" t="inlineStr">
        <is>
          <t>SCR-CRT-01-SC5</t>
        </is>
      </c>
      <c r="C56" s="25" t="inlineStr">
        <is>
          <t>SCR-CRT-01</t>
        </is>
      </c>
      <c r="D56" s="25" t="inlineStr">
        <is>
          <t>CT - Cart</t>
        </is>
      </c>
      <c r="E56" s="25" t="inlineStr">
        <is>
          <t>CT-06</t>
        </is>
      </c>
      <c r="F56" s="25" t="inlineStr">
        <is>
          <t>Boundary</t>
        </is>
      </c>
      <c r="G56" s="25" t="inlineStr">
        <is>
          <t>Quà tặng (gift item) đi kèm khuyến mãi bị hết hàng.</t>
        </is>
      </c>
      <c r="H56" s="25" t="inlineStr">
        <is>
          <t>1 gift item gắn với 1 CTKM trong giỏ hàng chuyển sang hết hàng.</t>
        </is>
      </c>
      <c r="I56" s="25" t="inlineStr">
        <is>
          <t>Giỏ hàng có 1 sản phẩm chính kèm 1 gift item (quà tặng) do khuyến mãi, gift item hết hàng giữa chừng.</t>
        </is>
      </c>
      <c r="J56" s="25" t="inlineStr">
        <is>
          <t>TBD - SRS/BRL-34 không nêu rõ quy tắc khi quà tặng hết hàng (huỷ cả khuyến mãi? bỏ quà tặng nhưng giữ khuyến mãi khác? báo lỗi chặn checkout?). Ghi nhận hành vi thực tế, đối chiếu QnA-22 khi có câu trả lời.</t>
        </is>
      </c>
      <c r="K56" s="25" t="inlineStr">
        <is>
          <t>TBD - cần câu trả lời QnA-22 trước khi chốt Acceptance Criteria.</t>
        </is>
      </c>
      <c r="L56" s="25" t="inlineStr">
        <is>
          <t>QnA-22</t>
        </is>
      </c>
      <c r="M56" s="25" t="inlineStr">
        <is>
          <t>Bổ sung theo Review 26/08/2026 - phát hiện từ Review - Gaps &amp; Issues (QnA-22 chưa gắn test case nào).</t>
        </is>
      </c>
    </row>
    <row r="57" hidden="1" ht="45.75" customHeight="1" s="23">
      <c r="A57" s="25" t="n">
        <v>55</v>
      </c>
      <c r="B57" s="25" t="inlineStr">
        <is>
          <t>SCR-CRT-01-SC6</t>
        </is>
      </c>
      <c r="C57" s="25" t="inlineStr">
        <is>
          <t>SCR-CRT-01</t>
        </is>
      </c>
      <c r="D57" s="25" t="inlineStr">
        <is>
          <t>CT - Cart</t>
        </is>
      </c>
      <c r="E57" s="25" t="inlineStr">
        <is>
          <t>CT-02</t>
        </is>
      </c>
      <c r="F57" s="25" t="inlineStr">
        <is>
          <t>Edge</t>
        </is>
      </c>
      <c r="G57" s="25" t="inlineStr">
        <is>
          <t>SKU chỉ hỗ trợ 1 trong 2 hình thức (chỉ Delivery HOẶC chỉ Pickup) xuất hiện trong giỏ khi khách đang ở hình thức còn lại.</t>
        </is>
      </c>
      <c r="H57" s="25" t="inlineStr">
        <is>
          <t>SKU-DeliveryOnly được thêm vào giỏ, sau đó khách chuyển sang tab Pickup.</t>
        </is>
      </c>
      <c r="I57" s="25" t="inlineStr">
        <is>
          <t>Giỏ hàng có ít nhất 1 SKU được cấu hình chỉ hỗ trợ 1 hình thức (theo giả định QnA-14).</t>
        </is>
      </c>
      <c r="J57" s="25" t="inlineStr">
        <is>
          <t>TBD - SRS không xác nhận có tồn tại SKU giới hạn hình thức hay không (QnA-14 đang Open). Nếu có, ghi nhận hành vi: SKU bị ẩn/disable/báo lỗi khi ở tab không được hỗ trợ. Đối chiếu lại khi QnA-14 có câu trả lời.</t>
        </is>
      </c>
      <c r="K57" s="25" t="inlineStr">
        <is>
          <t>TBD - cần câu trả lời QnA-14 trước khi chốt Acceptance Criteria; nếu câu trả lời là 'không có SKU nào bị giới hạn', test case này có thể đóng/loại bỏ.</t>
        </is>
      </c>
      <c r="L57" s="25" t="inlineStr">
        <is>
          <t>QnA-14</t>
        </is>
      </c>
      <c r="M57" s="25" t="inlineStr">
        <is>
          <t>Bổ sung theo Review 26/08/2026 - phát hiện từ Review - Gaps &amp; Issues.</t>
        </is>
      </c>
    </row>
    <row r="58" hidden="1" ht="45.75" customHeight="1" s="23">
      <c r="A58" s="25" t="n">
        <v>56</v>
      </c>
      <c r="B58" s="25" t="inlineStr">
        <is>
          <t>SCR-CRT-02-SC1</t>
        </is>
      </c>
      <c r="C58" s="25" t="inlineStr">
        <is>
          <t>SCR-CRT-02</t>
        </is>
      </c>
      <c r="D58" s="25" t="inlineStr">
        <is>
          <t>CT - Cart</t>
        </is>
      </c>
      <c r="E58" s="25" t="inlineStr">
        <is>
          <t>CT-08</t>
        </is>
      </c>
      <c r="F58" s="25" t="inlineStr">
        <is>
          <t>Boundary</t>
        </is>
      </c>
      <c r="G58" s="25" t="inlineStr">
        <is>
          <t>Phí 60-Minute là phí cố định, KHÔNG được miễn theo giá trị đơn hàng.</t>
        </is>
      </c>
      <c r="H58" s="25" t="inlineStr">
        <is>
          <t>Giỏ hàng đạt &gt;=150.000đ nhưng chọn dịch vụ 60-Minute.</t>
        </is>
      </c>
      <c r="I58" s="25" t="inlineStr">
        <is>
          <t>Địa chỉ trong bán kính 60-Minute (3-5km), giỏ hàng &gt;=150.000đ.</t>
        </is>
      </c>
      <c r="J58" s="25" t="inlineStr">
        <is>
          <t>Phí 60-Minute VẪN được thu dù đơn hàng đã vượt ngưỡng freeship Standard (150.000đ chỉ miễn phí cho Standard - BRL-18/19); chỉ coupon giao hàng phủ hết toàn bộ phí mới miễn được.</t>
        </is>
      </c>
      <c r="K58" s="25" t="inlineStr">
        <is>
          <t>Freeship threshold của Standard KHÔNG áp dụng cho 60-Minute.</t>
        </is>
      </c>
      <c r="L58" s="25" t="inlineStr">
        <is>
          <t>QnA-33</t>
        </is>
      </c>
      <c r="M58" s="25" t="inlineStr">
        <is>
          <t>Các màn hình chọn khung giờ trên Figma cho thấy phí giao hàng có thể khác nhau theo từng khung giờ Standard, mâu thuẫn tiềm ẩn với BRL-19 - xem QnA-33.</t>
        </is>
      </c>
    </row>
    <row r="59" hidden="1" ht="45.75" customHeight="1" s="23">
      <c r="A59" s="8" t="n">
        <v>57</v>
      </c>
      <c r="B59" s="8" t="inlineStr">
        <is>
          <t>SCR-CRT-02-SC2</t>
        </is>
      </c>
      <c r="C59" s="8" t="inlineStr">
        <is>
          <t>SCR-CRT-02</t>
        </is>
      </c>
      <c r="D59" s="8" t="inlineStr">
        <is>
          <t>CT - Cart</t>
        </is>
      </c>
      <c r="E59" s="8" t="inlineStr">
        <is>
          <t>CT-08</t>
        </is>
      </c>
      <c r="F59" s="8" t="inlineStr">
        <is>
          <t>Boundary</t>
        </is>
      </c>
      <c r="G59" s="8" t="inlineStr">
        <is>
          <t>Cảnh báo khi số slot 60-Minute còn lại chạm ngưỡng cấu hình (hiện tại là 1).</t>
        </is>
      </c>
      <c r="H59" s="8" t="inlineStr">
        <is>
          <t>Slot 60-Minute còn lại = 1 (bằng ngưỡng).</t>
        </is>
      </c>
      <c r="I59" s="8" t="inlineStr">
        <is>
          <t>Store còn đúng 1 slot 60-Minute cho khung giờ đang chọn.</t>
        </is>
      </c>
      <c r="J59" s="8" t="inlineStr">
        <is>
          <t>Cảnh báo hiện NGAY trong Cart khi còn lại &lt;= ngưỡng (hiện là 1 - BRL-20), nói rõ hệ quả (ví dụ 'chỉ còn 1 chỗ'); ngưỡng này là tham số cấu hình, có thể tăng lên (ví dụ 5) mà không đổi flow.</t>
        </is>
      </c>
      <c r="K59" s="8" t="inlineStr">
        <is>
          <t>Cảnh báo phải xuất hiện đúng thời điểm chạm ngưỡng, không sớm hơn không muộn hơn.</t>
        </is>
      </c>
      <c r="L59" s="8" t="n"/>
      <c r="M59" s="8" t="n"/>
    </row>
    <row r="60" hidden="1" ht="45.75" customHeight="1" s="23">
      <c r="A60" s="25" t="n">
        <v>58</v>
      </c>
      <c r="B60" s="25" t="inlineStr">
        <is>
          <t>SCR-CRT-03-SC1</t>
        </is>
      </c>
      <c r="C60" s="25" t="inlineStr">
        <is>
          <t>SCR-CRT-03</t>
        </is>
      </c>
      <c r="D60" s="25" t="inlineStr">
        <is>
          <t>CT - Cart</t>
        </is>
      </c>
      <c r="E60" s="25" t="inlineStr">
        <is>
          <t>CT-08</t>
        </is>
      </c>
      <c r="F60" s="25" t="inlineStr">
        <is>
          <t>Functional</t>
        </is>
      </c>
      <c r="G60" s="25" t="inlineStr">
        <is>
          <t>Địa chỉ thuộc vùng Next-day chỉ chọn được NGÀY giao (không có khung giờ).</t>
        </is>
      </c>
      <c r="H60" s="25" t="inlineStr">
        <is>
          <t>Chọn 1 ngày giao hợp lệ trong danh sách.</t>
        </is>
      </c>
      <c r="I60" s="25" t="inlineStr">
        <is>
          <t>Địa chỉ nằm ngoài bán kính Standard, trong 1 khu vực Next-day đã cấu hình.</t>
        </is>
      </c>
      <c r="J60" s="25" t="inlineStr">
        <is>
          <t>Màn hình chỉ hiện bộ chọn NGÀY (không có slot giờ); các ngày không khả dụng hiện dạng disabled (không bị ẩn) để khách hiểu lý do.</t>
        </is>
      </c>
      <c r="K60" s="25" t="inlineStr">
        <is>
          <t>Next-day luôn là chọn-ngày, không bao giờ là chọn-giờ.</t>
        </is>
      </c>
      <c r="L60" s="25" t="inlineStr">
        <is>
          <t>QnA-09</t>
        </is>
      </c>
      <c r="M60" s="25" t="inlineStr">
        <is>
          <t>Vùng phủ Next-day có đủ toàn bộ VN hay không vẫn là OQ-09/QnA-09.</t>
        </is>
      </c>
    </row>
    <row r="61" hidden="1" ht="45.75" customHeight="1" s="23">
      <c r="A61" s="8" t="n">
        <v>59</v>
      </c>
      <c r="B61" s="8" t="inlineStr">
        <is>
          <t>SCR-CRT-03-SC2</t>
        </is>
      </c>
      <c r="C61" s="8" t="inlineStr">
        <is>
          <t>SCR-CRT-03</t>
        </is>
      </c>
      <c r="D61" s="8" t="inlineStr">
        <is>
          <t>CT - Cart</t>
        </is>
      </c>
      <c r="E61" s="8" t="inlineStr">
        <is>
          <t>CT-08</t>
        </is>
      </c>
      <c r="F61" s="8" t="inlineStr">
        <is>
          <t>Boundary</t>
        </is>
      </c>
      <c r="G61" s="8" t="inlineStr">
        <is>
          <t>Đơn hàng bulky (nặng &gt;15kg HOẶC có sản phẩm gắn nhãn bulky) đẩy ngày giao từ T+2 sang T+4 và cộng thêm phụ phí.</t>
        </is>
      </c>
      <c r="H61" s="8" t="inlineStr">
        <is>
          <t>Giỏ hàng có tổng trọng lượng &gt;15kg (hoặc có 1 SKU 'bulky').</t>
        </is>
      </c>
      <c r="I61" s="8" t="inlineStr">
        <is>
          <t>Đang chọn ngày giao cho đơn hàng được xác định là bulky.</t>
        </is>
      </c>
      <c r="J61" s="8" t="inlineStr">
        <is>
          <t>Các ngày trước T+4 bị disable (thay vì T+2 cho đơn thường); màn hình nêu rõ SKU nào khiến đơn thành bulky; phụ phí bulky được cộng THÊM trên phí dịch vụ đã chọn và KHÔNG được miễn bởi ngưỡng freeship (BRL-22/23).</t>
        </is>
      </c>
      <c r="K61" s="8" t="inlineStr">
        <is>
          <t>Xác định bulky tính trên TỔ HỢP sản phẩm đã chọn, không phải trên từng SKU riêng lẻ.</t>
        </is>
      </c>
      <c r="L61" s="8" t="n"/>
      <c r="M61" s="8" t="n"/>
    </row>
    <row r="62" hidden="1" ht="45.75" customHeight="1" s="23">
      <c r="A62" s="8" t="n">
        <v>60</v>
      </c>
      <c r="B62" s="8" t="inlineStr">
        <is>
          <t>SCR-CRT-03-SC3</t>
        </is>
      </c>
      <c r="C62" s="8" t="inlineStr">
        <is>
          <t>SCR-CRT-03</t>
        </is>
      </c>
      <c r="D62" s="8" t="inlineStr">
        <is>
          <t>CT - Cart</t>
        </is>
      </c>
      <c r="E62" s="8" t="inlineStr">
        <is>
          <t>CT-08</t>
        </is>
      </c>
      <c r="F62" s="8" t="inlineStr">
        <is>
          <t>Edge</t>
        </is>
      </c>
      <c r="G62" s="8" t="inlineStr">
        <is>
          <t>Bỏ bớt sản phẩm 'bulky' khỏi giỏ khiến đơn trở lại T+2 (đánh giá lại tự động).</t>
        </is>
      </c>
      <c r="H62" s="8" t="inlineStr">
        <is>
          <t>Xoá SKU 'bulky' duy nhất khỏi giỏ hàng.</t>
        </is>
      </c>
      <c r="I62" s="8" t="inlineStr">
        <is>
          <t>Đơn đang ở trạng thái bulky (T+4) do 1 SKU gắn nhãn bulky.</t>
        </is>
      </c>
      <c r="J62" s="8" t="inlineStr">
        <is>
          <t>Ngày sớm nhất có thể chọn quay lại T+2 NGAY sau khi xoá SKU đó (quy tắc bulky được đánh giá lại mỗi khi thay đổi lựa chọn sản phẩm, không phải 1 lần cố định).</t>
        </is>
      </c>
      <c r="K62" s="8" t="inlineStr">
        <is>
          <t>Đánh giá lại bulky là real-time theo lựa chọn hiện tại.</t>
        </is>
      </c>
      <c r="L62" s="8" t="n"/>
      <c r="M62" s="8" t="n"/>
    </row>
    <row r="63" hidden="1" ht="45.75" customHeight="1" s="23">
      <c r="A63" s="8" t="n">
        <v>61</v>
      </c>
      <c r="B63" s="8" t="inlineStr">
        <is>
          <t>SCR-CRT-04-SC1</t>
        </is>
      </c>
      <c r="C63" s="8" t="inlineStr">
        <is>
          <t>SCR-CRT-04</t>
        </is>
      </c>
      <c r="D63" s="8" t="inlineStr">
        <is>
          <t>CT - Cart</t>
        </is>
      </c>
      <c r="E63" s="8" t="inlineStr">
        <is>
          <t>CT-02, CT-09</t>
        </is>
      </c>
      <c r="F63" s="8" t="inlineStr">
        <is>
          <t>Functional</t>
        </is>
      </c>
      <c r="G63" s="8" t="inlineStr">
        <is>
          <t>Nhập thông tin người nhận hàng (Pickup) khác với chủ tài khoản.</t>
        </is>
      </c>
      <c r="H63" s="8" t="inlineStr">
        <is>
          <t>Nhập tên/SĐT người nhận khác tên/SĐT tài khoản đang đăng nhập.</t>
        </is>
      </c>
      <c r="I63" s="8" t="inlineStr">
        <is>
          <t>Đang ở tab 'Tự đến lấy' (Pickup) trong Cart.</t>
        </is>
      </c>
      <c r="J63" s="8" t="inlineStr">
        <is>
          <t>Tên và SĐT người đến nhận được nhập RIÊNG, độc lập với hồ sơ tài khoản (BRL-30) - không bị ghi đè hay validate trùng khớp với profile.</t>
        </is>
      </c>
      <c r="K63" s="8" t="inlineStr">
        <is>
          <t>Người nhận có thể khác hoàn toàn chủ tài khoản.</t>
        </is>
      </c>
      <c r="L63" s="8" t="n"/>
      <c r="M63" s="8" t="n"/>
    </row>
    <row r="64" hidden="1" ht="45.75" customHeight="1" s="23">
      <c r="A64" s="8" t="n">
        <v>62</v>
      </c>
      <c r="B64" s="8" t="inlineStr">
        <is>
          <t>SCR-CRT-04-SC2</t>
        </is>
      </c>
      <c r="C64" s="8" t="inlineStr">
        <is>
          <t>SCR-CRT-04</t>
        </is>
      </c>
      <c r="D64" s="8" t="inlineStr">
        <is>
          <t>CT - Cart</t>
        </is>
      </c>
      <c r="E64" s="8" t="inlineStr">
        <is>
          <t>CT-09</t>
        </is>
      </c>
      <c r="F64" s="8" t="inlineStr">
        <is>
          <t>Functional</t>
        </is>
      </c>
      <c r="G64" s="8" t="inlineStr">
        <is>
          <t>Thanh toán tiền mặt khi Pickup CHỈ khả dụng cho hạng Platinum/Diamond.</t>
        </is>
      </c>
      <c r="H64" s="8" t="inlineStr">
        <is>
          <t>Tài khoản tier Platinum thử chọn tiền mặt; tài khoản tier thường thử chọn tiền mặt.</t>
        </is>
      </c>
      <c r="I64" s="8" t="inlineStr">
        <is>
          <t>2 tài khoản test: 1 Platinum, 1 tier thường (ví dụ Bạc/không tier).</t>
        </is>
      </c>
      <c r="J64" s="8" t="inlineStr">
        <is>
          <t>Với tài khoản Platinum/Diamond: tuỳ chọn tiền mặt hiện và chọn được. Với tài khoản tier thường: tuỳ chọn tiền mặt KHÔNG hiện (ẩn hoàn toàn, không phải disabled mờ) - đây là thay đổi so với As-Is (BRL-29).</t>
        </is>
      </c>
      <c r="K64" s="8" t="inlineStr">
        <is>
          <t>Tính đủ điều kiện theo tier phải chính xác, không lộ tuỳ chọn cho tier không đủ điều kiện.</t>
        </is>
      </c>
      <c r="L64" s="8" t="n"/>
      <c r="M64" s="8" t="n"/>
    </row>
    <row r="65" hidden="1" ht="45.75" customHeight="1" s="23">
      <c r="A65" s="25" t="n">
        <v>63</v>
      </c>
      <c r="B65" s="25" t="inlineStr">
        <is>
          <t>SCR-CRT-04-SC3</t>
        </is>
      </c>
      <c r="C65" s="25" t="inlineStr">
        <is>
          <t>SCR-CRT-04</t>
        </is>
      </c>
      <c r="D65" s="25" t="inlineStr">
        <is>
          <t>CT - Cart</t>
        </is>
      </c>
      <c r="E65" s="25" t="inlineStr">
        <is>
          <t>CT-10</t>
        </is>
      </c>
      <c r="F65" s="25" t="inlineStr">
        <is>
          <t>Edge</t>
        </is>
      </c>
      <c r="G65" s="25" t="inlineStr">
        <is>
          <t>Kiểm tra 2 hành trình locker khác nhau: locker gần nhà (thuộc Delivery) và locker tại store (thuộc Pickup).</t>
        </is>
      </c>
      <c r="H65" s="25" t="inlineStr">
        <is>
          <t>Chọn locker gần nhà từ tab Delivery; riêng chọn locker tại store từ tab Pickup.</t>
        </is>
      </c>
      <c r="I65" s="25" t="inlineStr">
        <is>
          <t>Đang ở Cart, cả 2 tab Delivery và Pickup đều có tuỳ chọn locker.</t>
        </is>
      </c>
      <c r="J65" s="25" t="inlineStr">
        <is>
          <t>Locker gần nhà hiện thông tin: thời gian dự kiến, tên/địa chỉ locker gần nhà khách; locker tại store hiện: thời gian dự kiến, vị trí locker trong store. 2 luồng không bị lẫn sang nhau.</t>
        </is>
      </c>
      <c r="K65" s="25" t="inlineStr">
        <is>
          <t>Phân biệt đúng 2 loại locker theo đúng nhánh Delivery/Pickup.</t>
        </is>
      </c>
      <c r="L65" s="25" t="inlineStr">
        <is>
          <t>QnA-23, QnA-31</t>
        </is>
      </c>
      <c r="M65" s="25" t="inlineStr">
        <is>
          <t>OQ-23/QnA-23: quy tắc đầy đủ (chọn lựa, thời gian giữ, phí, xử lý không đến nhận) vẫn còn mở. QnA-31: Figma đã có UI locker khá đầy đủ, cần xác nhận đây có phải bản chính thức.</t>
        </is>
      </c>
    </row>
    <row r="66" hidden="1" ht="45.75" customHeight="1" s="23">
      <c r="A66" s="8" t="n">
        <v>64</v>
      </c>
      <c r="B66" s="8" t="inlineStr">
        <is>
          <t>SCR-CRT-04-SC4</t>
        </is>
      </c>
      <c r="C66" s="8" t="inlineStr">
        <is>
          <t>SCR-CRT-04</t>
        </is>
      </c>
      <c r="D66" s="8" t="inlineStr">
        <is>
          <t>CT - Cart</t>
        </is>
      </c>
      <c r="E66" s="8" t="inlineStr">
        <is>
          <t>CT-09</t>
        </is>
      </c>
      <c r="F66" s="8" t="inlineStr">
        <is>
          <t>Boundary</t>
        </is>
      </c>
      <c r="G66" s="8" t="inlineStr">
        <is>
          <t>Kiểm tra 3 trạng thái hiển thị của slot Pickup: Open / Closing soon / Closed.</t>
        </is>
      </c>
      <c r="H66" s="8" t="inlineStr">
        <is>
          <t>3 slot mẫu: slot A còn nhiều chỗ, slot B sắp hết chỗ (chạm ngưỡng cảnh báo), slot C đã hết chỗ.</t>
        </is>
      </c>
      <c r="I66" s="8" t="inlineStr">
        <is>
          <t>Đang ở tab Pickup trong Cart, chọn màn hình chọn slot.</t>
        </is>
      </c>
      <c r="J66" s="8" t="inlineStr">
        <is>
          <t>Slot A hiện trạng thái Open (chọn được); Slot B hiện Closing soon kèm cảnh báo (vẫn chọn được); Slot C hiện Closed (không chọn được, disabled). 3 trạng thái loại trừ lẫn nhau, đúng theo BRL-28.</t>
        </is>
      </c>
      <c r="K66" s="8" t="inlineStr">
        <is>
          <t>Đúng 3 trạng thái slot Pickup theo capacity, không lẫn giữa các trạng thái.</t>
        </is>
      </c>
      <c r="L66" s="8" t="n"/>
      <c r="M66" s="8" t="inlineStr">
        <is>
          <t>Bổ sung theo Review 26/08/2026 - Delivery-side đã có test tương tự cho 60-Minute (SCR-CRT-02-SC2) nhưng Pickup-side (BRL-28) chưa có, đây là gap được ghi trong Review - Gaps &amp; Issues.</t>
        </is>
      </c>
    </row>
    <row r="67" hidden="1" ht="45.75" customHeight="1" s="23">
      <c r="A67" s="8" t="n">
        <v>65</v>
      </c>
      <c r="B67" s="8" t="inlineStr">
        <is>
          <t>SCR-CRT-05-SC1</t>
        </is>
      </c>
      <c r="C67" s="8" t="inlineStr">
        <is>
          <t>SCR-CRT-05</t>
        </is>
      </c>
      <c r="D67" s="8" t="inlineStr">
        <is>
          <t>CT - Cart</t>
        </is>
      </c>
      <c r="E67" s="8" t="inlineStr">
        <is>
          <t>CT-05</t>
        </is>
      </c>
      <c r="F67" s="8" t="inlineStr">
        <is>
          <t>Functional</t>
        </is>
      </c>
      <c r="G67" s="8" t="inlineStr">
        <is>
          <t>Vuốt (swipe) sản phẩm sang trái để xoá - phải qua màn hình xác nhận.</t>
        </is>
      </c>
      <c r="H67" s="8" t="inlineStr">
        <is>
          <t>Vuốt trái 1 dòng sản phẩm, bấm Confirm trên dialog.</t>
        </is>
      </c>
      <c r="I67" s="8" t="inlineStr">
        <is>
          <t>Giỏ hàng có ít nhất 1 sản phẩm.</t>
        </is>
      </c>
      <c r="J67" s="8" t="inlineStr">
        <is>
          <t>Vuốt trái hiện nút Xoá nhưng KHÔNG xoá ngay; bấm Xoá mở dialog xác nhận 'Bạn chắc chắn muốn xoá sản phẩm này?' với No/Confirm; chỉ Confirm mới thực sự xoá.</t>
        </is>
      </c>
      <c r="K67" s="8" t="inlineStr">
        <is>
          <t>Không có thao tác xoá tức thì nào bỏ qua được dialog xác nhận.</t>
        </is>
      </c>
      <c r="L67" s="8" t="n"/>
      <c r="M67" s="8" t="n"/>
    </row>
    <row r="68" hidden="1" ht="45.75" customHeight="1" s="23">
      <c r="A68" s="8" t="n">
        <v>66</v>
      </c>
      <c r="B68" s="8" t="inlineStr">
        <is>
          <t>SCR-CRT-05-SC2</t>
        </is>
      </c>
      <c r="C68" s="8" t="inlineStr">
        <is>
          <t>SCR-CRT-05</t>
        </is>
      </c>
      <c r="D68" s="8" t="inlineStr">
        <is>
          <t>CT - Cart</t>
        </is>
      </c>
      <c r="E68" s="8" t="inlineStr">
        <is>
          <t>CT-05</t>
        </is>
      </c>
      <c r="F68" s="8" t="inlineStr">
        <is>
          <t>Functional</t>
        </is>
      </c>
      <c r="G68" s="8" t="inlineStr">
        <is>
          <t>Giảm số lượng về 0 kích hoạt CÙNG 1 dialog xác nhận xoá như swipe.</t>
        </is>
      </c>
      <c r="H68" s="8" t="inlineStr">
        <is>
          <t>Giảm số lượng sản phẩm từ 1 xuống 0.</t>
        </is>
      </c>
      <c r="I68" s="8" t="inlineStr">
        <is>
          <t>Sản phẩm đang có số lượng = 1.</t>
        </is>
      </c>
      <c r="J68" s="8" t="inlineStr">
        <is>
          <t>Dialog xác nhận giống hệt trường hợp swipe (cùng nội dung, cùng No/Confirm); bấm No thì số lượng được KHÔI PHỤC về 1 (không giữ ở 0).</t>
        </is>
      </c>
      <c r="K68" s="8" t="inlineStr">
        <is>
          <t>2 cơ chế kích hoạt (swipe, giảm về 0) phải dẫn đến cùng 1 hành vi xác nhận.</t>
        </is>
      </c>
      <c r="L68" s="8" t="n"/>
      <c r="M68" s="8" t="n"/>
    </row>
    <row r="69" hidden="1" ht="45.75" customHeight="1" s="23">
      <c r="A69" s="8" t="n">
        <v>67</v>
      </c>
      <c r="B69" s="8" t="inlineStr">
        <is>
          <t>SCR-CRT-05-SC3</t>
        </is>
      </c>
      <c r="C69" s="8" t="inlineStr">
        <is>
          <t>SCR-CRT-05</t>
        </is>
      </c>
      <c r="D69" s="8" t="inlineStr">
        <is>
          <t>CT - Cart</t>
        </is>
      </c>
      <c r="E69" s="8" t="inlineStr">
        <is>
          <t>CT-05</t>
        </is>
      </c>
      <c r="F69" s="8" t="inlineStr">
        <is>
          <t>Boundary</t>
        </is>
      </c>
      <c r="G69" s="8" t="inlineStr">
        <is>
          <t>Chọn vượt quá 30 sản phẩm cho 1 lần thanh toán bị chặn bằng lỗi và không thể Proceed.</t>
        </is>
      </c>
      <c r="H69" s="8" t="inlineStr">
        <is>
          <t>Chọn 35 sản phẩm (Chọn tất cả), thử bấm Thanh toán.</t>
        </is>
      </c>
      <c r="I69" s="8" t="inlineStr">
        <is>
          <t>Giỏ hàng có &gt;30 sản phẩm có thể chọn.</t>
        </is>
      </c>
      <c r="J69" s="8" t="inlineStr">
        <is>
          <t>Hiện lỗi 'Giỏ hàng đã vượt quá giới hạn tối đa 30 sản phẩm cho 1 đơn hàng' đưa khách về lại bước chọn; bộ đếm số lượng đã chọn/giới hạn hiện rõ (ví dụ 35/30); nút Proceed to Checkout bị khoá cho đến khi giảm về &lt;=30.</t>
        </is>
      </c>
      <c r="K69" s="8" t="inlineStr">
        <is>
          <t>Giới hạn 30 là tham số cấu hình (BRL-31), không hard-code nhưng phải được thực thi đúng.</t>
        </is>
      </c>
      <c r="L69" s="8" t="n"/>
      <c r="M69" s="8" t="inlineStr">
        <is>
          <t>Đã xác nhận qua màn hình Figma thực tế có đúng thông báo lỗi này - dùng làm test data tham chiếu.</t>
        </is>
      </c>
    </row>
    <row r="70" hidden="1" ht="45.75" customHeight="1" s="23">
      <c r="A70" s="8" t="n">
        <v>68</v>
      </c>
      <c r="B70" s="8" t="inlineStr">
        <is>
          <t>SCR-CRT-06-SC1</t>
        </is>
      </c>
      <c r="C70" s="8" t="inlineStr">
        <is>
          <t>SCR-CRT-06</t>
        </is>
      </c>
      <c r="D70" s="8" t="inlineStr">
        <is>
          <t>CT - Cart</t>
        </is>
      </c>
      <c r="E70" s="8" t="inlineStr">
        <is>
          <t>CT-07</t>
        </is>
      </c>
      <c r="F70" s="8" t="inlineStr">
        <is>
          <t>Normal</t>
        </is>
      </c>
      <c r="G70" s="8" t="inlineStr">
        <is>
          <t>Đổi store trong Cart KHÔNG gây ảnh hưởng gì (không sản phẩm/dịch vụ nào bị ảnh hưởng) - đổi ngay không cần xác nhận.</t>
        </is>
      </c>
      <c r="H70" s="8" t="inlineStr">
        <is>
          <t>Chọn 1 store mới mà toàn bộ sản phẩm/dịch vụ/slot vẫn giữ nguyên giá trị hợp lệ.</t>
        </is>
      </c>
      <c r="I70" s="8" t="inlineStr">
        <is>
          <t>Danh sách store trong Cart đã được lọc chỉ còn store phục vụ được địa chỉ hiện tại.</t>
        </is>
      </c>
      <c r="J70" s="8" t="inlineStr">
        <is>
          <t>Vì không có ảnh hưởng ở cả 2 nhóm (sản phẩm, dịch vụ/slot), store ĐƯỢC ĐỔI NGAY, không hiện dialog cảnh báo.</t>
        </is>
      </c>
      <c r="K70" s="8" t="inlineStr">
        <is>
          <t>Chỉ khi có ảnh hưởng mới cần xác nhận - trường hợp này không có ảnh hưởng nên đổi trực tiếp.</t>
        </is>
      </c>
      <c r="L70" s="8" t="n"/>
      <c r="M70" s="8" t="n"/>
    </row>
    <row r="71" hidden="1" ht="45.75" customHeight="1" s="23">
      <c r="A71" s="25" t="n">
        <v>69</v>
      </c>
      <c r="B71" s="25" t="inlineStr">
        <is>
          <t>SCR-CRT-06-SC2</t>
        </is>
      </c>
      <c r="C71" s="25" t="inlineStr">
        <is>
          <t>SCR-CRT-06</t>
        </is>
      </c>
      <c r="D71" s="25" t="inlineStr">
        <is>
          <t>CT - Cart</t>
        </is>
      </c>
      <c r="E71" s="25" t="inlineStr">
        <is>
          <t>CT-07</t>
        </is>
      </c>
      <c r="F71" s="25" t="inlineStr">
        <is>
          <t>Edge</t>
        </is>
      </c>
      <c r="G71" s="25" t="inlineStr">
        <is>
          <t>Đổi store gây ảnh hưởng cả 2 nhóm (giá đổi/hết hàng VÀ dịch vụ/slot đổi) - hiện 1 cảnh báo gộp cho cả 2, Continue áp dụng thay đổi.</t>
        </is>
      </c>
      <c r="H71" s="25" t="inlineStr">
        <is>
          <t>Chọn store mới làm 1 SKU hết hàng, 1 SKU đổi giá, VÀ đổi khu vực dịch vụ.</t>
        </is>
      </c>
      <c r="I71" s="25" t="inlineStr">
        <is>
          <t>Store mới ảnh hưởng đồng thời sản phẩm và dịch vụ/slot của giỏ hàng hiện tại.</t>
        </is>
      </c>
      <c r="J71" s="25" t="inlineStr">
        <is>
          <t>Chỉ hiện 1 dialog cảnh báo GỘP liệt kê toàn bộ ảnh hưởng (không tách riêng 2 dialog); bấm Continue: sản phẩm không còn bán được/hết hàng chuyển sang nhóm riêng, sản phẩm đổi giá được cập nhật giá mới, dịch vụ/slot được gợi ý lại theo quy tắc chuẩn (BRL-25...27).</t>
        </is>
      </c>
      <c r="K71" s="25" t="inlineStr">
        <is>
          <t>Cảnh báo phải gộp toàn bộ ảnh hưởng vào 1 lần xác nhận duy nhất.</t>
        </is>
      </c>
      <c r="L71" s="25" t="inlineStr">
        <is>
          <t>QnA-25</t>
        </is>
      </c>
      <c r="M71" s="25" t="inlineStr">
        <is>
          <t>Bố cục chi tiết của cảnh báo khi nhiều nhóm ảnh hưởng xảy ra cùng lúc vẫn là OQ-25/QnA-25 - đây là item cuối cùng còn chặn bộ màn hình Cart.</t>
        </is>
      </c>
    </row>
    <row r="72" hidden="1" ht="45.75" customHeight="1" s="23">
      <c r="A72" s="8" t="n">
        <v>70</v>
      </c>
      <c r="B72" s="8" t="inlineStr">
        <is>
          <t>SCR-CRT-06-SC3</t>
        </is>
      </c>
      <c r="C72" s="8" t="inlineStr">
        <is>
          <t>SCR-CRT-06</t>
        </is>
      </c>
      <c r="D72" s="8" t="inlineStr">
        <is>
          <t>CT - Cart</t>
        </is>
      </c>
      <c r="E72" s="8" t="inlineStr">
        <is>
          <t>CT-07</t>
        </is>
      </c>
      <c r="F72" s="8" t="inlineStr">
        <is>
          <t>Negative</t>
        </is>
      </c>
      <c r="G72" s="8" t="inlineStr">
        <is>
          <t>Bấm Cancel trên cảnh báo đổi store giữ nguyên store cũ và KHÔNG thay đổi gì trong giỏ hàng.</t>
        </is>
      </c>
      <c r="H72" s="8" t="inlineStr">
        <is>
          <t>Bấm Cancel trên dialog cảnh báo gộp.</t>
        </is>
      </c>
      <c r="I72" s="8" t="inlineStr">
        <is>
          <t>Dialog cảnh báo đổi store đang hiển thị (từ SC2).</t>
        </is>
      </c>
      <c r="J72" s="8" t="inlineStr">
        <is>
          <t>Store cũ được GIỮ NGUYÊN, toàn bộ sản phẩm/dịch vụ/slot trong giỏ hàng KHÔNG bị thay đổi dù chỉ 1 chi tiết nhỏ.</t>
        </is>
      </c>
      <c r="K72" s="8" t="inlineStr">
        <is>
          <t>Cancel phải là roll-back hoàn toàn, không áp dụng 1 phần thay đổi nào.</t>
        </is>
      </c>
      <c r="L72" s="8" t="n"/>
      <c r="M72" s="8" t="n"/>
    </row>
    <row r="73" hidden="1" ht="45.75" customHeight="1" s="23">
      <c r="A73" s="8" t="n">
        <v>71</v>
      </c>
      <c r="B73" s="8" t="inlineStr">
        <is>
          <t>SCR-CRT-07-SC1</t>
        </is>
      </c>
      <c r="C73" s="8" t="inlineStr">
        <is>
          <t>SCR-CRT-07</t>
        </is>
      </c>
      <c r="D73" s="8" t="inlineStr">
        <is>
          <t>CT - Cart</t>
        </is>
      </c>
      <c r="E73" s="8" t="inlineStr">
        <is>
          <t>CT-08</t>
        </is>
      </c>
      <c r="F73" s="8" t="inlineStr">
        <is>
          <t>Functional</t>
        </is>
      </c>
      <c r="G73" s="8" t="inlineStr">
        <is>
          <t>Khách CHƯA chủ động đổi slot ở Homepage: hệ thống gợi ý slot theo thứ tự sớm nhất &gt; quen thuộc &gt; tích điểm.</t>
        </is>
      </c>
      <c r="H73" s="8" t="inlineStr">
        <is>
          <t>Mở sheet chọn slot mà chưa từng đổi slot ở Homepage.</t>
        </is>
      </c>
      <c r="I73" s="8" t="inlineStr">
        <is>
          <t>Khách chưa từng chủ động chọn slot khác ở Homepage cho phiên này.</t>
        </is>
      </c>
      <c r="J73" s="8" t="inlineStr">
        <is>
          <t>Slot SỚM NHẤT tại store được gợi ý đầu tiên (BRL-25); các slot khác sắp xếp theo thứ tự: slot quen thuộc &gt; slot sớm nhất &gt; slot tích điểm (BRL-27).</t>
        </is>
      </c>
      <c r="K73" s="8" t="inlineStr">
        <is>
          <t>Đúng thứ tự ưu tiên khi khách chưa chủ động đổi slot.</t>
        </is>
      </c>
      <c r="L73" s="8" t="n"/>
      <c r="M73" s="8" t="n"/>
    </row>
    <row r="74" hidden="1" ht="45.75" customHeight="1" s="23">
      <c r="A74" s="8" t="n">
        <v>72</v>
      </c>
      <c r="B74" s="8" t="inlineStr">
        <is>
          <t>SCR-CRT-07-SC2</t>
        </is>
      </c>
      <c r="C74" s="8" t="inlineStr">
        <is>
          <t>SCR-CRT-07</t>
        </is>
      </c>
      <c r="D74" s="8" t="inlineStr">
        <is>
          <t>CT - Cart</t>
        </is>
      </c>
      <c r="E74" s="8" t="inlineStr">
        <is>
          <t>CT-08</t>
        </is>
      </c>
      <c r="F74" s="8" t="inlineStr">
        <is>
          <t>Functional</t>
        </is>
      </c>
      <c r="G74" s="8" t="inlineStr">
        <is>
          <t>Khách ĐÃ chủ động chọn slot ở Homepage: slot 'quen thuộc' được gợi ý trước tiên thay vì slot sớm nhất.</t>
        </is>
      </c>
      <c r="H74" s="8" t="inlineStr">
        <is>
          <t>Mở sheet chọn slot sau khi đã từng chủ động đổi slot trên Homepage.</t>
        </is>
      </c>
      <c r="I74" s="8" t="inlineStr">
        <is>
          <t>Khách đã chủ động chọn 1 slot khác trên Homepage trước khi vào Cart.</t>
        </is>
      </c>
      <c r="J74" s="8" t="inlineStr">
        <is>
          <t>Slot 'quen thuộc' (khung giờ chiếm tỷ lệ lớn nhất trong 2 tháng gần nhất, tính riêng theo từng địa chỉ, trên tất cả các store) được gợi ý TRƯỚC, sau đó mới đến slot sớm nhất (BRL-26/27).</t>
        </is>
      </c>
      <c r="K74" s="8" t="inlineStr">
        <is>
          <t>Thứ tự ưu tiên phải đảo ngược so với SC1 khi khách đã từng chủ động chọn.</t>
        </is>
      </c>
      <c r="L74" s="8" t="n"/>
      <c r="M74" s="8" t="n"/>
    </row>
    <row r="75" ht="60" customHeight="1" s="23">
      <c r="A75" s="8" t="n">
        <v>73</v>
      </c>
      <c r="B75" s="8" t="inlineStr">
        <is>
          <t>SCR-CHK-01-SC1</t>
        </is>
      </c>
      <c r="C75" s="8" t="inlineStr">
        <is>
          <t>SCR-CHK-01</t>
        </is>
      </c>
      <c r="D75" s="8" t="inlineStr">
        <is>
          <t>CO - Checkout</t>
        </is>
      </c>
      <c r="E75" s="8" t="inlineStr">
        <is>
          <t>CO-01, CT-11</t>
        </is>
      </c>
      <c r="F75" s="8" t="inlineStr">
        <is>
          <t>Normal</t>
        </is>
      </c>
      <c r="G75" s="8" t="inlineStr">
        <is>
          <t>Toàn bộ thông tin giao hàng và danh sách sản phẩm là READ-ONLY, sửa đổi phải quay lại Cart.</t>
        </is>
      </c>
      <c r="H75" s="8" t="inlineStr">
        <is>
          <t>Thử chạm vào khối địa chỉ/store/slot và vào danh sách sản phẩm.</t>
        </is>
      </c>
      <c r="I75" s="8" t="inlineStr">
        <is>
          <t>Vừa bấm Proceed to Checkout từ Cart với đơn hàng hợp lệ.</t>
        </is>
      </c>
      <c r="J75" s="8" t="inlineStr">
        <is>
          <t>Không có điều khiển sửa trực tiếp nào trên khối giao hàng/danh sách sản phẩm; chạm vào 1 phần tử bị khoá sẽ giải thích quy tắc và đưa về lại Cart, GIỮ NGUYÊN toàn bộ lựa chọn trước đó khi quay lại (BRL-31).</t>
        </is>
      </c>
      <c r="K75" s="8" t="inlineStr">
        <is>
          <t>Order phải thật sự không sửa được tại Checkout (BR-09) - mọi thay đổi bắt buộc quay lại Cart.</t>
        </is>
      </c>
      <c r="L75" s="8" t="n"/>
      <c r="M75" s="8" t="n"/>
    </row>
    <row r="76" hidden="1" ht="60" customHeight="1" s="23">
      <c r="A76" s="8" t="n">
        <v>74</v>
      </c>
      <c r="B76" s="8" t="inlineStr">
        <is>
          <t>SCR-CHK-01-SC2</t>
        </is>
      </c>
      <c r="C76" s="8" t="inlineStr">
        <is>
          <t>SCR-CHK-01</t>
        </is>
      </c>
      <c r="D76" s="8" t="inlineStr">
        <is>
          <t>CO - Checkout</t>
        </is>
      </c>
      <c r="E76" s="8" t="inlineStr">
        <is>
          <t>CO-01</t>
        </is>
      </c>
      <c r="F76" s="8" t="inlineStr">
        <is>
          <t>Functional</t>
        </is>
      </c>
      <c r="G76" s="8" t="inlineStr">
        <is>
          <t>Chuyển đổi Detail/Compact cho danh sách sản phẩm đơn hàng lớn - chỉ là hiển thị, không đổi đơn hàng.</t>
        </is>
      </c>
      <c r="H76" s="8" t="inlineStr">
        <is>
          <t>Bấm toggle từ Detail sang Compact rồi ngược lại.</t>
        </is>
      </c>
      <c r="I76" s="8" t="inlineStr">
        <is>
          <t>Đơn hàng có nhiều sản phẩm (ví dụ &gt;=10 SKU).</t>
        </is>
      </c>
      <c r="J76" s="8" t="inlineStr">
        <is>
          <t>Compact hiện dạng lưới 1 dòng/nhiều sản phẩm cho mỗi hàng (chỉ ảnh, số lượng); Detail hiện đầy đủ ảnh/giá/số lượng; chuyển qua lại KHÔNG làm thay đổi nội dung đơn hàng.</t>
        </is>
      </c>
      <c r="K76" s="8" t="inlineStr">
        <is>
          <t>Toggle chỉ là hiển thị, hoàn toàn không tác động đến dữ liệu đơn hàng.</t>
        </is>
      </c>
      <c r="L76" s="8" t="n"/>
      <c r="M76" s="8" t="n"/>
    </row>
    <row r="77" hidden="1" ht="75" customHeight="1" s="23">
      <c r="A77" s="8" t="n">
        <v>75</v>
      </c>
      <c r="B77" s="8" t="inlineStr">
        <is>
          <t>SCR-CHK-01-SC3</t>
        </is>
      </c>
      <c r="C77" s="8" t="inlineStr">
        <is>
          <t>SCR-CHK-01</t>
        </is>
      </c>
      <c r="D77" s="8" t="inlineStr">
        <is>
          <t>CO - Checkout</t>
        </is>
      </c>
      <c r="E77" s="8" t="inlineStr">
        <is>
          <t>CO-02</t>
        </is>
      </c>
      <c r="F77" s="8" t="inlineStr">
        <is>
          <t>Functional</t>
        </is>
      </c>
      <c r="G77" s="8" t="inlineStr">
        <is>
          <t>Nhập ghi chú đơn hàng và chọn tuỳ chọn thông báo khi hết hàng.</t>
        </is>
      </c>
      <c r="H77" s="8" t="inlineStr">
        <is>
          <t>Nhập ghi chú tự do, chọn 1 tuỳ chọn xử lý khi hết hàng.</t>
        </is>
      </c>
      <c r="I77" s="8" t="inlineStr">
        <is>
          <t>Đang ở SCR-CHK-01.</t>
        </is>
      </c>
      <c r="J77" s="8" t="inlineStr">
        <is>
          <t>Ghi chú tự do ở cấp ĐƠN HÀNG (không phải từng sản phẩm); tuỳ chọn ưu tiên khi hết hàng (ví dụ: gọi điện xác nhận / tự động thay thế / huỷ sản phẩm đó) được lưu kèm đơn.</t>
        </is>
      </c>
      <c r="K77" s="8" t="inlineStr">
        <is>
          <t>Cả 2 trường đều là input hợp lệ, không bắt buộc.</t>
        </is>
      </c>
      <c r="L77" s="8" t="n"/>
      <c r="M77" s="8" t="n"/>
    </row>
    <row r="78" hidden="1" ht="75" customHeight="1" s="23">
      <c r="A78" s="25" t="n">
        <v>76</v>
      </c>
      <c r="B78" s="25" t="inlineStr">
        <is>
          <t>SCR-CHK-01-SC4</t>
        </is>
      </c>
      <c r="C78" s="25" t="inlineStr">
        <is>
          <t>SCR-CHK-01</t>
        </is>
      </c>
      <c r="D78" s="25" t="inlineStr">
        <is>
          <t>CO - Checkout</t>
        </is>
      </c>
      <c r="E78" s="25" t="inlineStr">
        <is>
          <t>CO-03</t>
        </is>
      </c>
      <c r="F78" s="25" t="inlineStr">
        <is>
          <t>Functional</t>
        </is>
      </c>
      <c r="G78" s="25" t="inlineStr">
        <is>
          <t>Chọn đóng gói carton - phí áp dụng (nếu có) chưa được xác nhận chính thức.</t>
        </is>
      </c>
      <c r="H78" s="25" t="inlineStr">
        <is>
          <t>Bật tuỳ chọn đóng gói carton.</t>
        </is>
      </c>
      <c r="I78" s="25" t="inlineStr">
        <is>
          <t>Đang ở SCR-CHK-01.</t>
        </is>
      </c>
      <c r="J78" s="25" t="inlineStr">
        <is>
          <t>Tuỳ chọn đóng gói carton được ghi nhận vào đơn; mức phí tương ứng (nếu có) hiện trong tóm tắt thanh toán ở SCR-CHK-02 nhưng giá trị CHÍNH XÁC đang chờ LOTTE MART xác nhận (OQ-16).</t>
        </is>
      </c>
      <c r="K78" s="25" t="inlineStr">
        <is>
          <t>TBD về giá trị phí cụ thể - chỉ xác nhận tuỳ chọn được ghi nhận đúng, không assert số tiền cố định.</t>
        </is>
      </c>
      <c r="L78" s="25" t="inlineStr">
        <is>
          <t>QnA-16</t>
        </is>
      </c>
      <c r="M78" s="25" t="n"/>
    </row>
    <row r="79" hidden="1" ht="75" customHeight="1" s="23">
      <c r="A79" s="8" t="n">
        <v>77</v>
      </c>
      <c r="B79" s="8" t="inlineStr">
        <is>
          <t>SCR-CHK-02-SC1</t>
        </is>
      </c>
      <c r="C79" s="8" t="inlineStr">
        <is>
          <t>SCR-CHK-02</t>
        </is>
      </c>
      <c r="D79" s="8" t="inlineStr">
        <is>
          <t>CO - Checkout</t>
        </is>
      </c>
      <c r="E79" s="8" t="inlineStr">
        <is>
          <t>CO-04</t>
        </is>
      </c>
      <c r="F79" s="8" t="inlineStr">
        <is>
          <t>Functional</t>
        </is>
      </c>
      <c r="G79" s="8" t="inlineStr">
        <is>
          <t>Nhập mã GotIt/gift card hợp lệ và áp dụng vào tổng đơn.</t>
        </is>
      </c>
      <c r="H79" s="8" t="inlineStr">
        <is>
          <t>Nhập mã quà tặng hợp lệ (nhập tay hoặc quét mã).</t>
        </is>
      </c>
      <c r="I79" s="8" t="inlineStr">
        <is>
          <t>Đang ở SCR-CHK-02, đơn hàng chưa áp dụng gift card.</t>
        </is>
      </c>
      <c r="J79" s="8" t="inlineStr">
        <is>
          <t>Giá trị thẻ được TRỪ vào tổng tiền phải trả, hiện 1 dòng riêng trong tóm tắt thanh toán; nhập tay và quét mã đều cho kết quả giống nhau khi cùng 1 mã hợp lệ.</t>
        </is>
      </c>
      <c r="K79" s="8" t="inlineStr">
        <is>
          <t>Áp dụng gift card đúng, phản ánh đúng vào tổng tiền cuối.</t>
        </is>
      </c>
      <c r="L79" s="8" t="n"/>
      <c r="M79" s="8" t="n"/>
    </row>
    <row r="80" hidden="1" ht="90" customHeight="1" s="23">
      <c r="A80" s="25" t="n">
        <v>78</v>
      </c>
      <c r="B80" s="25" t="inlineStr">
        <is>
          <t>SCR-CHK-02-SC2</t>
        </is>
      </c>
      <c r="C80" s="25" t="inlineStr">
        <is>
          <t>SCR-CHK-02</t>
        </is>
      </c>
      <c r="D80" s="25" t="inlineStr">
        <is>
          <t>CO - Checkout</t>
        </is>
      </c>
      <c r="E80" s="25" t="inlineStr">
        <is>
          <t>CO-05</t>
        </is>
      </c>
      <c r="F80" s="25" t="inlineStr">
        <is>
          <t>Functional</t>
        </is>
      </c>
      <c r="G80" s="25" t="inlineStr">
        <is>
          <t>Coupon đã áp dụng ở Cart được hiện lại ở Checkout, tách thành 2 nhóm riêng để xác nhận.</t>
        </is>
      </c>
      <c r="H80" s="25" t="inlineStr">
        <is>
          <t>Xem lại danh sách coupon tại Checkout.</t>
        </is>
      </c>
      <c r="I80" s="25" t="inlineStr">
        <is>
          <t>Đã có coupon giao hàng VÀ coupon sản phẩm được tự động áp dụng từ Cart.</t>
        </is>
      </c>
      <c r="J80" s="25" t="inlineStr">
        <is>
          <t>2 nhóm hiện RIÊNG BIỆT: nhóm coupon giao hàng và nhóm coupon đơn/sản phẩm, mỗi nhóm nêu rõ số tiền giảm và lý do; đây chỉ là màn hình XÁC NHẬN lại (không thể gỡ bỏ coupon tại đây).</t>
        </is>
      </c>
      <c r="K80" s="25" t="inlineStr">
        <is>
          <t>Phân nhóm đúng theo BRL-32, không trộn lẫn 2 loại coupon.</t>
        </is>
      </c>
      <c r="L80" s="25" t="inlineStr">
        <is>
          <t>QnA-17</t>
        </is>
      </c>
      <c r="M80" s="25" t="inlineStr">
        <is>
          <t>Danh mục đầy đủ các loại khuyến mãi cần hiển thị vẫn là OQ-17/QnA-17.</t>
        </is>
      </c>
    </row>
    <row r="81">
      <c r="A81" s="25" t="n">
        <v>79</v>
      </c>
      <c r="B81" s="25" t="inlineStr">
        <is>
          <t>SCR-CHK-02-SC3</t>
        </is>
      </c>
      <c r="C81" s="25" t="inlineStr">
        <is>
          <t>SCR-CHK-02</t>
        </is>
      </c>
      <c r="D81" s="25" t="inlineStr">
        <is>
          <t>CO - Checkout</t>
        </is>
      </c>
      <c r="E81" s="25" t="inlineStr">
        <is>
          <t>CO-05</t>
        </is>
      </c>
      <c r="F81" s="25" t="inlineStr">
        <is>
          <t>Boundary</t>
        </is>
      </c>
      <c r="G81" s="25" t="inlineStr">
        <is>
          <t>Sử dụng điểm thưởng: nhập 1 số tiền cụ thể, hoặc áp dụng toàn bộ điểm trong 1 lần chạm.</t>
        </is>
      </c>
      <c r="H81" s="25" t="inlineStr">
        <is>
          <t>Nhập số điểm tuỳ ý; rồi thử lại với nút 'Dùng toàn bộ điểm'.</t>
        </is>
      </c>
      <c r="I81" s="25" t="inlineStr">
        <is>
          <t>Tài khoản có đủ điểm thưởng khả dụng.</t>
        </is>
      </c>
      <c r="J81" s="25" t="inlineStr">
        <is>
          <t>Nhập tay 1 giá trị hợp lệ (&lt;=số điểm hiện có) được chấp nhận và trừ vào tổng tiền; nút áp dụng toàn bộ điểm trong 1 lần chạm áp dụng đúng toàn bộ số dư hiện có, không cần nhập tay.</t>
        </is>
      </c>
      <c r="K81" s="25" t="inlineStr">
        <is>
          <t>Cả 2 cách nhập điểm đều phải cho kết quả trừ tiền chính xác.</t>
        </is>
      </c>
      <c r="L81" s="25" t="inlineStr">
        <is>
          <t>QnA-20</t>
        </is>
      </c>
      <c r="M81" s="25" t="inlineStr">
        <is>
          <t>Việc có hiển thị số điểm SẼ được tích sau đơn hàng hay không vẫn là OQ-20/QnA-20.</t>
        </is>
      </c>
    </row>
    <row r="82">
      <c r="A82" s="25" t="n">
        <v>80</v>
      </c>
      <c r="B82" s="25" t="inlineStr">
        <is>
          <t>SCR-CHK-02-SC4</t>
        </is>
      </c>
      <c r="C82" s="25" t="inlineStr">
        <is>
          <t>SCR-CHK-02</t>
        </is>
      </c>
      <c r="D82" s="25" t="inlineStr">
        <is>
          <t>CO - Checkout</t>
        </is>
      </c>
      <c r="E82" s="25" t="inlineStr">
        <is>
          <t>CO-06</t>
        </is>
      </c>
      <c r="F82" s="25" t="inlineStr">
        <is>
          <t>Functional</t>
        </is>
      </c>
      <c r="G82" s="25" t="inlineStr">
        <is>
          <t>BNPL đã chọn ở Cart được mang sang Checkout, mỗi phương thức mang badge khuyến mãi riêng.</t>
        </is>
      </c>
      <c r="H82" s="25" t="inlineStr">
        <is>
          <t>Xem danh sách phương thức thanh toán tại Checkout.</t>
        </is>
      </c>
      <c r="I82" s="25" t="inlineStr">
        <is>
          <t>Đã chọn BNPL làm phương thức thanh toán trong Cart.</t>
        </is>
      </c>
      <c r="J82" s="25" t="inlineStr">
        <is>
          <t>BNPL đã được PRE-SELECTED sẵn khi vào Checkout (không phải chọn lại); mỗi phương thức (MoMo/ZaloPay/thẻ/BNPL) có thể mang 1 badge khuyến mãi riêng của nó (BRL-33).</t>
        </is>
      </c>
      <c r="K82" s="25" t="inlineStr">
        <is>
          <t>Carry-over đúng phương thức đã chọn ở Cart.</t>
        </is>
      </c>
      <c r="L82" s="25" t="inlineStr">
        <is>
          <t>QnA-35</t>
        </is>
      </c>
      <c r="M82" s="25" t="inlineStr">
        <is>
          <t>Tên thương mại chính thức của BNPL (ví dụ 'Lotte Flex' xuất hiện trên Figma) chưa được xác nhận trong SRS - QnA-35.</t>
        </is>
      </c>
    </row>
    <row r="83">
      <c r="A83" s="8" t="n">
        <v>81</v>
      </c>
      <c r="B83" s="8" t="inlineStr">
        <is>
          <t>SCR-CHK-02-SC5</t>
        </is>
      </c>
      <c r="C83" s="8" t="inlineStr">
        <is>
          <t>SCR-CHK-02</t>
        </is>
      </c>
      <c r="D83" s="8" t="inlineStr">
        <is>
          <t>CO - Checkout</t>
        </is>
      </c>
      <c r="E83" s="8" t="inlineStr">
        <is>
          <t>CO-08, CO-10</t>
        </is>
      </c>
      <c r="F83" s="8" t="inlineStr">
        <is>
          <t>Functional</t>
        </is>
      </c>
      <c r="G83" s="8" t="inlineStr">
        <is>
          <t>Tóm tắt thanh toán cuối cùng liệt kê ĐỦ tất cả các dòng (kể cả dòng = 0) và Đặt hàng thành công.</t>
        </is>
      </c>
      <c r="H83" s="8" t="inlineStr">
        <is>
          <t>Xem tóm tắt thanh toán rồi bấm Đặt hàng.</t>
        </is>
      </c>
      <c r="I83" s="8" t="inlineStr">
        <is>
          <t>Đơn hàng hợp lệ, đầy đủ thông tin bắt buộc (địa chỉ/store/slot, thanh toán).</t>
        </is>
      </c>
      <c r="J83" s="8" t="inlineStr">
        <is>
          <t>Tóm tắt hiện đủ: giá trị đơn hàng, phí nylon, phí giao hàng, phụ phí bulky (nếu có), giảm giá sản phẩm, giảm giá giao hàng, số tiền phải trả, điểm dự kiến được cộng - MỌI dòng đều hiện kể cả khi bằng 0 (để đối soát được); bấm Đặt hàng commit đơn thành công và kết thúc phạm vi tài liệu này (CO-10).</t>
        </is>
      </c>
      <c r="K83" s="8" t="inlineStr">
        <is>
          <t>Tính đủ hạng mục, không ẩn dòng nào dù giá trị = 0.</t>
        </is>
      </c>
      <c r="L83" s="8" t="n"/>
      <c r="M83" s="8" t="n"/>
    </row>
    <row r="84">
      <c r="A84" s="25" t="n">
        <v>82</v>
      </c>
      <c r="B84" s="25" t="inlineStr">
        <is>
          <t>SCR-CHK-02-SC6</t>
        </is>
      </c>
      <c r="C84" s="25" t="inlineStr">
        <is>
          <t>SCR-CHK-02</t>
        </is>
      </c>
      <c r="D84" s="25" t="inlineStr">
        <is>
          <t>CO - Checkout</t>
        </is>
      </c>
      <c r="E84" s="25" t="inlineStr">
        <is>
          <t>CO-09</t>
        </is>
      </c>
      <c r="F84" s="25" t="inlineStr">
        <is>
          <t>Functional</t>
        </is>
      </c>
      <c r="G84" s="25" t="inlineStr">
        <is>
          <t>Kiểm tra 3 liên kết chính sách (đổi/trả, mua hàng, bảo mật) hiển thị và mở được tại Checkout.</t>
        </is>
      </c>
      <c r="H84" s="25" t="inlineStr">
        <is>
          <t>Chạm lần lượt vào từng liên kết chính sách.</t>
        </is>
      </c>
      <c r="I84" s="25" t="inlineStr">
        <is>
          <t>Đang ở màn Checkout (SCR-CHK-02), đơn hàng hợp lệ.</t>
        </is>
      </c>
      <c r="J84" s="25" t="inlineStr">
        <is>
          <t>Cả 3 liên kết (Chính sách đổi/trả, Chính sách mua hàng, Chính sách bảo mật) đều hiển thị và mở được (dù nội dung chi tiết cuối cùng vẫn đang chờ Legal xác nhận theo QnA-21) - test này chỉ xác nhận liên kết TỒN TẠI và MỞ ĐƯỢC, không xác nhận nội dung.</t>
        </is>
      </c>
      <c r="K84" s="25" t="inlineStr">
        <is>
          <t>3 liên kết đều hiện diện và mở được, không link nào bị vỡ (404/trống).</t>
        </is>
      </c>
      <c r="L84" s="25" t="inlineStr">
        <is>
          <t>QnA-21</t>
        </is>
      </c>
      <c r="M84" s="25" t="inlineStr">
        <is>
          <t>Bổ sung theo Review 26/08/2026 - CO-09 trước đó chưa có test case nào (Review - Gaps &amp; Issues).</t>
        </is>
      </c>
    </row>
    <row r="85">
      <c r="A85" s="8" t="n">
        <v>83</v>
      </c>
      <c r="B85" s="8" t="inlineStr">
        <is>
          <t>SCR-CHK-03-SC1</t>
        </is>
      </c>
      <c r="C85" s="8" t="inlineStr">
        <is>
          <t>SCR-CHK-03</t>
        </is>
      </c>
      <c r="D85" s="8" t="inlineStr">
        <is>
          <t>CO - Checkout</t>
        </is>
      </c>
      <c r="E85" s="8" t="inlineStr">
        <is>
          <t>CO-01</t>
        </is>
      </c>
      <c r="F85" s="8" t="inlineStr">
        <is>
          <t>Functional</t>
        </is>
      </c>
      <c r="G85" s="8" t="inlineStr">
        <is>
          <t>Biến thể Pickup: khối thu thập thay thế khối giao hàng, không có phí giao hàng.</t>
        </is>
      </c>
      <c r="H85" s="8" t="inlineStr">
        <is>
          <t>Xem SCR-CHK-03 cho 1 đơn Pickup.</t>
        </is>
      </c>
      <c r="I85" s="8" t="inlineStr">
        <is>
          <t>Đơn hàng được tạo từ nhánh Pickup trong Cart.</t>
        </is>
      </c>
      <c r="J85" s="8" t="inlineStr">
        <is>
          <t>Khối 'thu thập' hiện: store, địa chỉ, khoảng cách, khung giờ đến lấy (khoá read-only như mọi trường ở khác); KHÔNG có dòng phí giao hàng trong tóm tắt (freeship threshold và coupon giao hàng không áp dụng); phụ phí bulky (nếu có) vẫn áp dụng.</t>
        </is>
      </c>
      <c r="K85" s="8" t="inlineStr">
        <is>
          <t>Pickup phải loại bỏ hoàn toàn phí giao hàng khỏi tóm tắt, không hiện 0đ mà là ẩn dòng đó.</t>
        </is>
      </c>
      <c r="L85" s="8" t="n"/>
      <c r="M85" s="8" t="n"/>
    </row>
    <row r="86">
      <c r="A86" s="8" t="n">
        <v>84</v>
      </c>
      <c r="B86" s="8" t="inlineStr">
        <is>
          <t>SCR-CHK-03-SC2</t>
        </is>
      </c>
      <c r="C86" s="8" t="inlineStr">
        <is>
          <t>SCR-CHK-03</t>
        </is>
      </c>
      <c r="D86" s="8" t="inlineStr">
        <is>
          <t>CO - Checkout</t>
        </is>
      </c>
      <c r="E86" s="8" t="inlineStr">
        <is>
          <t>CO-01, CT-09</t>
        </is>
      </c>
      <c r="F86" s="8" t="inlineStr">
        <is>
          <t>Boundary</t>
        </is>
      </c>
      <c r="G86" s="8" t="inlineStr">
        <is>
          <t>Tuỳ chọn tiền mặt khi Pickup chỉ hiện với tài khoản đủ điều kiện tier (Platinum/Diamond).</t>
        </is>
      </c>
      <c r="H86" s="8" t="inlineStr">
        <is>
          <t>Kiểm tra danh sách phương thức thanh toán cho 2 tài khoản khác tier.</t>
        </is>
      </c>
      <c r="I86" s="8" t="inlineStr">
        <is>
          <t>Đơn Pickup, 2 tài khoản test: 1 Platinum, 1 tier thường.</t>
        </is>
      </c>
      <c r="J86" s="8" t="inlineStr">
        <is>
          <t>Với tài khoản Platinum: tiền mặt hiện và chọn được. Với tài khoản tier thường: tiền mặt KHÔNG hiện trong danh sách phương thức.</t>
        </is>
      </c>
      <c r="K86" s="8" t="inlineStr">
        <is>
          <t>Đồng bộ với hành vi đã kiểm tra ở SCR-CRT-04-SC2 (Cart) - Checkout phải nhất quán với Cart.</t>
        </is>
      </c>
      <c r="L86" s="8" t="n"/>
      <c r="M86" s="8" t="n"/>
    </row>
  </sheetData>
  <autoFilter ref="A2:M80">
    <filterColumn colId="2" hiddenButton="0" showButton="1">
      <filters>
        <filter val="SCR-ONB-02"/>
      </filters>
    </filterColumn>
    <filterColumn colId="3" hiddenButton="0" showButton="1">
      <filters>
        <filter val="ONB - Onboarding"/>
      </filters>
    </filterColumn>
  </autoFilter>
  <mergeCells count="1">
    <mergeCell ref="A1:M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filterMode="1">
    <outlinePr summaryBelow="1" summaryRight="1"/>
    <pageSetUpPr/>
  </sheetPr>
  <dimension ref="A1:R94"/>
  <sheetViews>
    <sheetView showGridLines="0" tabSelected="1" topLeftCell="D1" zoomScaleNormal="100" workbookViewId="0">
      <pane ySplit="2" topLeftCell="A3" activePane="bottomLeft" state="frozen"/>
      <selection pane="bottomLeft" activeCell="G5" sqref="G5"/>
    </sheetView>
  </sheetViews>
  <sheetFormatPr baseColWidth="8" defaultColWidth="8.7109375" defaultRowHeight="15"/>
  <cols>
    <col width="22" customWidth="1" style="23" min="1" max="1"/>
    <col width="20" customWidth="1" style="23" min="2" max="2"/>
    <col width="14" customWidth="1" style="23" min="3" max="3"/>
    <col width="20" customWidth="1" style="23" min="4" max="4"/>
    <col width="12" customWidth="1" style="23" min="5" max="5"/>
    <col width="38" customWidth="1" style="23" min="6" max="6"/>
    <col width="30" customWidth="1" style="23" min="7" max="7"/>
    <col width="48" customWidth="1" style="23" min="8" max="8"/>
    <col width="26" customWidth="1" style="23" min="9" max="9"/>
    <col width="48" customWidth="1" style="23" min="10" max="10"/>
    <col width="10" customWidth="1" style="23" min="11" max="11"/>
    <col width="14" customWidth="1" style="23" min="12" max="12"/>
    <col width="12" customWidth="1" style="23" min="13" max="13"/>
    <col width="10" customWidth="1" style="23" min="14" max="14"/>
    <col width="12" customWidth="1" style="23" min="15" max="16"/>
    <col width="40" customWidth="1" style="23" min="17" max="17"/>
    <col width="50" customWidth="1" style="23" min="18" max="18"/>
  </cols>
  <sheetData>
    <row r="1" ht="17.25" customHeight="1" s="23">
      <c r="A1" s="2" t="inlineStr">
        <is>
          <t>Simplify Checkout — Functional Detailed Test Cases (rooted in Functional Test Scenarios)</t>
        </is>
      </c>
    </row>
    <row r="2" ht="27.75" customHeight="1" s="23">
      <c r="A2" s="7" t="inlineStr">
        <is>
          <t>Test Case ID</t>
        </is>
      </c>
      <c r="B2" s="7" t="inlineStr">
        <is>
          <t>Parent Scenario ID</t>
        </is>
      </c>
      <c r="C2" s="7" t="inlineStr">
        <is>
          <t>Screen ID</t>
        </is>
      </c>
      <c r="D2" s="7" t="inlineStr">
        <is>
          <t>REQ ID (SRS)</t>
        </is>
      </c>
      <c r="E2" s="7" t="inlineStr">
        <is>
          <t>Test Case Type</t>
        </is>
      </c>
      <c r="F2" s="7" t="inlineStr">
        <is>
          <t>Test Case Title</t>
        </is>
      </c>
      <c r="G2" s="7" t="inlineStr">
        <is>
          <t>Preconditions</t>
        </is>
      </c>
      <c r="H2" s="7" t="inlineStr">
        <is>
          <t>Test Steps</t>
        </is>
      </c>
      <c r="I2" s="7" t="inlineStr">
        <is>
          <t>Test Data</t>
        </is>
      </c>
      <c r="J2" s="7" t="inlineStr">
        <is>
          <t>Expected Result</t>
        </is>
      </c>
      <c r="K2" s="7" t="inlineStr">
        <is>
          <t>Priority</t>
        </is>
      </c>
      <c r="L2" s="7" t="inlineStr">
        <is>
          <t>Actual Result</t>
        </is>
      </c>
      <c r="M2" s="7" t="inlineStr">
        <is>
          <t>Pass/Fail Status</t>
        </is>
      </c>
      <c r="N2" s="7" t="inlineStr">
        <is>
          <t>Tester</t>
        </is>
      </c>
      <c r="O2" s="7" t="inlineStr">
        <is>
          <t>Test Date</t>
        </is>
      </c>
      <c r="P2" s="7" t="inlineStr">
        <is>
          <t>QnA Ref</t>
        </is>
      </c>
      <c r="Q2" s="7" t="inlineStr">
        <is>
          <t>Comments</t>
        </is>
      </c>
      <c r="R2" s="7" t="inlineStr">
        <is>
          <t>Ghi chu Review (QC)</t>
        </is>
      </c>
    </row>
    <row r="3" ht="69.75" customHeight="1" s="23">
      <c r="A3" s="8" t="inlineStr">
        <is>
          <t>SCR-ONB-01-SC1-TC1</t>
        </is>
      </c>
      <c r="B3" s="8" t="inlineStr">
        <is>
          <t>SCR-ONB-01-SC1</t>
        </is>
      </c>
      <c r="C3" s="8" t="inlineStr">
        <is>
          <t>SCR-ONB-01</t>
        </is>
      </c>
      <c r="D3" s="8" t="inlineStr">
        <is>
          <t>ONB-01</t>
        </is>
      </c>
      <c r="E3" s="8" t="inlineStr">
        <is>
          <t>Functional</t>
        </is>
      </c>
      <c r="F3" s="8" t="inlineStr">
        <is>
          <t>Chọn từng ngôn ngữ trong 3 ngôn ngữ re-render giao diện ngay lập tức</t>
        </is>
      </c>
      <c r="G3" s="8" t="inlineStr">
        <is>
          <t>App vừa được cài đặt / vừa xoá dữ liệu, đang ở màn hình chọn ngôn ngữ đầu tiên.</t>
        </is>
      </c>
      <c r="H3" s="8" t="inlineStr">
        <is>
          <t>1. Mở app lần đầu.
2. Quan sát ngôn ngữ mặc định được chọn sẵn theo locale thiết bị.
3. Chạm chọn 'English'. Quan sát toàn bộ nhãn trên màn hình đổi sang tiếng Anh.
4. Chạm chọn '한국어', quan sát lại đổi sang tiếng Hàn.
5. Chạm 'Continue'.</t>
        </is>
      </c>
      <c r="I3" s="8" t="inlineStr">
        <is>
          <t>Thiết bị test có locale hệ thống = vi-VN.</t>
        </is>
      </c>
      <c r="J3" s="8" t="inlineStr">
        <is>
          <t>Ở bước 2, ứng với locale vi-VN thì 'Tiếng Việt' được chọn sẵn. Ở bước 3-4, toàn bộ nhãn đổi ngôn ngữ ngay khi chạm chọn, trước khi bấm Continue. Continue luôn bấm được. Sau Continue, chuyển sang SCR-ONB-02.</t>
        </is>
      </c>
      <c r="K3" s="8" t="inlineStr">
        <is>
          <t>High</t>
        </is>
      </c>
      <c r="L3" s="9" t="n"/>
      <c r="M3" s="9" t="inlineStr">
        <is>
          <t>Not Run</t>
        </is>
      </c>
      <c r="N3" s="9" t="n"/>
      <c r="O3" s="9" t="n"/>
      <c r="P3" s="8" t="n"/>
      <c r="Q3" s="8" t="n"/>
      <c r="R3" s="8" t="n"/>
    </row>
    <row r="4" ht="69.75" customHeight="1" s="23">
      <c r="A4" s="8" t="inlineStr">
        <is>
          <t>SCR-ONB-01-SC1-TC2</t>
        </is>
      </c>
      <c r="B4" s="8" t="inlineStr">
        <is>
          <t>SCR-ONB-01-SC1</t>
        </is>
      </c>
      <c r="C4" s="8" t="inlineStr">
        <is>
          <t>SCR-ONB-01</t>
        </is>
      </c>
      <c r="D4" s="8" t="inlineStr">
        <is>
          <t>ONB-01</t>
        </is>
      </c>
      <c r="E4" s="8" t="inlineStr">
        <is>
          <t>Boundary</t>
        </is>
      </c>
      <c r="F4" s="8" t="inlineStr">
        <is>
          <t>Locale thiết bị không khớp VN/EN/KR thì mặc định Tiếng Việt</t>
        </is>
      </c>
      <c r="G4" s="8" t="inlineStr">
        <is>
          <t>App vừa được cài đặt, thiết bị đặt locale hệ thống là một ngôn ngữ khác (ví dụ fr-FR).</t>
        </is>
      </c>
      <c r="H4" s="8" t="inlineStr">
        <is>
          <t>1. Đổi ngôn ngữ hệ thống thiết bị thành tiếng Pháp (fr-FR).
2. Cài lại / xoá data và mở app lần đầu.
3. Quan sát lựa chọn được pre-select trên màn hình chọn ngôn ngữ.</t>
        </is>
      </c>
      <c r="I4" s="8" t="inlineStr">
        <is>
          <t>Thiết bị: locale hệ thống = fr-FR (không thuộc VN/EN/KR).</t>
        </is>
      </c>
      <c r="J4" s="8" t="inlineStr">
        <is>
          <t>'Tiếng Việt' phải được pre-select vì đây là mặc định khi locale không khớp cả 3 lựa chọn (theo ONB-01).</t>
        </is>
      </c>
      <c r="K4" s="8" t="inlineStr">
        <is>
          <t>Medium</t>
        </is>
      </c>
      <c r="L4" s="9" t="n"/>
      <c r="M4" s="9" t="inlineStr">
        <is>
          <t>Not Run</t>
        </is>
      </c>
      <c r="N4" s="9" t="n"/>
      <c r="O4" s="9" t="n"/>
      <c r="P4" s="8" t="n"/>
      <c r="Q4" s="8" t="n"/>
      <c r="R4" s="8" t="n"/>
    </row>
    <row r="5" ht="69.75" customHeight="1" s="23">
      <c r="A5" s="8" t="inlineStr">
        <is>
          <t>SCR-ONB-01-SC2-TC1</t>
        </is>
      </c>
      <c r="B5" s="8" t="inlineStr">
        <is>
          <t>SCR-ONB-01-SC2</t>
        </is>
      </c>
      <c r="C5" s="8" t="inlineStr">
        <is>
          <t>SCR-ONB-01</t>
        </is>
      </c>
      <c r="D5" s="8" t="inlineStr">
        <is>
          <t>ONB-01</t>
        </is>
      </c>
      <c r="E5" s="8" t="inlineStr">
        <is>
          <t>Regression</t>
        </is>
      </c>
      <c r="F5" s="8" t="inlineStr">
        <is>
          <t>Màn hình chọn ngôn ngữ không hiện lại sau lần mở app đầu tiên, và Settings đổi được ngôn ngữ</t>
        </is>
      </c>
      <c r="G5" s="8" t="inlineStr">
        <is>
          <t>Đã hoàn tất toàn bộ Onboarding (bao gồm chọn store) ít nhất 1 lần.</t>
        </is>
      </c>
      <c r="H5" s="8" t="inlineStr">
        <is>
          <t>1. Đóng hoàn toàn app và mở lại.
2. Quan sát màn hình đầu tiên hiện ra.
3. Vào Settings &gt; Ngôn ngữ, đổi từ Tiếng Việt sang English.
4. Quay lại Homepage, kiểm tra nhãn giao diện.</t>
        </is>
      </c>
      <c r="I5" s="8" t="inlineStr">
        <is>
          <t>Tài khoản/thiết bị đã qua Onboarding trước đó 1 lần.</t>
        </is>
      </c>
      <c r="J5" s="8" t="inlineStr">
        <is>
          <t>Bước 2: app mở thẳng vào Homepage (state đã lưu), KHÔNG hiện lại SCR-ONB-01. Bước 4: toàn bộ nhãn Homepage đổi sang tiếng Anh ngay sau khi đổi trong Settings.</t>
        </is>
      </c>
      <c r="K5" s="8" t="inlineStr">
        <is>
          <t>Medium</t>
        </is>
      </c>
      <c r="L5" s="9" t="n"/>
      <c r="M5" s="9" t="inlineStr">
        <is>
          <t>Not Run</t>
        </is>
      </c>
      <c r="N5" s="9" t="n"/>
      <c r="O5" s="9" t="n"/>
      <c r="P5" s="8" t="n"/>
      <c r="Q5" s="8" t="n"/>
      <c r="R5" s="8" t="n"/>
    </row>
    <row r="6" hidden="1" ht="69.75" customHeight="1" s="23">
      <c r="A6" s="8" t="inlineStr">
        <is>
          <t>SCR-ONB-02-SC1-TC1</t>
        </is>
      </c>
      <c r="B6" s="8" t="inlineStr">
        <is>
          <t>SCR-ONB-02-SC1</t>
        </is>
      </c>
      <c r="C6" s="8" t="inlineStr">
        <is>
          <t>SCR-ONB-02</t>
        </is>
      </c>
      <c r="D6" s="8" t="inlineStr">
        <is>
          <t>ONB-02, ONB-03, ONB-04</t>
        </is>
      </c>
      <c r="E6" s="8" t="inlineStr">
        <is>
          <t>Functional</t>
        </is>
      </c>
      <c r="F6" s="8" t="inlineStr">
        <is>
          <t>Allow cả 3 quyền hệ thống dẫn đến store được pre-select ở bước sau</t>
        </is>
      </c>
      <c r="G6" s="8" t="inlineStr">
        <is>
          <t>Đã chọn ngôn ngữ, đang ở dialog quyền đầu tiên (Activity tracking).</t>
        </is>
      </c>
      <c r="H6" s="8" t="inlineStr">
        <is>
          <t>1. Bấm Allow trên dialog Activity tracking.
2. Bấm Allow trên dialog Notifications.
3. Bấm 'Allow While Using App' trên dialog Location.
4. Quan sát màn hình kế tiếp (SCR-ONB-03).</t>
        </is>
      </c>
      <c r="I6" s="8" t="inlineStr">
        <is>
          <t>Thiết bị test có GPS giả lập toạ độ gần 1 store LOTTE MART cụ thể (ví dụ Nam Sài Gòn).</t>
        </is>
      </c>
      <c r="J6" s="8" t="inlineStr">
        <is>
          <t>Cả 3 dialog là dialog OS gốc. Sau khi Allow cả 3, SCR-ONB-03 hiện store gần nhất theo GPS được PRE-SELECT và gắn nhãn 'Nearest' (BRL-02).</t>
        </is>
      </c>
      <c r="K6" s="8" t="inlineStr">
        <is>
          <t>High</t>
        </is>
      </c>
      <c r="L6" s="9" t="n"/>
      <c r="M6" s="9" t="inlineStr">
        <is>
          <t>Not Run</t>
        </is>
      </c>
      <c r="N6" s="9" t="n"/>
      <c r="O6" s="9" t="n"/>
      <c r="P6" s="8" t="n"/>
      <c r="Q6" s="8" t="n"/>
      <c r="R6" s="8" t="inlineStr">
        <is>
          <t>Sheet mới chỉ test 'Allow cả 3 quyền'. Nên bổ sung ít nhất 1 tổ hợp cho phép/từ chối RIÊNG LẺ (ví dụ: Allow vị trí nhưng Deny tracking + notification) vì vị trí là quyền duy nhất ảnh hưởng luồng (BRL-02) — tổ hợp hỗn hợp hiện chưa được test, chỉ có 2 thái cực Allow-all/Deny-all (SC1/SC2).</t>
        </is>
      </c>
    </row>
    <row r="7" hidden="1" ht="69.75" customHeight="1" s="23">
      <c r="A7" s="8" t="inlineStr">
        <is>
          <t>SCR-ONB-02-SC2-TC1</t>
        </is>
      </c>
      <c r="B7" s="8" t="inlineStr">
        <is>
          <t>SCR-ONB-02-SC2</t>
        </is>
      </c>
      <c r="C7" s="8" t="inlineStr">
        <is>
          <t>SCR-ONB-02</t>
        </is>
      </c>
      <c r="D7" s="8" t="inlineStr">
        <is>
          <t>ONB-02, ONB-03, ONB-04</t>
        </is>
      </c>
      <c r="E7" s="8" t="inlineStr">
        <is>
          <t>Negative</t>
        </is>
      </c>
      <c r="F7" s="8" t="inlineStr">
        <is>
          <t>Deny cả 3 quyền hệ thống không chặn hành trình nhưng bỏ mất store mặc định</t>
        </is>
      </c>
      <c r="G7" s="8" t="inlineStr">
        <is>
          <t>Đã chọn ngôn ngữ, đang ở dialog quyền đầu tiên.</t>
        </is>
      </c>
      <c r="H7" s="8" t="inlineStr">
        <is>
          <t>1. Bấm Don't Allow / Ask App Not to Track trên cả 3 dialog liên tiếp.
2. Quan sát màn hình kế tiếp (SCR-ONB-03).</t>
        </is>
      </c>
      <c r="I7" s="8" t="inlineStr">
        <is>
          <t>Không có dữ liệu vị trí (GPS bị từ chối).</t>
        </is>
      </c>
      <c r="J7" s="8" t="inlineStr">
        <is>
          <t>Khách vẫn chuyển sang được SCR-ONB-03 (không bị chặn). SCR-ONB-03 hiện State B: không có store nào pre-select, không hiện khoảng cách, banner vàng đề nghị bật vị trí; nút Continue disabled cho đến khi chọn store thủ công.</t>
        </is>
      </c>
      <c r="K7" s="8" t="inlineStr">
        <is>
          <t>High</t>
        </is>
      </c>
      <c r="L7" s="9" t="n"/>
      <c r="M7" s="9" t="inlineStr">
        <is>
          <t>Not Run</t>
        </is>
      </c>
      <c r="N7" s="9" t="n"/>
      <c r="O7" s="9" t="n"/>
      <c r="P7" s="8" t="n"/>
      <c r="Q7" s="8" t="n"/>
      <c r="R7" s="8" t="inlineStr">
        <is>
          <t>Xem ghi chú ở SCR-ONB-02-SC1-TC1 — cần thêm test tổ hợp cho phép/từ chối lẻ từng quyền, không chỉ 2 thái cực.</t>
        </is>
      </c>
    </row>
    <row r="8" hidden="1" ht="69.75" customHeight="1" s="23">
      <c r="A8" s="8" t="inlineStr">
        <is>
          <t>SCR-ONB-02-SC3-TC1</t>
        </is>
      </c>
      <c r="B8" s="8" t="inlineStr">
        <is>
          <t>SCR-ONB-02-SC3</t>
        </is>
      </c>
      <c r="C8" s="8" t="inlineStr">
        <is>
          <t>SCR-ONB-02</t>
        </is>
      </c>
      <c r="D8" s="8" t="inlineStr">
        <is>
          <t>ONB-02, ONB-03, ONB-04</t>
        </is>
      </c>
      <c r="E8" s="8" t="inlineStr">
        <is>
          <t>Functional</t>
        </is>
      </c>
      <c r="F8" s="8" t="inlineStr">
        <is>
          <t>Tổ hợp Allow vị trí / Deny tracking / Deny notification chỉ ảnh hưởng qua quyền vị trí</t>
        </is>
      </c>
      <c r="G8" s="8" t="inlineStr">
        <is>
          <t>App vừa cài đặt, đã chọn ngôn ngữ ở SCR-ONB-01.</t>
        </is>
      </c>
      <c r="H8" s="8" t="inlineStr">
        <is>
          <t>1. Ở dialog Activity tracking, bấm Deny.
2. Ở dialog Notification, bấm Deny.
3. Ở dialog Location, bấm Allow.
4. Quan sát màn hình SCR-ONB-03 tiếp theo.
5. So sánh với kịch bản Allow-cả-3 (SC1) để xác nhận kết quả pre-select store giống nhau.</t>
        </is>
      </c>
      <c r="I8" s="8" t="inlineStr">
        <is>
          <t>Thiết bị test có GPS giả lập toạ độ gần LOTTE Mart Nam Sài Gòn.</t>
        </is>
      </c>
      <c r="J8" s="8" t="inlineStr">
        <is>
          <t>Bước 4: SCR-ONB-03 hiện State A (store gần nhất được pre-select theo GPS, nhãn 'Nearest') - giống hệt kết quả của SC1 dù 2 quyền còn lại bị Deny. Bước 5: xác nhận Deny tracking/notification không gây khác biệt nào ở bước chọn store.</t>
        </is>
      </c>
      <c r="K8" s="8" t="inlineStr">
        <is>
          <t>Medium</t>
        </is>
      </c>
      <c r="L8" s="9" t="n"/>
      <c r="M8" s="9" t="inlineStr">
        <is>
          <t>Not Run</t>
        </is>
      </c>
      <c r="N8" s="9" t="n"/>
      <c r="O8" s="9" t="n"/>
      <c r="P8" s="8" t="n"/>
      <c r="Q8" s="8" t="inlineStr">
        <is>
          <t>Bổ sung theo Review 26/08/2026 - đóng gap 'thiếu tổ hợp hỗn hợp Allow/Deny' trong Review - Gaps &amp; Issues.</t>
        </is>
      </c>
      <c r="R8" s="8" t="n"/>
    </row>
    <row r="9" hidden="1" ht="69.75" customHeight="1" s="23">
      <c r="A9" s="25" t="inlineStr">
        <is>
          <t>SCR-ONB-02-SC4-TC1</t>
        </is>
      </c>
      <c r="B9" s="25" t="inlineStr">
        <is>
          <t>SCR-ONB-02-SC4</t>
        </is>
      </c>
      <c r="C9" s="25" t="inlineStr">
        <is>
          <t>SCR-ONB-02</t>
        </is>
      </c>
      <c r="D9" s="25" t="inlineStr">
        <is>
          <t>ONB-02</t>
        </is>
      </c>
      <c r="E9" s="25" t="inlineStr">
        <is>
          <t>Functional</t>
        </is>
      </c>
      <c r="F9" s="25" t="inlineStr">
        <is>
          <t>Verify Deny quyền tracking có ảnh hưởng đến việc ghi nhận sự kiện trên hệ thống tracking backend hay không - TBD chờ QnA-44</t>
        </is>
      </c>
      <c r="G9" s="25" t="inlineStr">
        <is>
          <t>Đã chọn ngôn ngữ ở SCR-ONB-01, đang ở dialog Activity tracking; có công cụ quan sát sự kiện gửi lên hệ thống tracking (network log / debug console của SDK analytics đang dùng).</t>
        </is>
      </c>
      <c r="H9" s="25" t="inlineStr">
        <is>
          <t>1. Bấm 'Ask App Not to Track' (Deny) trên dialog Activity tracking.
2. Tiếp tục Allow 2 dialog còn lại (Notification, Location) để không lẫn biến số.
3. Thao tác qua vài màn hình (Homepage, xem 1 sản phẩm) trong khi quan sát network log/debug console của hệ thống tracking.
4. GHI NHẬN chính xác: các sự kiện cơ bản (app-open, view-screen, view-product...) có còn được gửi lên hệ thống tracking nội bộ hay không, và nếu có thì có gắn cờ 'không cá nhân hoá / không cross-app' hay bị chặn hoàn toàn.</t>
        </is>
      </c>
      <c r="I9" s="25" t="inlineStr">
        <is>
          <t>N/A (quan sát network log thực tế).</t>
        </is>
      </c>
      <c r="J9" s="25" t="inlineStr">
        <is>
          <t>TBD - Expected Result cụ thể đang chờ câu trả lời QnA-44 (REQ ONB-02 hiện chỉ xác nhận không chặn LUỒNG ứng dụng, chưa xác nhận phạm vi ảnh hưởng lên hệ thống tracking backend). Người thực thi KHÔNG tự ý chấm Pass/Fail khi chưa có câu trả lời chính thức - chỉ ghi nhận hành vi thực tế.</t>
        </is>
      </c>
      <c r="K9" s="25" t="inlineStr">
        <is>
          <t>Medium</t>
        </is>
      </c>
      <c r="L9" s="9" t="n"/>
      <c r="M9" s="9" t="inlineStr">
        <is>
          <t>Not Run</t>
        </is>
      </c>
      <c r="N9" s="9" t="n"/>
      <c r="O9" s="9" t="n"/>
      <c r="P9" s="25" t="inlineStr">
        <is>
          <t>QnA-44</t>
        </is>
      </c>
      <c r="Q9" s="25" t="inlineStr">
        <is>
          <t>Bổ sung theo yêu cầu review 26/08/2026 - đóng gap "REQ ONB-02 chưa mô tả ảnh hưởng lên hệ thống tracking backend". Cập nhật Expected Result ngay khi QnA-44 được trả lời.</t>
        </is>
      </c>
      <c r="R9" s="8" t="n"/>
    </row>
    <row r="10" hidden="1" ht="69.75" customHeight="1" s="23">
      <c r="A10" s="25" t="inlineStr">
        <is>
          <t>SCR-ONB-02-SC5-TC1</t>
        </is>
      </c>
      <c r="B10" s="25" t="inlineStr">
        <is>
          <t>SCR-ONB-02-SC5</t>
        </is>
      </c>
      <c r="C10" s="25" t="inlineStr">
        <is>
          <t>SCR-ONB-02</t>
        </is>
      </c>
      <c r="D10" s="25" t="inlineStr">
        <is>
          <t>ONB-02, ONB-03, ONB-04</t>
        </is>
      </c>
      <c r="E10" s="25" t="inlineStr">
        <is>
          <t>Edge</t>
        </is>
      </c>
      <c r="F10" s="25" t="inlineStr">
        <is>
          <t>Tắt app giữa lúc đang xử lý dialog quyền hệ thống, mở lại app - TBD chờ QnA-47</t>
        </is>
      </c>
      <c r="G10" s="25" t="inlineStr">
        <is>
          <t>Đã chọn ngôn ngữ ở SCR-ONB-01; đã Allow tracking và notification, dialog Location đang hiển thị (chưa bấm gì).</t>
        </is>
      </c>
      <c r="H10" s="25" t="inlineStr">
        <is>
          <t>1. Tắt hẳn ứng dụng (kill app từ App Switcher, không phải chuyển nền/background) khi dialog Location đang hiện.
2. Mở lại app từ icon.
3. GHI NHẬN chính xác màn hình/dialog hiển thị đầu tiên sau khi mở lại: dialog Location tiếp tục hiện, quay lại dialog Activity tracking đầu tiên, hay quay lại SCR-ONB-01.
4. Hoàn tất luồng còn lại (Allow/Deny các dialog nếu còn) và xác nhận không bị kẹt hoặc lặp vô hạn.</t>
        </is>
      </c>
      <c r="I10" s="25" t="inlineStr">
        <is>
          <t>N/A (thao tác tắt/mở app thực tế).</t>
        </is>
      </c>
      <c r="J10" s="25" t="inlineStr">
        <is>
          <t>TBD - Expected Result cụ thể đang chờ câu trả lời QnA-47. Người thực thi KHÔNG tự ý chấm Pass/Fail cho bước 3 khi chưa có câu trả lời chính thức - chỉ ghi nhận hành vi thực tế, đồng thời xác nhận riêng bước 4 rằng khách KHÔNG bị kẹt (không thể hoàn tất Onboarding) dù hành vi resume là gì.</t>
        </is>
      </c>
      <c r="K10" s="25" t="inlineStr">
        <is>
          <t>Medium</t>
        </is>
      </c>
      <c r="L10" s="9" t="n"/>
      <c r="M10" s="9" t="inlineStr">
        <is>
          <t>Not Run</t>
        </is>
      </c>
      <c r="N10" s="9" t="n"/>
      <c r="O10" s="9" t="n"/>
      <c r="P10" s="25" t="inlineStr">
        <is>
          <t>QnA-47</t>
        </is>
      </c>
      <c r="Q10" s="25" t="inlineStr">
        <is>
          <t>Bổ sung theo yêu cầu review 26/08/2026.</t>
        </is>
      </c>
      <c r="R10" s="8" t="n"/>
    </row>
    <row r="11" hidden="1" ht="69.75" customHeight="1" s="23">
      <c r="A11" s="8" t="inlineStr">
        <is>
          <t>SCR-ONB-03-SC1-TC1</t>
        </is>
      </c>
      <c r="B11" s="8" t="inlineStr">
        <is>
          <t>SCR-ONB-03-SC1</t>
        </is>
      </c>
      <c r="C11" s="8" t="inlineStr">
        <is>
          <t>SCR-ONB-03</t>
        </is>
      </c>
      <c r="D11" s="8" t="inlineStr">
        <is>
          <t>ONB-05</t>
        </is>
      </c>
      <c r="E11" s="8" t="inlineStr">
        <is>
          <t>Functional</t>
        </is>
      </c>
      <c r="F11" s="8" t="inlineStr">
        <is>
          <t>Vị trí Allowed: store gần nhất được pre-select, Continue enabled ngay, xác nhận chuyển màn</t>
        </is>
      </c>
      <c r="G11" s="8" t="inlineStr">
        <is>
          <t>Quyền vị trí = Allowed, GPS giả lập gần LOTTE Mart Nam Sài Gòn (2.1km).</t>
        </is>
      </c>
      <c r="H11" s="8" t="inlineStr">
        <is>
          <t>1. Vào SCR-ONB-03 sau khi Allow vị trí.
2. Quan sát store đầu danh sách có nhãn 'Nearest' và đã được chọn (dấu tick).
3. Kiểm tra nút Continue có thể bấm được mà không cần thao tác thêm.
4. Bấm Continue.</t>
        </is>
      </c>
      <c r="I11" s="8" t="inlineStr">
        <is>
          <t>GPS: giả lập toạ độ cách LOTTE Mart Nam Sài Gòn 2.1km.</t>
        </is>
      </c>
      <c r="J11" s="8" t="inlineStr">
        <is>
          <t>LOTTE Mart Nam Sài Gòn được pre-select, nhãn 'Nearest', khoảng cách '2.1 km' hiện đúng; Continue enabled từ đầu; bấm Continue chuyển sang SCR-ONB-04.</t>
        </is>
      </c>
      <c r="K11" s="8" t="inlineStr">
        <is>
          <t>High</t>
        </is>
      </c>
      <c r="L11" s="9" t="n"/>
      <c r="M11" s="9" t="inlineStr">
        <is>
          <t>Not Run</t>
        </is>
      </c>
      <c r="N11" s="9" t="n"/>
      <c r="O11" s="9" t="n"/>
      <c r="P11" s="8" t="n"/>
      <c r="Q11" s="8" t="n"/>
      <c r="R11" s="8" t="n"/>
    </row>
    <row r="12" hidden="1" ht="69.75" customHeight="1" s="23">
      <c r="A12" s="8" t="inlineStr">
        <is>
          <t>SCR-ONB-03-SC2-TC1</t>
        </is>
      </c>
      <c r="B12" s="8" t="inlineStr">
        <is>
          <t>SCR-ONB-03-SC2</t>
        </is>
      </c>
      <c r="C12" s="8" t="inlineStr">
        <is>
          <t>SCR-ONB-03</t>
        </is>
      </c>
      <c r="D12" s="8" t="inlineStr">
        <is>
          <t>ONB-05</t>
        </is>
      </c>
      <c r="E12" s="8" t="inlineStr">
        <is>
          <t>Boundary</t>
        </is>
      </c>
      <c r="F12" s="8" t="inlineStr">
        <is>
          <t>Vị trí Denied: Continue phải disabled cho đến khi chọn 1 store (enforcement BRL-01)</t>
        </is>
      </c>
      <c r="G12" s="8" t="inlineStr">
        <is>
          <t>Quyền vị trí = Denied.</t>
        </is>
      </c>
      <c r="H12" s="8" t="inlineStr">
        <is>
          <t>1. Vào SCR-ONB-03 (State B) sau khi Deny vị trí.
2. Kiểm tra không có store nào được dấu tick sẵn, không store nào hiện khoảng cách.
3. Thử bấm Continue mà CHƯA chọn store nào. Xác nhận nút ở trạng thái disabled.
4. Chọn 1 store bất kỳ trong danh sách (ví dụ LOTTE Mart Gò Vấp).
5. Bấm lại Continue.</t>
        </is>
      </c>
      <c r="I12" s="8" t="inlineStr">
        <is>
          <t>Không có dữ liệu GPS.</t>
        </is>
      </c>
      <c r="J12" s="8" t="inlineStr">
        <is>
          <t>Bước 3: Continue không thể bấm được khi chưa chọn store. Bước 5: sau khi chọn store, Continue chuyển sang SCR-ONB-04 đúng store vừa chọn.</t>
        </is>
      </c>
      <c r="K12" s="8" t="inlineStr">
        <is>
          <t>High</t>
        </is>
      </c>
      <c r="L12" s="9" t="n"/>
      <c r="M12" s="9" t="inlineStr">
        <is>
          <t>Not Run</t>
        </is>
      </c>
      <c r="N12" s="9" t="n"/>
      <c r="O12" s="9" t="n"/>
      <c r="P12" s="8" t="n"/>
      <c r="Q12" s="8" t="n"/>
      <c r="R12" s="8" t="n"/>
    </row>
    <row r="13" hidden="1" ht="69.75" customHeight="1" s="23">
      <c r="A13" s="8" t="inlineStr">
        <is>
          <t>SCR-ONB-03-SC3-TC1</t>
        </is>
      </c>
      <c r="B13" s="8" t="inlineStr">
        <is>
          <t>SCR-ONB-03-SC3</t>
        </is>
      </c>
      <c r="C13" s="8" t="inlineStr">
        <is>
          <t>SCR-ONB-03</t>
        </is>
      </c>
      <c r="D13" s="8" t="inlineStr">
        <is>
          <t>ONB-05</t>
        </is>
      </c>
      <c r="E13" s="8" t="inlineStr">
        <is>
          <t>Functional</t>
        </is>
      </c>
      <c r="F13" s="8" t="inlineStr">
        <is>
          <t>Tìm kiếm store theo tên/quận lọc đúng danh sách</t>
        </is>
      </c>
      <c r="G13" s="8" t="inlineStr">
        <is>
          <t>Đang ở SCR-ONB-03, danh sách có ít nhất 4 store (Nam Sài Gòn, Tân Bình, Gò Vấp, Phú Thọ).</t>
        </is>
      </c>
      <c r="H13" s="8" t="inlineStr">
        <is>
          <t>1. Nhập 'Tân Bình' vào ô tìm kiếm.
2. Quan sát danh sách còn lại.
3. Xoá từ khoá, nhập 'Q.11'.
4. Quan sát danh sách còn lại.</t>
        </is>
      </c>
      <c r="I13" s="8" t="inlineStr">
        <is>
          <t>Từ khoá: 'Tân Bình' và 'Q.11'.</t>
        </is>
      </c>
      <c r="J13" s="8" t="inlineStr">
        <is>
          <t>Bước 2: chỉ còn 'LOTTE Mart Tân Bình'. Bước 4: chỉ còn store thuộc Q.11 (LOTTE Mart Phú Thọ). Kết quả lọc không làm mất yêu cầu bắt buộc chọn 1 store trước khi Continue.</t>
        </is>
      </c>
      <c r="K13" s="8" t="inlineStr">
        <is>
          <t>Low</t>
        </is>
      </c>
      <c r="L13" s="9" t="n"/>
      <c r="M13" s="9" t="inlineStr">
        <is>
          <t>Not Run</t>
        </is>
      </c>
      <c r="N13" s="9" t="n"/>
      <c r="O13" s="9" t="n"/>
      <c r="P13" s="8" t="n"/>
      <c r="Q13" s="8" t="n"/>
      <c r="R13" s="10" t="inlineStr">
        <is>
          <t>[Review trước đó, vẫn CHƯA được xử lý] Test mới chỉ kiểm tra khi gõ ĐÚNG tên/quận có kết quả. Còn thiếu trường hợp gõ tên KHÔNG TỒN TẠI (0 kết quả) — QC đã ghi nhận thành QnA-40 (25/08/2026), hiện vẫn đang chờ trả lời. Nên bổ sung 1 bước/test case riêng cho trạng thái '0 kết quả' ngay khi QnA-40 được trả lời.</t>
        </is>
      </c>
    </row>
    <row r="14" hidden="1" ht="69.75" customHeight="1" s="23">
      <c r="A14" s="25" t="inlineStr">
        <is>
          <t>SCR-ONB-03-SC4-TC1</t>
        </is>
      </c>
      <c r="B14" s="25" t="inlineStr">
        <is>
          <t>SCR-ONB-03-SC4</t>
        </is>
      </c>
      <c r="C14" s="25" t="inlineStr">
        <is>
          <t>SCR-ONB-03</t>
        </is>
      </c>
      <c r="D14" s="25" t="inlineStr">
        <is>
          <t>ONB-05</t>
        </is>
      </c>
      <c r="E14" s="25" t="inlineStr">
        <is>
          <t>Edge</t>
        </is>
      </c>
      <c r="F14" s="25" t="inlineStr">
        <is>
          <t>Tìm kiếm store với từ khoá không khớp store nào (0 kết quả) - TBD chờ QnA-40</t>
        </is>
      </c>
      <c r="G14" s="25" t="inlineStr">
        <is>
          <t>Đang ở màn hình chọn store (State A hoặc B).</t>
        </is>
      </c>
      <c r="H14" s="25" t="inlineStr">
        <is>
          <t>1. Nhập từ khoá không tồn tại (ví dụ 'Vũng Tàu' hoặc 'zzzxyz') vào ô tìm kiếm.
2. Quan sát danh sách store hiển thị.
3. GHI NHẬN chính xác giao diện thực tế: màn hình trống trơn, hay có dòng chữ thông báo, hay có gợi ý sửa từ khoá.
4. Xoá từ khoá, xác nhận danh sách đầy đủ store hiện lại bình thường.</t>
        </is>
      </c>
      <c r="I14" s="25" t="inlineStr">
        <is>
          <t>Từ khoá test: 'Vũng Tàu' (giả định chưa có store LOTTE MART tại khu vực này trong dữ liệu test).</t>
        </is>
      </c>
      <c r="J14" s="25" t="inlineStr">
        <is>
          <t>TBD - Expected Result cụ thể (nội dung/hình ảnh trạng thái 0 kết quả) đang chờ câu trả lời QnA-40. Người thực thi KHÔNG tự ý chấm Pass/Fail cho bước 3 khi chưa có câu trả lời chính thức - chỉ ghi nhận hành vi thực tế để đối chiếu.</t>
        </is>
      </c>
      <c r="K14" s="25" t="inlineStr">
        <is>
          <t>Medium</t>
        </is>
      </c>
      <c r="L14" s="9" t="n"/>
      <c r="M14" s="9" t="inlineStr">
        <is>
          <t>Not Run</t>
        </is>
      </c>
      <c r="N14" s="9" t="n"/>
      <c r="O14" s="9" t="n"/>
      <c r="P14" s="25" t="inlineStr">
        <is>
          <t>QnA-40</t>
        </is>
      </c>
      <c r="Q14" s="25" t="inlineStr">
        <is>
          <t>Đóng gap đã ghi nhận trong Ghi chu Review (QC) cũ của SCR-ONB-03-SC3-TC1 (Review 26/08/2026). Cập nhật lại Expected Result ngay khi QnA-40 được trả lời.</t>
        </is>
      </c>
      <c r="R14" s="8" t="n"/>
    </row>
    <row r="15" hidden="1" ht="69.75" customHeight="1" s="23">
      <c r="A15" s="25" t="inlineStr">
        <is>
          <t>SCR-ONB-03-SC5-TC1</t>
        </is>
      </c>
      <c r="B15" s="25" t="inlineStr">
        <is>
          <t>SCR-ONB-03-SC5</t>
        </is>
      </c>
      <c r="C15" s="25" t="inlineStr">
        <is>
          <t>SCR-ONB-03</t>
        </is>
      </c>
      <c r="D15" s="25" t="inlineStr">
        <is>
          <t>ONB-05</t>
        </is>
      </c>
      <c r="E15" s="25" t="inlineStr">
        <is>
          <t>Boundary</t>
        </is>
      </c>
      <c r="F15" s="25" t="inlineStr">
        <is>
          <t>Hai store có khoảng cách bằng nhau tới vị trí khách - xác nhận store nào được pre-select - TBD chờ QnA-45</t>
        </is>
      </c>
      <c r="G15" s="25" t="inlineStr">
        <is>
          <t>Quyền vị trí = Allowed; dữ liệu test có ít nhất 2 store cùng khoảng cách (hoặc cùng làm tròn hiển thị, ví dụ đều '2.1 km') tới vị trí giả lập.</t>
        </is>
      </c>
      <c r="H15" s="25" t="inlineStr">
        <is>
          <t>1. Cấu hình GPS giả lập tại vị trí cách đều 2 store cụ thể (ví dụ LOTTE Mart Nam Sài Gòn và 1 store khác, cùng 2.1 km).
2. Vào SCR-ONB-03, quan sát store nào được pre-select và gắn nhãn 'Nearest'.
3. GHI NHẬN thứ tự hiển thị của 2 store đồng khoảng cách trong danh sách.
4. Lặp lại test với vị trí giả lập cách đều 1 cặp store KHÁC để xác nhận quy tắc lặp lại nhất quán (không phải ngẫu nhiên).</t>
        </is>
      </c>
      <c r="I15" s="25" t="inlineStr">
        <is>
          <t>Toạ độ GPS: cách đều LOTTE Mart Nam Sài Gòn và 1 store lân cận, cùng khoảng cách 2.1 km (làm tròn 1 số thập phân).</t>
        </is>
      </c>
      <c r="J15" s="25" t="inlineStr">
        <is>
          <t>TBD - SRS/BRL-02 không có quy tắc tie-break. Expected Result cụ thể đang chờ câu trả lời QnA-45. Người thực thi KHÔNG tự ý chấm Pass/Fail - chỉ ghi nhận store thực tế được chọn và xác nhận tính NHẤT QUÁN (lặp lại nhiều lần cho cùng 1 cặp store phải luôn ra cùng 1 kết quả, không phải ngẫu nhiên).</t>
        </is>
      </c>
      <c r="K15" s="25" t="inlineStr">
        <is>
          <t>Medium</t>
        </is>
      </c>
      <c r="L15" s="9" t="n"/>
      <c r="M15" s="9" t="inlineStr">
        <is>
          <t>Not Run</t>
        </is>
      </c>
      <c r="N15" s="9" t="n"/>
      <c r="O15" s="9" t="n"/>
      <c r="P15" s="25" t="inlineStr">
        <is>
          <t>QnA-45</t>
        </is>
      </c>
      <c r="Q15" s="25" t="inlineStr">
        <is>
          <t>Bổ sung theo yêu cầu review 26/08/2026 - làm rõ định nghĩa 'nearest' và quy tắc tie-break.</t>
        </is>
      </c>
      <c r="R15" s="8" t="n"/>
    </row>
    <row r="16" hidden="1" ht="69.75" customHeight="1" s="23">
      <c r="A16" s="25" t="inlineStr">
        <is>
          <t>SCR-ONB-03-SC6-TC1</t>
        </is>
      </c>
      <c r="B16" s="25" t="inlineStr">
        <is>
          <t>SCR-ONB-03-SC6</t>
        </is>
      </c>
      <c r="C16" s="25" t="inlineStr">
        <is>
          <t>SCR-ONB-03</t>
        </is>
      </c>
      <c r="D16" s="25" t="inlineStr">
        <is>
          <t>ONB-05</t>
        </is>
      </c>
      <c r="E16" s="25" t="inlineStr">
        <is>
          <t>Functional</t>
        </is>
      </c>
      <c r="F16" s="25" t="inlineStr">
        <is>
          <t>Tìm kiếm store theo quận và nhãn địa giới hiển thị - xác nhận dùng địa giới hành chính cũ hay mới - TBD chờ QnA-46</t>
        </is>
      </c>
      <c r="G16" s="25" t="inlineStr">
        <is>
          <t>Đang ở màn hình chọn store (State A hoặc B).</t>
        </is>
      </c>
      <c r="H16" s="25" t="inlineStr">
        <is>
          <t>1. Quan sát nhãn quận/khu vực hiển thị kèm mỗi store trong danh sách (ví dụ 'Q.7', 'Q.11'...).
2. Nhập tên quận theo địa giới CŨ (trước sáp nhập) vào ô tìm kiếm, quan sát kết quả lọc.
3. Nếu có dữ liệu, thử nhập tên đơn vị hành chính theo địa giới MỚI (sau sáp nhập) tương ứng cùng khu vực, so sánh kết quả với bước 2.
4. GHI NHẬN nhãn địa giới hiển thị và kết quả tìm kiếm có nhất quán với địa chỉ khách nhập ở màn tạo địa chỉ (SCR-HOM-02) hay không (nếu có thể đối chiếu được ở giai đoạn test này).</t>
        </is>
      </c>
      <c r="I16" s="25" t="inlineStr">
        <is>
          <t>Tên quận cũ: 'Thủ Đức' (hoặc 1 quận/huyện đã bị sáp nhập gần thời điểm test); tên đơn vị hành chính mới tương ứng.</t>
        </is>
      </c>
      <c r="J16" s="25" t="inlineStr">
        <is>
          <t>TBD - Expected Result cụ thể đang chờ câu trả lời QnA-46 (nguồn dữ liệu địa giới hành chính dùng cho GPS/tìm kiếm store). Người thực thi KHÔNG tự ý chấm Pass/Fail - chỉ ghi nhận nhãn/kết quả tìm kiếm thực tế.</t>
        </is>
      </c>
      <c r="K16" s="25" t="inlineStr">
        <is>
          <t>Medium</t>
        </is>
      </c>
      <c r="L16" s="9" t="n"/>
      <c r="M16" s="9" t="inlineStr">
        <is>
          <t>Not Run</t>
        </is>
      </c>
      <c r="N16" s="9" t="n"/>
      <c r="O16" s="9" t="n"/>
      <c r="P16" s="25" t="inlineStr">
        <is>
          <t>QnA-46</t>
        </is>
      </c>
      <c r="Q16" s="25" t="inlineStr">
        <is>
          <t>Bổ sung theo yêu cầu review 26/08/2026.</t>
        </is>
      </c>
      <c r="R16" s="8" t="n"/>
    </row>
    <row r="17" hidden="1" ht="69.75" customHeight="1" s="23">
      <c r="A17" s="25" t="inlineStr">
        <is>
          <t>SCR-ONB-03-SC7-TC1</t>
        </is>
      </c>
      <c r="B17" s="25" t="inlineStr">
        <is>
          <t>SCR-ONB-03-SC7</t>
        </is>
      </c>
      <c r="C17" s="25" t="inlineStr">
        <is>
          <t>SCR-ONB-03</t>
        </is>
      </c>
      <c r="D17" s="25" t="inlineStr">
        <is>
          <t>ONB-05</t>
        </is>
      </c>
      <c r="E17" s="25" t="inlineStr">
        <is>
          <t>Edge</t>
        </is>
      </c>
      <c r="F17" s="25" t="inlineStr">
        <is>
          <t>Tắt app khi đang ở màn chọn store bắt buộc (chưa bấm Continue), mở lại app - TBD chờ QnA-47</t>
        </is>
      </c>
      <c r="G17" s="25" t="inlineStr">
        <is>
          <t>Đã qua bước xin quyền (SCR-ONB-02), đang ở SCR-ONB-03.</t>
        </is>
      </c>
      <c r="H17" s="25" t="inlineStr">
        <is>
          <t>1. Ở State B (vị trí Denied), chọn thủ công 1 store bất kỳ nhưng CHƯA bấm Continue.
2. Tắt hẳn ứng dụng (kill app).
3. Mở lại app từ icon, GHI NHẬN màn hình hiển thị đầu tiên và store đã chọn ở bước 1 có còn được giữ hay không.
4. Lặp lại bước 1-3 nhưng KHÔNG chọn store nào trước khi tắt app (State B, chưa chọn gì), xác nhận riêng trường hợp này.</t>
        </is>
      </c>
      <c r="I17" s="25" t="inlineStr">
        <is>
          <t>N/A (thao tác tắt/mở app thực tế).</t>
        </is>
      </c>
      <c r="J17" s="25" t="inlineStr">
        <is>
          <t>TBD - Expected Result cụ thể đang chờ câu trả lời QnA-47. Người thực thi KHÔNG tự ý chấm Pass/Fail - chỉ ghi nhận hành vi thực tế, đồng thời xác nhận khách KHÔNG bị bỏ qua bước chọn store bắt buộc (BRL-01) dù hành vi resume là gì (ví dụ không được nhảy thẳng vào Homepage mà chưa hề chọn store).</t>
        </is>
      </c>
      <c r="K17" s="25" t="inlineStr">
        <is>
          <t>High</t>
        </is>
      </c>
      <c r="L17" s="9" t="n"/>
      <c r="M17" s="9" t="inlineStr">
        <is>
          <t>Not Run</t>
        </is>
      </c>
      <c r="N17" s="9" t="n"/>
      <c r="O17" s="9" t="n"/>
      <c r="P17" s="25" t="inlineStr">
        <is>
          <t>QnA-47</t>
        </is>
      </c>
      <c r="Q17" s="25" t="inlineStr">
        <is>
          <t>Bổ sung theo yêu cầu review 26/08/2026 - rủi ro cao hơn SCR-ONB-02-SC5 vì đây là bước bắt buộc (BRL-01, mandatory store selection).</t>
        </is>
      </c>
      <c r="R17" s="8" t="n"/>
    </row>
    <row r="18" hidden="1" ht="69.75" customHeight="1" s="23">
      <c r="A18" s="25" t="inlineStr">
        <is>
          <t>SCR-ONB-04-SC1-TC1</t>
        </is>
      </c>
      <c r="B18" s="25" t="inlineStr">
        <is>
          <t>SCR-ONB-04-SC1</t>
        </is>
      </c>
      <c r="C18" s="25" t="inlineStr">
        <is>
          <t>SCR-ONB-04</t>
        </is>
      </c>
      <c r="D18" s="25" t="inlineStr">
        <is>
          <t>ONB-06</t>
        </is>
      </c>
      <c r="E18" s="25" t="inlineStr">
        <is>
          <t>Functional</t>
        </is>
      </c>
      <c r="F18" s="25" t="inlineStr">
        <is>
          <t>Vượt qua 3 màn carousel, progress dot cập nhật đúng vị trí</t>
        </is>
      </c>
      <c r="G18" s="25" t="inlineStr">
        <is>
          <t>Đã hoàn tất chọn store, đang ở màn carousel 1/3.</t>
        </is>
      </c>
      <c r="H18" s="25" t="inlineStr">
        <is>
          <t>1. Quan sát 3 chấm progress, chấm đầu tiên đang active (kéo dài).
2. Vuốt trái sang màn 2/3, quan sát chấm thứ 2 active.
3. Vuốt trái sang màn 3/3, quan sát chấm thứ 3 active và nút chính đổi thành 'Start shopping'.
4. Vuốt phải quay lại màn 2, kiểm tra điều hướng ngược chiều hoạt động.</t>
        </is>
      </c>
      <c r="I18" s="25" t="inlineStr">
        <is>
          <t>N/A (thao tác vuốt màn hình).</t>
        </is>
      </c>
      <c r="J18" s="25" t="inlineStr">
        <is>
          <t>Progress dot luôn phản ánh đúng vị trí hiện tại; vuốt được cả 2 chiều; nút chính chỉ đổi thành 'Start shopping' ở màn thứ 3.</t>
        </is>
      </c>
      <c r="K18" s="25" t="inlineStr">
        <is>
          <t>Low</t>
        </is>
      </c>
      <c r="L18" s="9" t="n"/>
      <c r="M18" s="9" t="inlineStr">
        <is>
          <t>Not Run</t>
        </is>
      </c>
      <c r="N18" s="9" t="n"/>
      <c r="O18" s="9" t="n"/>
      <c r="P18" s="25" t="inlineStr">
        <is>
          <t>QnA-06</t>
        </is>
      </c>
      <c r="Q18" s="25" t="inlineStr">
        <is>
          <t>Artwork/nội dung cụ thể của từng màn còn chờ LOTTE MART xác nhận (QnA-06) nhưng không chặn test điều hướng.</t>
        </is>
      </c>
      <c r="R18" s="8" t="n"/>
    </row>
    <row r="19" hidden="1" ht="69.75" customHeight="1" s="23">
      <c r="A19" s="8" t="inlineStr">
        <is>
          <t>SCR-ONB-04-SC2-TC1</t>
        </is>
      </c>
      <c r="B19" s="8" t="inlineStr">
        <is>
          <t>SCR-ONB-04-SC2</t>
        </is>
      </c>
      <c r="C19" s="8" t="inlineStr">
        <is>
          <t>SCR-ONB-04</t>
        </is>
      </c>
      <c r="D19" s="8" t="inlineStr">
        <is>
          <t>ONB-06, ONB-07</t>
        </is>
      </c>
      <c r="E19" s="8" t="inlineStr">
        <is>
          <t>Functional</t>
        </is>
      </c>
      <c r="F19" s="8" t="inlineStr">
        <is>
          <t>Bấm Skip từ màn carousel đầu tiên vào thẳng Homepage đúng store đã chọn</t>
        </is>
      </c>
      <c r="G19" s="8" t="inlineStr">
        <is>
          <t>Đã chọn store là 'LOTTE Mart Nam Sài Gòn' ở SCR-ONB-03, đang ở màn carousel 1/3.</t>
        </is>
      </c>
      <c r="H19" s="8" t="inlineStr">
        <is>
          <t>1. Bấm nút 'Skip' ở góc màn hình.
2. Quan sát màn hình đích đến.
3. Kiểm tra tên store hiện trên header Homepage.</t>
        </is>
      </c>
      <c r="I19" s="8" t="inlineStr">
        <is>
          <t>Store đã chọn trước đó: LOTTE Mart Nam Sài Gòn.</t>
        </is>
      </c>
      <c r="J19" s="8" t="inlineStr">
        <is>
          <t>Hệ thống bỏ qua màn 2 và 3, vào thẳng SCR-HOM-01 (Homepage) trạng thái Guest; header hiện đúng 'LOTTE Mart Nam Sài Gòn' (BR-03, ONB-07).</t>
        </is>
      </c>
      <c r="K19" s="8" t="inlineStr">
        <is>
          <t>Medium</t>
        </is>
      </c>
      <c r="L19" s="9" t="n"/>
      <c r="M19" s="9" t="inlineStr">
        <is>
          <t>Not Run</t>
        </is>
      </c>
      <c r="N19" s="9" t="n"/>
      <c r="O19" s="9" t="n"/>
      <c r="P19" s="8" t="n"/>
      <c r="Q19" s="8" t="n"/>
      <c r="R19" s="8" t="n"/>
    </row>
    <row r="20" hidden="1" ht="69.75" customHeight="1" s="23">
      <c r="A20" s="25" t="inlineStr">
        <is>
          <t>SCR-ONB-04-SC3-TC1</t>
        </is>
      </c>
      <c r="B20" s="25" t="inlineStr">
        <is>
          <t>SCR-ONB-04-SC3</t>
        </is>
      </c>
      <c r="C20" s="25" t="inlineStr">
        <is>
          <t>SCR-ONB-04</t>
        </is>
      </c>
      <c r="D20" s="25" t="inlineStr">
        <is>
          <t>ONB-06</t>
        </is>
      </c>
      <c r="E20" s="25" t="inlineStr">
        <is>
          <t>Edge</t>
        </is>
      </c>
      <c r="F20" s="25" t="inlineStr">
        <is>
          <t>Tắt app khi đang ở giữa carousel giới thiệu, mở lại app - TBD chờ QnA-48</t>
        </is>
      </c>
      <c r="G20" s="25" t="inlineStr">
        <is>
          <t>Đã hoàn tất chọn store bắt buộc ở SCR-ONB-03, đang ở carousel màn 2/3.</t>
        </is>
      </c>
      <c r="H20" s="25" t="inlineStr">
        <is>
          <t>1. Ở màn carousel 2/3, tắt hẳn ứng dụng (kill app).
2. Mở lại app từ icon.
3. GHI NHẬN chính xác màn hình hiển thị đầu tiên: tiếp tục carousel màn 2/3, carousel quay lại màn 1/3, hay vào thẳng Homepage (SCR-HOM-01).
4. Nếu carousel hiện lại, xác nhận store đã chọn ở SCR-ONB-03 vẫn được giữ đúng (không bị mất hay yêu cầu chọn lại).</t>
        </is>
      </c>
      <c r="I20" s="25" t="inlineStr">
        <is>
          <t>N/A (thao tác tắt/mở app thực tế).</t>
        </is>
      </c>
      <c r="J20" s="25" t="inlineStr">
        <is>
          <t>TBD - Expected Result cụ thể đang chờ câu trả lời QnA-48. Người thực thi KHÔNG tự ý chấm Pass/Fail cho bước 3 - chỉ ghi nhận hành vi thực tế; bước 4 luôn phải đúng (store đã chọn không bao giờ bị mất) bất kể carousel resume ra sao.</t>
        </is>
      </c>
      <c r="K20" s="25" t="inlineStr">
        <is>
          <t>Low</t>
        </is>
      </c>
      <c r="L20" s="9" t="n"/>
      <c r="M20" s="9" t="inlineStr">
        <is>
          <t>Not Run</t>
        </is>
      </c>
      <c r="N20" s="9" t="n"/>
      <c r="O20" s="9" t="n"/>
      <c r="P20" s="25" t="inlineStr">
        <is>
          <t>QnA-48</t>
        </is>
      </c>
      <c r="Q20" s="25" t="inlineStr">
        <is>
          <t>Bổ sung theo yêu cầu review 26/08/2026.</t>
        </is>
      </c>
      <c r="R20" s="8" t="n"/>
    </row>
    <row r="21" hidden="1" ht="69.75" customHeight="1" s="23">
      <c r="A21" s="8" t="inlineStr">
        <is>
          <t>SCR-HOM-01-SC1-TC1</t>
        </is>
      </c>
      <c r="B21" s="8" t="inlineStr">
        <is>
          <t>SCR-HOM-01-SC1</t>
        </is>
      </c>
      <c r="C21" s="8" t="inlineStr">
        <is>
          <t>SCR-HOM-01</t>
        </is>
      </c>
      <c r="D21" s="8" t="inlineStr">
        <is>
          <t>HP-01, HP-04</t>
        </is>
      </c>
      <c r="E21" s="8" t="inlineStr">
        <is>
          <t>Functional</t>
        </is>
      </c>
      <c r="F21" s="8" t="inlineStr">
        <is>
          <t>Guest xem Homepage khi chưa có địa chỉ - ước tính theo store, không bị chặn duyệt</t>
        </is>
      </c>
      <c r="G21" s="8" t="inlineStr">
        <is>
          <t>Guest vừa vào Homepage lần đầu, chưa tạo địa chỉ nào.</t>
        </is>
      </c>
      <c r="H21" s="8" t="inlineStr">
        <is>
          <t>1. Quan sát header: tên store, dòng địa chỉ giao hàng, ước tính giao hàng.
2. Chạm vào danh mục/sản phẩm bất kỳ để xác nhận duyệt được bình thường.
3. Chạm icon Cart để xác nhận vẫn hiển thị (chưa cần kiểm tra hành vi mở gate ở đây).</t>
        </is>
      </c>
      <c r="I21" s="8" t="inlineStr">
        <is>
          <t>Store đã chọn: LOTTE Mart Nam Sài Gòn.</t>
        </is>
      </c>
      <c r="J21" s="8" t="inlineStr">
        <is>
          <t>Header hiện 'Choose delivery address'; ước tính giao hàng hiện Standard + slot sớm nhất CỦA STORE (không phải theo địa chỉ vì chưa có); danh mục/giá/khuyến mãi đúng theo store đã chọn; duyệt danh mục không bị chặn bởi việc chưa đăng nhập hay chưa có địa chỉ (BR-04).</t>
        </is>
      </c>
      <c r="K21" s="8" t="inlineStr">
        <is>
          <t>High</t>
        </is>
      </c>
      <c r="L21" s="9" t="n"/>
      <c r="M21" s="9" t="inlineStr">
        <is>
          <t>Not Run</t>
        </is>
      </c>
      <c r="N21" s="9" t="n"/>
      <c r="O21" s="9" t="n"/>
      <c r="P21" s="8" t="n"/>
      <c r="Q21" s="8" t="n"/>
      <c r="R21" s="8" t="n"/>
    </row>
    <row r="22" hidden="1" ht="69.75" customHeight="1" s="23">
      <c r="A22" s="8" t="inlineStr">
        <is>
          <t>SCR-HOM-01-SC2-TC1</t>
        </is>
      </c>
      <c r="B22" s="8" t="inlineStr">
        <is>
          <t>SCR-HOM-01-SC2</t>
        </is>
      </c>
      <c r="C22" s="8" t="inlineStr">
        <is>
          <t>SCR-HOM-01</t>
        </is>
      </c>
      <c r="D22" s="8" t="inlineStr">
        <is>
          <t>HP-01, HP-04</t>
        </is>
      </c>
      <c r="E22" s="8" t="inlineStr">
        <is>
          <t>Functional</t>
        </is>
      </c>
      <c r="F22" s="8" t="inlineStr">
        <is>
          <t>Địa chỉ trong vùng 60-Minute hiện banner đề xuất nhưng Standard vẫn là mặc định</t>
        </is>
      </c>
      <c r="G22" s="8" t="inlineStr">
        <is>
          <t>Guest đã lưu 1 địa chỉ cách store 4km (trong bán kính 3-5km).</t>
        </is>
      </c>
      <c r="H22" s="8" t="inlineStr">
        <is>
          <t>1. Mở Homepage, quan sát địa chỉ hiện trên header.
2. Quan sát dòng ước tính giao hàng và banner bên dưới.
3. Kiểm tra dịch vụ đang được CHỌN là gì (Standard hay 60-Minute).</t>
        </is>
      </c>
      <c r="I22" s="8" t="inlineStr">
        <is>
          <t>Địa chỉ test: cách store 4km.</t>
        </is>
      </c>
      <c r="J22" s="8" t="inlineStr">
        <is>
          <t>Header hiện đúng địa chỉ đã lưu; ước tính hiện 'Standard - hôm nay HH:MM-HH:MM' kèm banner '60-Minute delivery is available for this address'; dịch vụ đang CHỌN vẫn là Standard (banner chỉ là đề xuất, không tự chuyển).</t>
        </is>
      </c>
      <c r="K22" s="8" t="inlineStr">
        <is>
          <t>Medium</t>
        </is>
      </c>
      <c r="L22" s="9" t="n"/>
      <c r="M22" s="9" t="inlineStr">
        <is>
          <t>Not Run</t>
        </is>
      </c>
      <c r="N22" s="9" t="n"/>
      <c r="O22" s="9" t="n"/>
      <c r="P22" s="8" t="n"/>
      <c r="Q22" s="8" t="n"/>
      <c r="R22" s="8" t="n"/>
    </row>
    <row r="23" hidden="1" ht="69.75" customHeight="1" s="23">
      <c r="A23" s="8" t="inlineStr">
        <is>
          <t>SCR-HOM-01-SC3-TC1</t>
        </is>
      </c>
      <c r="B23" s="8" t="inlineStr">
        <is>
          <t>SCR-HOM-01-SC3</t>
        </is>
      </c>
      <c r="C23" s="8" t="inlineStr">
        <is>
          <t>SCR-HOM-01</t>
        </is>
      </c>
      <c r="D23" s="8" t="inlineStr">
        <is>
          <t>HP-01, BR-06</t>
        </is>
      </c>
      <c r="E23" s="8" t="inlineStr">
        <is>
          <t>Functional</t>
        </is>
      </c>
      <c r="F23" s="8" t="inlineStr">
        <is>
          <t>Giá Guest và giá Member hiện đồng thời trên cùng 1 SKU khi đang ở trạng thái Guest</t>
        </is>
      </c>
      <c r="G23" s="8" t="inlineStr">
        <is>
          <t>Đang ở Homepage, trạng thái Guest, khu 'Best sellers at this store' có ít nhất 1 SKU có cả 2 mức giá.</t>
        </is>
      </c>
      <c r="H23" s="8" t="inlineStr">
        <is>
          <t>1. Cuộn đến khu 'Best sellers at this store'.
2. Quan sát 1 SKU có cả 2 giá.
3. Ghi nhận giá Guest và giá Member hiển thị.</t>
        </is>
      </c>
      <c r="I23" s="8" t="inlineStr">
        <is>
          <t>SKU mẫu: giá Guest 59.000đ, giá Member 49.000đ.</t>
        </is>
      </c>
      <c r="J23" s="8" t="inlineStr">
        <is>
          <t>Cả 2 giá (59.000đ và 49.000đ) hiển thị ĐỒNG THỜI trên cùng 1 thẻ sản phẩm, không bị ẩn giá nào.</t>
        </is>
      </c>
      <c r="K23" s="8" t="inlineStr">
        <is>
          <t>Low</t>
        </is>
      </c>
      <c r="L23" s="9" t="n"/>
      <c r="M23" s="9" t="inlineStr">
        <is>
          <t>Not Run</t>
        </is>
      </c>
      <c r="N23" s="9" t="n"/>
      <c r="O23" s="9" t="n"/>
      <c r="P23" s="8" t="n"/>
      <c r="Q23" s="8" t="n"/>
      <c r="R23" s="8" t="n"/>
    </row>
    <row r="24" hidden="1" ht="69.75" customHeight="1" s="23">
      <c r="A24" s="8" t="inlineStr">
        <is>
          <t>SCR-HOM-02-SC1-TC1</t>
        </is>
      </c>
      <c r="B24" s="8" t="inlineStr">
        <is>
          <t>SCR-HOM-02-SC1</t>
        </is>
      </c>
      <c r="C24" s="8" t="inlineStr">
        <is>
          <t>SCR-HOM-02</t>
        </is>
      </c>
      <c r="D24" s="8" t="inlineStr">
        <is>
          <t>HP-02, HP-03</t>
        </is>
      </c>
      <c r="E24" s="8" t="inlineStr">
        <is>
          <t>Functional</t>
        </is>
      </c>
      <c r="F24" s="8" t="inlineStr">
        <is>
          <t>GPS chỉ pre-fill gợi ý, Guest phải tự bổ sung chi tiết rồi mới Save được</t>
        </is>
      </c>
      <c r="G24" s="8" t="inlineStr">
        <is>
          <t>Guest chưa có địa chỉ, quyền vị trí đã Allow, đang ở SCR-HOM-02.</t>
        </is>
      </c>
      <c r="H24" s="8" t="inlineStr">
        <is>
          <t>1. Chạm 'Use my location'.
2. Quan sát ô địa chỉ được GPS điền sẵn 1 gợi ý (ví dụ '123 Nguyễn Thị Thập, Tân Phú, Q.7').
3. Bổ sung thêm số nhà/tầng/block vào ô địa chỉ.
4. Xác nhận form KHÔNG có trường tên/SĐT người nhận (vì là Guest).
5. Bấm Save.</t>
        </is>
      </c>
      <c r="I24" s="8" t="inlineStr">
        <is>
          <t>GPS giả lập gợi ý: '123 Nguyễn Thị Thập, Tân Phú, Q.7'.</t>
        </is>
      </c>
      <c r="J24" s="8" t="inlineStr">
        <is>
          <t>Bước 2: địa chỉ GPS chỉ là gợi ý, chưa được lưu. Bước 4: form Guest KHÔNG hiện trường tên/SĐT người nhận. Bước 5: Save chỉ thành công SAU KHI khách đã xác nhận/bổ sung chi tiết (không tự động Save ngay khi GPS trả về toạ độ).</t>
        </is>
      </c>
      <c r="K24" s="8" t="inlineStr">
        <is>
          <t>High</t>
        </is>
      </c>
      <c r="L24" s="9" t="n"/>
      <c r="M24" s="9" t="inlineStr">
        <is>
          <t>Not Run</t>
        </is>
      </c>
      <c r="N24" s="9" t="n"/>
      <c r="O24" s="9" t="n"/>
      <c r="P24" s="8" t="n"/>
      <c r="Q24" s="8" t="n"/>
      <c r="R24" s="10" t="inlineStr">
        <is>
          <t>[Review trước đó, vẫn CHƯA được xử lý] Test này chỉ đi qua đường 'định vị GPS rồi bổ sung'. Đường nhập tay 100% (không bấm 'Use my location' lần nào) vẫn chưa có test case riêng — nên bổ sung để chắc chắn cả 2 cách nhập đều tạo địa chỉ hợp lệ.</t>
        </is>
      </c>
    </row>
    <row r="25" hidden="1" ht="69.75" customHeight="1" s="23">
      <c r="A25" s="8" t="inlineStr">
        <is>
          <t>SCR-HOM-02-SC2-TC1</t>
        </is>
      </c>
      <c r="B25" s="8" t="inlineStr">
        <is>
          <t>SCR-HOM-02-SC2</t>
        </is>
      </c>
      <c r="C25" s="8" t="inlineStr">
        <is>
          <t>SCR-HOM-02</t>
        </is>
      </c>
      <c r="D25" s="8" t="inlineStr">
        <is>
          <t>HP-03</t>
        </is>
      </c>
      <c r="E25" s="8" t="inlineStr">
        <is>
          <t>Validation</t>
        </is>
      </c>
      <c r="F25" s="8" t="inlineStr">
        <is>
          <t>Tên/SĐT người nhận là bắt buộc và được mặc định từ tài khoản khi là Member</t>
        </is>
      </c>
      <c r="G25" s="8" t="inlineStr">
        <is>
          <t>Đã đăng nhập (Member), đang ở SCR-HOM-02 State B tạo địa chỉ mới.</t>
        </is>
      </c>
      <c r="H25" s="8" t="inlineStr">
        <is>
          <t>1. Quan sát trường Tên người nhận / SĐT người nhận - kiểm tra có được điền sẵn từ tài khoản không.
2. Xoá trống trường Tên người nhận.
3. Bấm Save.
4. Điền lại Tên người nhận, bấm Save.</t>
        </is>
      </c>
      <c r="I25" s="8" t="inlineStr">
        <is>
          <t>Tài khoản Member: Thái Bảo Ngọc / 09xxxxxxxx.</t>
        </is>
      </c>
      <c r="J25" s="8" t="inlineStr">
        <is>
          <t>Bước 1: cả 2 trường được điền sẵn từ tài khoản (có thể sửa). Bước 3: Save bị CHẶN khi Tên người nhận trống (báo lỗi bắt buộc). Bước 4: sau khi điền lại, Save thành công.</t>
        </is>
      </c>
      <c r="K25" s="8" t="inlineStr">
        <is>
          <t>High</t>
        </is>
      </c>
      <c r="L25" s="9" t="n"/>
      <c r="M25" s="9" t="inlineStr">
        <is>
          <t>Not Run</t>
        </is>
      </c>
      <c r="N25" s="9" t="n"/>
      <c r="O25" s="9" t="n"/>
      <c r="P25" s="8" t="n"/>
      <c r="Q25" s="8" t="n"/>
      <c r="R25" s="8" t="n"/>
    </row>
    <row r="26" hidden="1" ht="69.75" customHeight="1" s="23">
      <c r="A26" s="8" t="inlineStr">
        <is>
          <t>SCR-HOM-02-SC3-TC1</t>
        </is>
      </c>
      <c r="B26" s="8" t="inlineStr">
        <is>
          <t>SCR-HOM-02-SC3</t>
        </is>
      </c>
      <c r="C26" s="8" t="inlineStr">
        <is>
          <t>SCR-HOM-02</t>
        </is>
      </c>
      <c r="D26" s="8" t="inlineStr">
        <is>
          <t>HP-04, HP-05</t>
        </is>
      </c>
      <c r="E26" s="8" t="inlineStr">
        <is>
          <t>Functional</t>
        </is>
      </c>
      <c r="F26" s="8" t="inlineStr">
        <is>
          <t>Lưu địa chỉ ngoài mọi vùng phục vụ chuyển header sang trạng thái 'không được phục vụ' ngay lập tức</t>
        </is>
      </c>
      <c r="G26" s="8" t="inlineStr">
        <is>
          <t>Đang ở SCR-HOM-02, chuẩn bị nhập 1 địa chỉ ngoài bán kính Standard và ngoài mọi khu Next-day của store.</t>
        </is>
      </c>
      <c r="H26" s="8" t="inlineStr">
        <is>
          <t>1. Nhập và Save 1 địa chỉ nằm ngoài mọi vùng phục vụ của store hiện tại.
2. Quan sát header Homepage ngay sau khi Save.
3. Kiểm tra danh mục/duyệt và Pickup vẫn hoạt động bình thường.</t>
        </is>
      </c>
      <c r="I26" s="8" t="inlineStr">
        <is>
          <t>Địa chỉ mẫu: ngoài mọi vùng cấu hình (ví dụ 1 tỉnh chưa có Next-day).</t>
        </is>
      </c>
      <c r="J26" s="8" t="inlineStr">
        <is>
          <t>Header KHÔNG hiện ngày/giờ giao, chỉ hiện thông báo + CTA 'Change address'; duyệt danh mục và lựa chọn Pickup vẫn hoạt động bình thường (chỉ Delivery bị ảnh hưởng).</t>
        </is>
      </c>
      <c r="K26" s="8" t="inlineStr">
        <is>
          <t>High</t>
        </is>
      </c>
      <c r="L26" s="9" t="n"/>
      <c r="M26" s="9" t="inlineStr">
        <is>
          <t>Not Run</t>
        </is>
      </c>
      <c r="N26" s="9" t="n"/>
      <c r="O26" s="9" t="n"/>
      <c r="P26" s="8" t="n"/>
      <c r="Q26" s="8" t="n"/>
      <c r="R26" s="8" t="n"/>
    </row>
    <row r="27" hidden="1" ht="69.75" customHeight="1" s="23">
      <c r="A27" s="8" t="inlineStr">
        <is>
          <t>SCR-HOM-03-SC1-TC1</t>
        </is>
      </c>
      <c r="B27" s="8" t="inlineStr">
        <is>
          <t>SCR-HOM-03-SC1</t>
        </is>
      </c>
      <c r="C27" s="8" t="inlineStr">
        <is>
          <t>SCR-HOM-03</t>
        </is>
      </c>
      <c r="D27" s="8" t="inlineStr">
        <is>
          <t>HP-09</t>
        </is>
      </c>
      <c r="E27" s="8" t="inlineStr">
        <is>
          <t>Functional</t>
        </is>
      </c>
      <c r="F27" s="8" t="inlineStr">
        <is>
          <t>Đổi sang địa chỉ đã lưu khác mà cùng store vẫn phục vụ được - áp dụng ngay không xác nhận</t>
        </is>
      </c>
      <c r="G27" s="8" t="inlineStr">
        <is>
          <t>Tài khoản có 2 địa chỉ đã lưu (Home, Office) đều được Nam Sài Gòn phục vụ.</t>
        </is>
      </c>
      <c r="H27" s="8" t="inlineStr">
        <is>
          <t>1. Mở danh sách địa chỉ đã lưu từ header.
2. Chọn địa chỉ 'Office'.
3. Quan sát có dialog xác nhận nào xuất hiện không.
4. Kiểm tra store và ước tính giao hàng sau khi đổi.</t>
        </is>
      </c>
      <c r="I27" s="8" t="inlineStr">
        <is>
          <t>Địa chỉ 'Office': 72 Lê Thánh Tôn, Q.1 - vẫn do Nam Sài Gòn phục vụ.</t>
        </is>
      </c>
      <c r="J27" s="8" t="inlineStr">
        <is>
          <t>Bước 3: KHÔNG có dialog xác nhận nào. Bước 4: store giữ nguyên 'Nam Sài Gòn', chỉ địa chỉ và ước tính giao hàng được làm mới theo địa chỉ 'Office'.</t>
        </is>
      </c>
      <c r="K27" s="8" t="inlineStr">
        <is>
          <t>Medium</t>
        </is>
      </c>
      <c r="L27" s="9" t="n"/>
      <c r="M27" s="9" t="inlineStr">
        <is>
          <t>Not Run</t>
        </is>
      </c>
      <c r="N27" s="9" t="n"/>
      <c r="O27" s="9" t="n"/>
      <c r="P27" s="8" t="n"/>
      <c r="Q27" s="8" t="n"/>
      <c r="R27" s="8" t="n"/>
    </row>
    <row r="28" hidden="1" ht="69.75" customHeight="1" s="23">
      <c r="A28" s="25" t="inlineStr">
        <is>
          <t>SCR-HOM-03-SC2-TC1</t>
        </is>
      </c>
      <c r="B28" s="25" t="inlineStr">
        <is>
          <t>SCR-HOM-03-SC2</t>
        </is>
      </c>
      <c r="C28" s="25" t="inlineStr">
        <is>
          <t>SCR-HOM-03</t>
        </is>
      </c>
      <c r="D28" s="25" t="inlineStr">
        <is>
          <t>HP-09</t>
        </is>
      </c>
      <c r="E28" s="25" t="inlineStr">
        <is>
          <t>Edge</t>
        </is>
      </c>
      <c r="F28" s="25" t="inlineStr">
        <is>
          <t>Đổi sang địa chỉ khác tỉnh/thành tự động chuyển store phục vụ kèm thông báo toast</t>
        </is>
      </c>
      <c r="G28" s="25" t="inlineStr">
        <is>
          <t>Tài khoản có địa chỉ 'Parents' ở Hà Nội, hiện đang dùng store Nam Sài Gòn (TP.HCM).</t>
        </is>
      </c>
      <c r="H28" s="25" t="inlineStr">
        <is>
          <t>1. Mở danh sách địa chỉ đã lưu từ header.
2. Chọn địa chỉ 'Parents' (Hà Nội).
3. Quan sát store hiện trên header và toast thông báo.
4. Kiểm tra ước tính giao hàng mới.</t>
        </is>
      </c>
      <c r="I28" s="25" t="inlineStr">
        <is>
          <t>Địa chỉ 'Parents': 45 Nguyễn Văn Cừ, Long Biên, Hà Nội.</t>
        </is>
      </c>
      <c r="J28" s="25" t="inlineStr">
        <is>
          <t>Store TỰ ĐỘNG chuyển sang 'LOTTE Mart Long Biên' KHÔNG hỏi xác nhận; toast hiện 'Store changed to LOTTE Mart Long Biên'; ước tính giao hàng chuyển sang dạng Next-day (chọn ngày thay vì khung giờ) vì đây là vùng Next-day của store mới.</t>
        </is>
      </c>
      <c r="K28" s="25" t="inlineStr">
        <is>
          <t>High</t>
        </is>
      </c>
      <c r="L28" s="9" t="n"/>
      <c r="M28" s="9" t="inlineStr">
        <is>
          <t>Not Run</t>
        </is>
      </c>
      <c r="N28" s="9" t="n"/>
      <c r="O28" s="9" t="n"/>
      <c r="P28" s="25" t="inlineStr">
        <is>
          <t>QnA-01</t>
        </is>
      </c>
      <c r="Q28" s="25" t="inlineStr">
        <is>
          <t>Nếu địa chỉ vừa chọn lại không còn hợp lệ sau khi đổi store khác nữa, thứ tự chọn địa chỉ thay thế vẫn là OQ-01/QnA-01.</t>
        </is>
      </c>
      <c r="R28" s="8" t="n"/>
    </row>
    <row r="29" hidden="1" ht="69.75" customHeight="1" s="23">
      <c r="A29" s="8" t="inlineStr">
        <is>
          <t>SCR-HOM-04-SC1-TC1</t>
        </is>
      </c>
      <c r="B29" s="8" t="inlineStr">
        <is>
          <t>SCR-HOM-04-SC1</t>
        </is>
      </c>
      <c r="C29" s="8" t="inlineStr">
        <is>
          <t>SCR-HOM-04</t>
        </is>
      </c>
      <c r="D29" s="8" t="inlineStr">
        <is>
          <t>HP-08</t>
        </is>
      </c>
      <c r="E29" s="8" t="inlineStr">
        <is>
          <t>Functional</t>
        </is>
      </c>
      <c r="F29" s="8" t="inlineStr">
        <is>
          <t>Đổi store từ header áp dụng ngay lập tức không cần xác nhận khi dịch vụ không đổi</t>
        </is>
      </c>
      <c r="G29" s="8" t="inlineStr">
        <is>
          <t>Địa chỉ hiện tại vẫn hợp lệ Standard ở cả store cũ và store mới.</t>
        </is>
      </c>
      <c r="H29" s="8" t="inlineStr">
        <is>
          <t>1. Mở store sheet từ header, chọn 'LOTTE Mart Tân Bình'.
2. Quan sát có dialog xác nhận không.
3. Kiểm tra danh mục/giá trên Homepage sau khi đổi.</t>
        </is>
      </c>
      <c r="I29" s="8" t="inlineStr">
        <is>
          <t>Store mới: LOTTE Mart Tân Bình (Standard vẫn khả dụng cho địa chỉ hiện tại).</t>
        </is>
      </c>
      <c r="J29" s="8" t="inlineStr">
        <is>
          <t>KHÔNG có dialog xác nhận; store đổi ngay; danh mục/giá/tồn kho re-render theo đúng 'LOTTE Mart Tân Bình'.</t>
        </is>
      </c>
      <c r="K29" s="8" t="inlineStr">
        <is>
          <t>High</t>
        </is>
      </c>
      <c r="L29" s="9" t="n"/>
      <c r="M29" s="9" t="inlineStr">
        <is>
          <t>Not Run</t>
        </is>
      </c>
      <c r="N29" s="9" t="n"/>
      <c r="O29" s="9" t="n"/>
      <c r="P29" s="8" t="n"/>
      <c r="Q29" s="8" t="n"/>
      <c r="R29" s="8" t="n"/>
    </row>
    <row r="30" hidden="1" ht="69.75" customHeight="1" s="23">
      <c r="A30" s="25" t="inlineStr">
        <is>
          <t>SCR-HOM-04-SC2-TC1</t>
        </is>
      </c>
      <c r="B30" s="25" t="inlineStr">
        <is>
          <t>SCR-HOM-04-SC2</t>
        </is>
      </c>
      <c r="C30" s="25" t="inlineStr">
        <is>
          <t>SCR-HOM-04</t>
        </is>
      </c>
      <c r="D30" s="25" t="inlineStr">
        <is>
          <t>HP-08</t>
        </is>
      </c>
      <c r="E30" s="25" t="inlineStr">
        <is>
          <t>Edge</t>
        </is>
      </c>
      <c r="F30" s="25" t="inlineStr">
        <is>
          <t>Đổi store làm mất 60-Minute phải hiện thông báo fallback dịch vụ rõ ràng, không âm thầm đổi</t>
        </is>
      </c>
      <c r="G30" s="25" t="inlineStr">
        <is>
          <t>Địa chỉ hiện tại đang ở vùng 60-Minute của store cũ (Nam Sài Gòn).</t>
        </is>
      </c>
      <c r="H30" s="25" t="inlineStr">
        <is>
          <t>1. Mở store sheet, chọn store mà địa chỉ hiện tại chỉ còn nằm trong Standard radius (mất 60-Minute).
2. Quan sát thông báo xuất hiện ngay sau khi đổi.
3. Kiểm tra dịch vụ đang hiện trên header.</t>
        </is>
      </c>
      <c r="I30" s="25" t="inlineStr">
        <is>
          <t>Store mới: địa chỉ hiện tại chỉ còn ở Standard radius (không còn 60-Minute).</t>
        </is>
      </c>
      <c r="J30" s="25" t="inlineStr">
        <is>
          <t>Thông báo rõ ràng hiện ngay ('Store changed. 60-Minute is not available for this address at [store]'); header chuyển sang chỉ còn Standard - không được âm thầm rớt dịch vụ mà không báo.</t>
        </is>
      </c>
      <c r="K30" s="25" t="inlineStr">
        <is>
          <t>High</t>
        </is>
      </c>
      <c r="L30" s="9" t="n"/>
      <c r="M30" s="9" t="inlineStr">
        <is>
          <t>Not Run</t>
        </is>
      </c>
      <c r="N30" s="9" t="n"/>
      <c r="O30" s="9" t="n"/>
      <c r="P30" s="25" t="inlineStr">
        <is>
          <t>QnA-01</t>
        </is>
      </c>
      <c r="Q30" s="25" t="n"/>
      <c r="R30" s="8" t="n"/>
    </row>
    <row r="31" hidden="1" ht="69.75" customHeight="1" s="23">
      <c r="A31" s="8" t="inlineStr">
        <is>
          <t>SCR-HOM-04-SC3-TC1</t>
        </is>
      </c>
      <c r="B31" s="8" t="inlineStr">
        <is>
          <t>SCR-HOM-04-SC3</t>
        </is>
      </c>
      <c r="C31" s="8" t="inlineStr">
        <is>
          <t>SCR-HOM-04</t>
        </is>
      </c>
      <c r="D31" s="8" t="inlineStr">
        <is>
          <t>HP-08</t>
        </is>
      </c>
      <c r="E31" s="8" t="inlineStr">
        <is>
          <t>Edge</t>
        </is>
      </c>
      <c r="F31" s="8" t="inlineStr">
        <is>
          <t>Store không thể giao đến địa chỉ hiện tại vẫn chọn được, chỉ riêng Delivery bị ảnh hưởng</t>
        </is>
      </c>
      <c r="G31" s="8" t="inlineStr">
        <is>
          <t>Địa chỉ hiện tại ở TP.HCM, danh sách store có 'LOTTE Mart Long Biên' (Hà Nội, không phục vụ được địa chỉ này).</t>
        </is>
      </c>
      <c r="H31" s="8" t="inlineStr">
        <is>
          <t>1. Mở store sheet, quan sát dòng 'LOTTE Mart Long Biên' - kiểm tra có bị khoá/ẩn không.
2. Chọn 'LOTTE Mart Long Biên'.
3. Kiểm tra trạng thái Delivery và Pickup sau khi chọn.</t>
        </is>
      </c>
      <c r="I31" s="8" t="inlineStr">
        <is>
          <t>Store: LOTTE Mart Long Biên, địa chỉ hiện tại: TP.HCM.</t>
        </is>
      </c>
      <c r="J31" s="8" t="inlineStr">
        <is>
          <t>Bước 1: dòng store vẫn hiện và CHỌN ĐƯỢC (không bị khoá), chỉ có ghi chú 'Does not serve this address'. Bước 3: Delivery chuyển sang trạng thái 'not served' cho địa chỉ này, nhưng duyệt danh mục và Pickup tại store đó vẫn hoạt động bình thường.</t>
        </is>
      </c>
      <c r="K31" s="8" t="inlineStr">
        <is>
          <t>Medium</t>
        </is>
      </c>
      <c r="L31" s="9" t="n"/>
      <c r="M31" s="9" t="inlineStr">
        <is>
          <t>Not Run</t>
        </is>
      </c>
      <c r="N31" s="9" t="n"/>
      <c r="O31" s="9" t="n"/>
      <c r="P31" s="8" t="n"/>
      <c r="Q31" s="8" t="n"/>
      <c r="R31" s="8" t="n"/>
    </row>
    <row r="32" hidden="1" ht="69.75" customHeight="1" s="23">
      <c r="A32" s="8" t="inlineStr">
        <is>
          <t>SCR-HOM-05-SC1-TC1</t>
        </is>
      </c>
      <c r="B32" s="8" t="inlineStr">
        <is>
          <t>SCR-HOM-05-SC1</t>
        </is>
      </c>
      <c r="C32" s="8" t="inlineStr">
        <is>
          <t>SCR-HOM-05</t>
        </is>
      </c>
      <c r="D32" s="8" t="inlineStr">
        <is>
          <t>HP-04</t>
        </is>
      </c>
      <c r="E32" s="8" t="inlineStr">
        <is>
          <t>Boundary</t>
        </is>
      </c>
      <c r="F32" s="8" t="inlineStr">
        <is>
          <t>4 trạng thái ước tính giao hàng loại trừ nhau đúng theo từng ngưỡng khoảng cách</t>
        </is>
      </c>
      <c r="G32" s="8" t="inlineStr">
        <is>
          <t>4 địa chỉ mẫu đã chuẩn bị sẵn khớp đúng 4 khoảng: 4km, 12km, thuộc Next-day, ngoài mọi vùng.</t>
        </is>
      </c>
      <c r="H32" s="8" t="inlineStr">
        <is>
          <t>1. Lưu địa chỉ 'A' (4km) - quan sát ước tính.
2. Đổi sang địa chỉ 'B' (12km) - quan sát ước tính.
3. Đổi sang địa chỉ 'C' (thuộc khu Next-day) - quan sát ước tính.
4. Đổi sang địa chỉ 'D' (ngoài mọi vùng) - quan sát ước tính.</t>
        </is>
      </c>
      <c r="I32" s="8" t="inlineStr">
        <is>
          <t>Địa chỉ A: 4km. B: 12km. C: khu Next-day đã cấu hình. D: ngoài mọi vùng.</t>
        </is>
      </c>
      <c r="J32" s="8" t="inlineStr">
        <is>
          <t>A: hiện 60-Minute + Standard (Standard là mặc định). B: chỉ Standard, không có affordance 60-Minute. C: chỉ hiện ngày giao (không khung giờ). D: không ngày/giờ, chỉ thông báo 'không được phục vụ' + CTA đổi địa chỉ. 4 trạng thái không chồng lấn.</t>
        </is>
      </c>
      <c r="K32" s="8" t="inlineStr">
        <is>
          <t>High</t>
        </is>
      </c>
      <c r="L32" s="9" t="n"/>
      <c r="M32" s="9" t="inlineStr">
        <is>
          <t>Not Run</t>
        </is>
      </c>
      <c r="N32" s="9" t="n"/>
      <c r="O32" s="9" t="n"/>
      <c r="P32" s="8" t="n"/>
      <c r="Q32" s="8" t="n"/>
      <c r="R32" s="8" t="n"/>
    </row>
    <row r="33" hidden="1" ht="69.75" customHeight="1" s="23">
      <c r="A33" s="8" t="inlineStr">
        <is>
          <t>SCR-HOM-06-SC1-TC1</t>
        </is>
      </c>
      <c r="B33" s="8" t="inlineStr">
        <is>
          <t>SCR-HOM-06-SC1</t>
        </is>
      </c>
      <c r="C33" s="8" t="inlineStr">
        <is>
          <t>SCR-HOM-06</t>
        </is>
      </c>
      <c r="D33" s="8" t="inlineStr">
        <is>
          <t>HP-01, BR-06</t>
        </is>
      </c>
      <c r="E33" s="8" t="inlineStr">
        <is>
          <t>Functional</t>
        </is>
      </c>
      <c r="F33" s="8" t="inlineStr">
        <is>
          <t>Đăng nhập thành công đổi thứ tự ưu tiên giá hiển thị từ Guest sang Member</t>
        </is>
      </c>
      <c r="G33" s="8" t="inlineStr">
        <is>
          <t>Trước khi đăng nhập: đang xem 1 SKU có cả giá Guest và Member ở trạng thái Guest.</t>
        </is>
      </c>
      <c r="H33" s="8" t="inlineStr">
        <is>
          <t>1. Ghi nhận thứ tự hiển thị giá (Guest trước, Member sau) khi còn là Guest.
2. Đăng nhập thành công bằng tài khoản Member có tier/điểm/coupon.
3. Quan sát lại thẻ SKU đó và strip thông tin Member trên header.</t>
        </is>
      </c>
      <c r="I33" s="8" t="inlineStr">
        <is>
          <t>Tài khoản Member: có tier Bạc, 500 điểm, 2 coupon khả dụng.</t>
        </is>
      </c>
      <c r="J33" s="8" t="inlineStr">
        <is>
          <t>Sau đăng nhập: strip Member (tên, tier, điểm, coupon) xuất hiện trên Homepage; giá Member trở thành giá CHÍNH (nổi bật hơn), giá Guest bị làm mờ/thu nhỏ - đảo ngược thứ tự so với bước 1.</t>
        </is>
      </c>
      <c r="K33" s="8" t="inlineStr">
        <is>
          <t>Medium</t>
        </is>
      </c>
      <c r="L33" s="9" t="n"/>
      <c r="M33" s="9" t="inlineStr">
        <is>
          <t>Not Run</t>
        </is>
      </c>
      <c r="N33" s="9" t="n"/>
      <c r="O33" s="9" t="n"/>
      <c r="P33" s="8" t="n"/>
      <c r="Q33" s="8" t="n"/>
      <c r="R33" s="8" t="n"/>
    </row>
    <row r="34" hidden="1" ht="69.75" customHeight="1" s="23">
      <c r="A34" s="25" t="inlineStr">
        <is>
          <t>SCR-HOM-06-SC2-TC1</t>
        </is>
      </c>
      <c r="B34" s="25" t="inlineStr">
        <is>
          <t>SCR-HOM-06-SC2</t>
        </is>
      </c>
      <c r="C34" s="25" t="inlineStr">
        <is>
          <t>SCR-HOM-06</t>
        </is>
      </c>
      <c r="D34" s="25" t="inlineStr">
        <is>
          <t>HP-10, NFR-03</t>
        </is>
      </c>
      <c r="E34" s="25" t="inlineStr">
        <is>
          <t>Functional</t>
        </is>
      </c>
      <c r="F34" s="25" t="inlineStr">
        <is>
          <t>Đăng xuất giữ nguyên store, xoá địa chỉ, Cart icon vẫn hiển thị</t>
        </is>
      </c>
      <c r="G34" s="25" t="inlineStr">
        <is>
          <t>Đang đăng nhập, store = Nam Sài Gòn, địa chỉ đã lưu = '123 Nguyễn Thị Thập, Q.7'.</t>
        </is>
      </c>
      <c r="H34" s="25" t="inlineStr">
        <is>
          <t>1. Vào Account, bấm Logout.
2. Xác nhận trong dialog cảnh báo logout.
3. Quan sát header Homepage sau khi logout.</t>
        </is>
      </c>
      <c r="I34" s="25" t="inlineStr">
        <is>
          <t>Trước logout: store Nam Sài Gòn, địa chỉ đã chọn.</t>
        </is>
      </c>
      <c r="J34" s="25" t="inlineStr">
        <is>
          <t>Dialog xác nhận nêu rõ điều gì được giữ (store) và điều gì bị xoá (địa chỉ) TRƯỚC khi khách xác nhận. Sau khi xác nhận: quay về SCR-HOM-01 State A - store VẪN LÀ 'Nam Sài Gòn' (giữ nguyên), địa chỉ bị XOÁ (hiện lại 'Choose delivery address'), Cart icon vẫn hiển thị bình thường.</t>
        </is>
      </c>
      <c r="K34" s="25" t="inlineStr">
        <is>
          <t>High</t>
        </is>
      </c>
      <c r="L34" s="9" t="n"/>
      <c r="M34" s="9" t="inlineStr">
        <is>
          <t>Not Run</t>
        </is>
      </c>
      <c r="N34" s="9" t="n"/>
      <c r="O34" s="9" t="n"/>
      <c r="P34" s="25" t="inlineStr">
        <is>
          <t>QnA-26</t>
        </is>
      </c>
      <c r="Q34" s="25" t="inlineStr">
        <is>
          <t>Địa chỉ nào active khi đăng nhập lại vẫn là OQ-26/QnA-26.</t>
        </is>
      </c>
      <c r="R34" s="8" t="n"/>
    </row>
    <row r="35" hidden="1" ht="69.75" customHeight="1" s="23">
      <c r="A35" s="8" t="inlineStr">
        <is>
          <t>SCR-AUT-01-SC1-TC1</t>
        </is>
      </c>
      <c r="B35" s="8" t="inlineStr">
        <is>
          <t>SCR-AUT-01-SC1</t>
        </is>
      </c>
      <c r="C35" s="8" t="inlineStr">
        <is>
          <t>SCR-AUT-01</t>
        </is>
      </c>
      <c r="D35" s="8" t="inlineStr">
        <is>
          <t>HP-06</t>
        </is>
      </c>
      <c r="E35" s="8" t="inlineStr">
        <is>
          <t>Functional</t>
        </is>
      </c>
      <c r="F35" s="8" t="inlineStr">
        <is>
          <t>Add to Cart bị chặn bởi login gate, đăng nhập xong sản phẩm được tự động thêm</t>
        </is>
      </c>
      <c r="G35" s="8" t="inlineStr">
        <is>
          <t>Guest chưa đăng nhập, đang xem SKU-A có thể thêm vào giỏ.</t>
        </is>
      </c>
      <c r="H35" s="8" t="inlineStr">
        <is>
          <t>1. Bấm 'Add to Cart' trên SKU-A.
2. Quan sát bottom sheet đăng nhập/đăng ký mở ra (không phải full-screen).
3. Chọn 'Sign in', hoàn tất đăng nhập thành công (SĐT+PIN hợp lệ).
4. Kiểm tra giỏ hàng và toast thông báo.</t>
        </is>
      </c>
      <c r="I35" s="8" t="inlineStr">
        <is>
          <t>SKU-A: còn hàng. Tài khoản Member test có sẵn.</t>
        </is>
      </c>
      <c r="J35" s="8" t="inlineStr">
        <is>
          <t>Bước 2: sheet mở đúng ngay khi bấm Add to Cart (chặn trước khi thêm); tiêu đề sheet nêu rõ đang gate cho hành động 'thêm vào giỏ'. Bước 4: SKU-A ĐÃ được tự động thêm vào giỏ (không cần bấm Add to Cart lại), có toast xác nhận; nếu Guest đã có địa chỉ cục bộ, địa chỉ đó đã được đồng bộ lên tài khoản.</t>
        </is>
      </c>
      <c r="K35" s="8" t="inlineStr">
        <is>
          <t>High</t>
        </is>
      </c>
      <c r="L35" s="9" t="n"/>
      <c r="M35" s="9" t="inlineStr">
        <is>
          <t>Not Run</t>
        </is>
      </c>
      <c r="N35" s="9" t="n"/>
      <c r="O35" s="9" t="n"/>
      <c r="P35" s="8" t="n"/>
      <c r="Q35" s="8" t="n"/>
      <c r="R35" s="8" t="n"/>
    </row>
    <row r="36" hidden="1" ht="69.75" customHeight="1" s="23">
      <c r="A36" s="8" t="inlineStr">
        <is>
          <t>SCR-AUT-01-SC2-TC1</t>
        </is>
      </c>
      <c r="B36" s="8" t="inlineStr">
        <is>
          <t>SCR-AUT-01-SC2</t>
        </is>
      </c>
      <c r="C36" s="8" t="inlineStr">
        <is>
          <t>SCR-AUT-01</t>
        </is>
      </c>
      <c r="D36" s="8" t="inlineStr">
        <is>
          <t>HP-07, CT-01</t>
        </is>
      </c>
      <c r="E36" s="8" t="inlineStr">
        <is>
          <t>Functional</t>
        </is>
      </c>
      <c r="F36" s="8" t="inlineStr">
        <is>
          <t>Bấm icon Cart bị chặn bởi login gate, đăng nhập xong Cart mở trực tiếp</t>
        </is>
      </c>
      <c r="G36" s="8" t="inlineStr">
        <is>
          <t>Guest chưa đăng nhập, đã chọn địa chỉ/dịch vụ/khung giờ trên Homepage.</t>
        </is>
      </c>
      <c r="H36" s="8" t="inlineStr">
        <is>
          <t>1. Bấm icon Cart ở tab bar.
2. Quan sát bottom sheet đăng nhập/đăng ký với nội dung riêng cho ngữ cảnh mở Cart.
3. Đăng nhập thành công.
4. Quan sát màn hình kế tiếp và các giá trị địa chỉ/dịch vụ/khung giờ trong Cart.</t>
        </is>
      </c>
      <c r="I36" s="8" t="inlineStr">
        <is>
          <t>Địa chỉ/dịch vụ/khung giờ đã chọn trên Homepage trước khi bấm icon Cart.</t>
        </is>
      </c>
      <c r="J36" s="8" t="inlineStr">
        <is>
          <t>Bước 2: icon Cart luôn hiển thị và tap được (không bị ẩn/disable - BRL-06), mở đúng gate với copy riêng cho 'mở Cart' (khác copy của Add to Cart). Bước 4: Cart MỞ TRỰC TIẾP (không phải thêm sản phẩm); địa chỉ/dịch vụ/khung giờ từ Homepage được mang nguyên vào Cart.</t>
        </is>
      </c>
      <c r="K36" s="8" t="inlineStr">
        <is>
          <t>High</t>
        </is>
      </c>
      <c r="L36" s="9" t="n"/>
      <c r="M36" s="9" t="inlineStr">
        <is>
          <t>Not Run</t>
        </is>
      </c>
      <c r="N36" s="9" t="n"/>
      <c r="O36" s="9" t="n"/>
      <c r="P36" s="8" t="n"/>
      <c r="Q36" s="8" t="n"/>
      <c r="R36" s="8" t="n"/>
    </row>
    <row r="37" hidden="1" ht="69.75" customHeight="1" s="23">
      <c r="A37" s="8" t="inlineStr">
        <is>
          <t>SCR-AUT-01-SC3-TC1</t>
        </is>
      </c>
      <c r="B37" s="8" t="inlineStr">
        <is>
          <t>SCR-AUT-01-SC3</t>
        </is>
      </c>
      <c r="C37" s="8" t="inlineStr">
        <is>
          <t>SCR-AUT-01</t>
        </is>
      </c>
      <c r="D37" s="8" t="inlineStr">
        <is>
          <t>HP-06, HP-07</t>
        </is>
      </c>
      <c r="E37" s="8" t="inlineStr">
        <is>
          <t>Negative</t>
        </is>
      </c>
      <c r="F37" s="8" t="inlineStr">
        <is>
          <t>Huỷ (Cancel) sheet đăng nhập từ cả 2 lối vào không làm mất ngữ cảnh đang duyệt</t>
        </is>
      </c>
      <c r="G37" s="8" t="inlineStr">
        <is>
          <t>Guest chưa đăng nhập.</t>
        </is>
      </c>
      <c r="H37" s="8" t="inlineStr">
        <is>
          <t>1. Bấm Add to Cart trên SKU-B, khi sheet đăng nhập mở, bấm Cancel/vuốt đóng sheet.
2. Kiểm tra giỏ hàng và màn hình hiện tại.
3. Bấm icon Cart, khi sheet đăng nhập mở, bấm Cancel.
4. Kiểm tra Cart và màn hình hiện tại.</t>
        </is>
      </c>
      <c r="I37" s="8" t="inlineStr">
        <is>
          <t>SKU-B: còn hàng, chưa có trong giỏ.</t>
        </is>
      </c>
      <c r="J37" s="8" t="inlineStr">
        <is>
          <t>Bước 2: quay về đúng trang sản phẩm/Homepage như trước đó, SKU-B KHÔNG được thêm vào giỏ. Bước 4: quay về Homepage, Cart KHÔNG được mở. Cả 2 trường hợp đều không mất dữ liệu/ngữ cảnh đang duyệt (BRL-08).</t>
        </is>
      </c>
      <c r="K37" s="8" t="inlineStr">
        <is>
          <t>High</t>
        </is>
      </c>
      <c r="L37" s="9" t="n"/>
      <c r="M37" s="9" t="inlineStr">
        <is>
          <t>Not Run</t>
        </is>
      </c>
      <c r="N37" s="9" t="n"/>
      <c r="O37" s="9" t="n"/>
      <c r="P37" s="8" t="n"/>
      <c r="Q37" s="8" t="n"/>
      <c r="R37" s="8" t="n"/>
    </row>
    <row r="38" hidden="1" ht="69.75" customHeight="1" s="23">
      <c r="A38" s="8" t="inlineStr">
        <is>
          <t>SCR-AUT-02-SC1-TC1</t>
        </is>
      </c>
      <c r="B38" s="8" t="inlineStr">
        <is>
          <t>SCR-AUT-02-SC1</t>
        </is>
      </c>
      <c r="C38" s="8" t="inlineStr">
        <is>
          <t>SCR-AUT-02</t>
        </is>
      </c>
      <c r="D38" s="8" t="inlineStr">
        <is>
          <t>SU-01, SU-02, SU-03</t>
        </is>
      </c>
      <c r="E38" s="8" t="inlineStr">
        <is>
          <t>Functional</t>
        </is>
      </c>
      <c r="F38" s="8" t="inlineStr">
        <is>
          <t>Đăng ký bằng SĐT hợp lệ, kênh Zalo mặc định, OTP đúng dẫn đến màn tạo PIN</t>
        </is>
      </c>
      <c r="G38" s="8" t="inlineStr">
        <is>
          <t>Đang ở màn 'Chọn Đăng ký' từ login gate.</t>
        </is>
      </c>
      <c r="H38" s="8" t="inlineStr">
        <is>
          <t>1. Nhập SĐT đúng định dạng di động VN (ví dụ 09xxxxxxxx).
2. Quan sát kênh OTP mặc định là Zalo, có nhãn 'Recommended'.
3. Bấm gửi OTP.
4. Nhập đúng mã OTP nhận được.
5. Quan sát màn kế tiếp.</t>
        </is>
      </c>
      <c r="I38" s="8" t="inlineStr">
        <is>
          <t>SĐT test: 0912345678 (chưa đăng ký). OTP hợp lệ từ môi trường test.</t>
        </is>
      </c>
      <c r="J38" s="8" t="inlineStr">
        <is>
          <t>Zalo là kênh mặc định và đã được chọn sẵn; sau OTP đúng, chuyển sang SCR-AUT-03 (Tạo PIN) mà không lỗi.</t>
        </is>
      </c>
      <c r="K38" s="8" t="inlineStr">
        <is>
          <t>High</t>
        </is>
      </c>
      <c r="L38" s="9" t="n"/>
      <c r="M38" s="9" t="inlineStr">
        <is>
          <t>Not Run</t>
        </is>
      </c>
      <c r="N38" s="9" t="n"/>
      <c r="O38" s="9" t="n"/>
      <c r="P38" s="8" t="n"/>
      <c r="Q38" s="8" t="n"/>
      <c r="R38" s="10" t="inlineStr">
        <is>
          <t>[Review trước đó — ĐÃ ĐƯỢC XỬ LÝ] Gap 'thiếu test OTP sai 1 lần' đã được bổ sung bằng test case mới SCR-AUT-02-SC1-TC4 (thêm theo Review 25/08/2026). Không cần sửa gì thêm ở TC1 này.</t>
        </is>
      </c>
    </row>
    <row r="39" hidden="1" ht="69.75" customHeight="1" s="23">
      <c r="A39" s="8" t="inlineStr">
        <is>
          <t>SCR-AUT-02-SC1-TC2</t>
        </is>
      </c>
      <c r="B39" s="8" t="inlineStr">
        <is>
          <t>SCR-AUT-02-SC1</t>
        </is>
      </c>
      <c r="C39" s="8" t="inlineStr">
        <is>
          <t>SCR-AUT-02</t>
        </is>
      </c>
      <c r="D39" s="8" t="inlineStr">
        <is>
          <t>SU-03</t>
        </is>
      </c>
      <c r="E39" s="8" t="inlineStr">
        <is>
          <t>Boundary</t>
        </is>
      </c>
      <c r="F39" s="8" t="inlineStr">
        <is>
          <t>Nút Resend bị disable trong thời gian đếm ngược ngay sau khi gửi OTP</t>
        </is>
      </c>
      <c r="G39" s="8" t="inlineStr">
        <is>
          <t>Vừa bấm gửi OTP lần đầu.</t>
        </is>
      </c>
      <c r="H39" s="8" t="inlineStr">
        <is>
          <t>1. Bấm gửi OTP.
2. Ngay lập tức kiểm tra trạng thái nút Resend.
3. Chờ hết thời gian đếm ngược hiển thị trên màn hình.
4. Kiểm tra lại trạng thái nút Resend.</t>
        </is>
      </c>
      <c r="I39" s="8" t="inlineStr">
        <is>
          <t>N/A.</t>
        </is>
      </c>
      <c r="J39" s="8" t="inlineStr">
        <is>
          <t>Bước 2: Resend ở trạng thái disabled kèm đồng hồ đếm ngược. Bước 4: sau khi đếm ngược về 0, Resend chuyển sang enabled (BRL-15).</t>
        </is>
      </c>
      <c r="K39" s="8" t="inlineStr">
        <is>
          <t>Medium</t>
        </is>
      </c>
      <c r="L39" s="9" t="n"/>
      <c r="M39" s="9" t="inlineStr">
        <is>
          <t>Not Run</t>
        </is>
      </c>
      <c r="N39" s="9" t="n"/>
      <c r="O39" s="9" t="n"/>
      <c r="P39" s="8" t="n"/>
      <c r="Q39" s="8" t="n"/>
      <c r="R39" s="8" t="inlineStr">
        <is>
          <t>Test Data đang ghi 'N/A' nhưng bước 2/4 cần biết CHÍNH XÁC thời lượng đếm ngược Resend (bao nhiêu giây) để tester biết chờ đúng thời gian rồi mới kiểm tra nút chuyển sang enabled. Giá trị cụ thể chưa có trong SRS (chỉ nói 'countdown period' — BRL-15), nên ghi rõ trong Test Data là 'giá trị cấu hình thực tế, xin BA/Dev xác nhận trước khi thực thi' thay vì để trống N/A.</t>
        </is>
      </c>
    </row>
    <row r="40" hidden="1" ht="69.75" customHeight="1" s="23">
      <c r="A40" s="8" t="inlineStr">
        <is>
          <t>SCR-AUT-02-SC1-TC3</t>
        </is>
      </c>
      <c r="B40" s="8" t="inlineStr">
        <is>
          <t>SCR-AUT-02-SC1</t>
        </is>
      </c>
      <c r="C40" s="8" t="inlineStr">
        <is>
          <t>SCR-AUT-02</t>
        </is>
      </c>
      <c r="D40" s="8" t="inlineStr">
        <is>
          <t>SU-01, SU-02</t>
        </is>
      </c>
      <c r="E40" s="8" t="inlineStr">
        <is>
          <t>Negative</t>
        </is>
      </c>
      <c r="F40" s="8" t="inlineStr">
        <is>
          <t>Nhập số điện thoại sai định dạng ở màn Đăng ký báo lỗi rõ ràng</t>
        </is>
      </c>
      <c r="G40" s="8" t="inlineStr">
        <is>
          <t>Đang ở màn nhập số điện thoại của Đăng ký (SCR-AUT-02).</t>
        </is>
      </c>
      <c r="H40" s="8" t="inlineStr">
        <is>
          <t>1. Nhập số điện thoại sai định dạng, lần lượt: '0912' (thiếu số), '091234abcd' (có chữ xen vào), '912345678' (thiếu số 0 đầu).
2. Với mỗi giá trị, bấm Tiếp tục / gửi OTP.
3. Quan sát thông báo lỗi và ô nhập.</t>
        </is>
      </c>
      <c r="I40" s="8" t="inlineStr">
        <is>
          <t>SĐT sai định dạng: '0912', '091234abcd', '912345678'.</t>
        </is>
      </c>
      <c r="J40" s="8" t="inlineStr">
        <is>
          <t>Bước 2: hệ thống KHÔNG cho gửi OTP (chặn ngay tại bước nhập, không gọi tới bước gửi OTP). Bước 3: hiển thị thông báo lỗi định dạng số điện thoại rõ ràng ngay tại ô nhập; ô SĐT giữ nguyên giá trị vừa gõ để khách sửa lại.</t>
        </is>
      </c>
      <c r="K40" s="8" t="inlineStr">
        <is>
          <t>Medium</t>
        </is>
      </c>
      <c r="L40" s="9" t="n"/>
      <c r="M40" s="9" t="inlineStr">
        <is>
          <t>Not Run</t>
        </is>
      </c>
      <c r="N40" s="9" t="n"/>
      <c r="O40" s="9" t="n"/>
      <c r="P40" s="8" t="n"/>
      <c r="Q40" s="8" t="inlineStr">
        <is>
          <t>Bổ sung theo Review 25/08/2026 - trước đó chỉ test SĐT đã đăng ký/chưa đăng ký, chưa test gõ sai kiểu số ngay từ đầu.</t>
        </is>
      </c>
      <c r="R40" s="8" t="n"/>
    </row>
    <row r="41" hidden="1" ht="69.75" customHeight="1" s="23">
      <c r="A41" s="25" t="inlineStr">
        <is>
          <t>SCR-AUT-02-SC1-TC4</t>
        </is>
      </c>
      <c r="B41" s="25" t="inlineStr">
        <is>
          <t>SCR-AUT-02-SC1</t>
        </is>
      </c>
      <c r="C41" s="25" t="inlineStr">
        <is>
          <t>SCR-AUT-02</t>
        </is>
      </c>
      <c r="D41" s="25" t="inlineStr">
        <is>
          <t>SU-03</t>
        </is>
      </c>
      <c r="E41" s="25" t="inlineStr">
        <is>
          <t>Negative</t>
        </is>
      </c>
      <c r="F41" s="25" t="inlineStr">
        <is>
          <t>Nhập sai OTP đúng 1 lần (chưa bị khoá) hiển thị lỗi dễ hiểu và cho nhập lại ngay</t>
        </is>
      </c>
      <c r="G41" s="25" t="inlineStr">
        <is>
          <t>Đã bấm gửi OTP thành công ở màn Đăng ký, chưa từng nhập sai lần nào trước đó.</t>
        </is>
      </c>
      <c r="H41" s="25" t="inlineStr">
        <is>
          <t>1. Nhận OTP hợp lệ nhưng nhập SAI 1 lần (ví dụ đổi 1 chữ số cuối).
2. Quan sát thông báo lỗi.
3. Nhập lại đúng OTP ngay sau đó.</t>
        </is>
      </c>
      <c r="I41" s="25" t="inlineStr">
        <is>
          <t>OTP đúng: mã hợp lệ từ môi trường test. OTP sai dùng để test: đổi 1 chữ số cuối của mã đúng.</t>
        </is>
      </c>
      <c r="J41" s="25" t="inlineStr">
        <is>
          <t>Bước 2: hiển thị lỗi 'Mã OTP không đúng, vui lòng thử lại' (không phải lỗi bị khoá tài khoản), ô nhập vẫn cho gõ lại ngay, không cần gửi lại mã mới. Bước 3: nhập đúng OTP thành công, chuyển sang màn tiếp theo bình thường - CHƯA bị khoá vì mới sai 1 lần (ngưỡng khoá chính thức chờ xác nhận ở QnA-03).</t>
        </is>
      </c>
      <c r="K41" s="25" t="inlineStr">
        <is>
          <t>Medium</t>
        </is>
      </c>
      <c r="L41" s="9" t="n"/>
      <c r="M41" s="9" t="inlineStr">
        <is>
          <t>Not Run</t>
        </is>
      </c>
      <c r="N41" s="9" t="n"/>
      <c r="O41" s="9" t="n"/>
      <c r="P41" s="25" t="inlineStr">
        <is>
          <t>QnA-03</t>
        </is>
      </c>
      <c r="Q41" s="25" t="inlineStr">
        <is>
          <t>Bổ sung theo Review 25/08/2026 - trước đó chỉ có test OTP đúng và test sai quá nhiều lần (bị khoá), thiếu bước cơ bản nhất là sai đúng 1 lần.</t>
        </is>
      </c>
      <c r="R41" s="8" t="n"/>
    </row>
    <row r="42" hidden="1" ht="69.75" customHeight="1" s="23">
      <c r="A42" s="25" t="inlineStr">
        <is>
          <t>SCR-AUT-02-SC2-TC1</t>
        </is>
      </c>
      <c r="B42" s="25" t="inlineStr">
        <is>
          <t>SCR-AUT-02-SC2</t>
        </is>
      </c>
      <c r="C42" s="25" t="inlineStr">
        <is>
          <t>SCR-AUT-02</t>
        </is>
      </c>
      <c r="D42" s="25" t="inlineStr">
        <is>
          <t>SU-03</t>
        </is>
      </c>
      <c r="E42" s="25" t="inlineStr">
        <is>
          <t>Negative</t>
        </is>
      </c>
      <c r="F42" s="25" t="inlineStr">
        <is>
          <t>Không tự động fallback sang SMS khi Zalo thất bại - phải đổi kênh thủ công</t>
        </is>
      </c>
      <c r="G42" s="25" t="inlineStr">
        <is>
          <t>Đã gửi OTP qua Zalo, kênh Zalo được giả lập thất bại giao (không nhận được tin).</t>
        </is>
      </c>
      <c r="H42" s="25" t="inlineStr">
        <is>
          <t>1. Gửi OTP qua Zalo (giả lập không nhận được).
2. Chờ hết đếm ngược Resend.
3. Kiểm tra hệ thống CÓ tự động chuyển sang SMS hay không (kỳ vọng: không).
4. Chủ động bấm 'đổi kênh' chọn SMS.
5. Kiểm tra OTP mới được gửi qua SMS.</t>
        </is>
      </c>
      <c r="I42" s="25" t="inlineStr">
        <is>
          <t>SĐT test, kênh Zalo giả lập lỗi.</t>
        </is>
      </c>
      <c r="J42" s="25" t="inlineStr">
        <is>
          <t>Bước 3: hệ thống KHÔNG tự động gửi lại qua SMS. Bước 5: chỉ sau khi khách chủ động đổi kênh, OTP mới được gửi qua SMS.</t>
        </is>
      </c>
      <c r="K42" s="25" t="inlineStr">
        <is>
          <t>High</t>
        </is>
      </c>
      <c r="L42" s="9" t="n"/>
      <c r="M42" s="9" t="inlineStr">
        <is>
          <t>Not Run</t>
        </is>
      </c>
      <c r="N42" s="9" t="n"/>
      <c r="O42" s="9" t="n"/>
      <c r="P42" s="25" t="inlineStr">
        <is>
          <t>QnA-08</t>
        </is>
      </c>
      <c r="Q42" s="25" t="inlineStr">
        <is>
          <t>Cần Dev xác nhận kỹ thuật thật sự không có auto-fallback (OQ-08/QnA-08) - test này dùng để xác minh hành vi trước khi đóng OQ-08.</t>
        </is>
      </c>
      <c r="R42" s="8" t="n"/>
    </row>
    <row r="43" hidden="1" ht="69.75" customHeight="1" s="23">
      <c r="A43" s="8" t="inlineStr">
        <is>
          <t>SCR-AUT-02-SC3-TC1</t>
        </is>
      </c>
      <c r="B43" s="8" t="inlineStr">
        <is>
          <t>SCR-AUT-02-SC3</t>
        </is>
      </c>
      <c r="C43" s="8" t="inlineStr">
        <is>
          <t>SCR-AUT-02</t>
        </is>
      </c>
      <c r="D43" s="8" t="inlineStr">
        <is>
          <t>SU-09</t>
        </is>
      </c>
      <c r="E43" s="8" t="inlineStr">
        <is>
          <t>Negative</t>
        </is>
      </c>
      <c r="F43" s="8" t="inlineStr">
        <is>
          <t>Đăng ký với SĐT đã tồn tại báo lỗi và CTA chuyển sang Sign in</t>
        </is>
      </c>
      <c r="G43" s="8" t="inlineStr">
        <is>
          <t>Có sẵn 1 tài khoản Member với SĐT 0987654321.</t>
        </is>
      </c>
      <c r="H43" s="8" t="inlineStr">
        <is>
          <t>1. Ở màn nhập SĐT của Signup, nhập '0987654321'.
2. Bấm Tiếp tục / gửi OTP.
3. Quan sát thông báo lỗi và ô nhập SĐT.
4. Quan sát CTA chính.</t>
        </is>
      </c>
      <c r="I43" s="8" t="inlineStr">
        <is>
          <t>SĐT đã đăng ký: 0987654321.</t>
        </is>
      </c>
      <c r="J43" s="8" t="inlineStr">
        <is>
          <t>Báo lỗi 'số điện thoại đã được đăng ký'; ô SĐT VẪN giữ nguyên giá trị vừa nhập; CTA chính đổi thành 'Đăng nhập' với SĐT đã điền sẵn.</t>
        </is>
      </c>
      <c r="K43" s="8" t="inlineStr">
        <is>
          <t>High</t>
        </is>
      </c>
      <c r="L43" s="9" t="n"/>
      <c r="M43" s="9" t="inlineStr">
        <is>
          <t>Not Run</t>
        </is>
      </c>
      <c r="N43" s="9" t="n"/>
      <c r="O43" s="9" t="n"/>
      <c r="P43" s="8" t="n"/>
      <c r="Q43" s="8" t="n"/>
      <c r="R43" s="10" t="inlineStr">
        <is>
          <t>[Review trước đó — ĐÃ ĐƯỢC XỬ LÝ] Gap 'thiếu test SĐT sai định dạng' đã được bổ sung bằng test case mới SCR-AUT-02-SC1-TC3. Không cần sửa gì thêm ở TC1 này.</t>
        </is>
      </c>
    </row>
    <row r="44" hidden="1" ht="69.75" customHeight="1" s="23">
      <c r="A44" s="8" t="inlineStr">
        <is>
          <t>SCR-AUT-03-SC1-TC1</t>
        </is>
      </c>
      <c r="B44" s="8" t="inlineStr">
        <is>
          <t>SCR-AUT-03-SC1</t>
        </is>
      </c>
      <c r="C44" s="8" t="inlineStr">
        <is>
          <t>SCR-AUT-03</t>
        </is>
      </c>
      <c r="D44" s="8" t="inlineStr">
        <is>
          <t>SU-04</t>
        </is>
      </c>
      <c r="E44" s="8" t="inlineStr">
        <is>
          <t>Functional</t>
        </is>
      </c>
      <c r="F44" s="8" t="inlineStr">
        <is>
          <t>Tạo PIN 6 số và xác nhận khớp chuyển sang màn Hồ sơ</t>
        </is>
      </c>
      <c r="G44" s="8" t="inlineStr">
        <is>
          <t>Vừa xác thực OTP thành công.</t>
        </is>
      </c>
      <c r="H44" s="8" t="inlineStr">
        <is>
          <t>1. Nhập PIN '123456' bằng bàn phím số của app.
2. Nhập lại '123456' ở ô xác nhận.
3. Quan sát màn kế tiếp.</t>
        </is>
      </c>
      <c r="I44" s="8" t="inlineStr">
        <is>
          <t>PIN test: 123456.</t>
        </is>
      </c>
      <c r="J44" s="8" t="inlineStr">
        <is>
          <t>Sau khi 2 lần nhập khớp, chuyển sang SCR-AUT-04 (Hồ sơ). Bàn phím là bàn phím riêng của app, không phải bàn phím hệ thống (tránh predictive text/clipboard).</t>
        </is>
      </c>
      <c r="K44" s="8" t="inlineStr">
        <is>
          <t>High</t>
        </is>
      </c>
      <c r="L44" s="9" t="n"/>
      <c r="M44" s="9" t="inlineStr">
        <is>
          <t>Not Run</t>
        </is>
      </c>
      <c r="N44" s="9" t="n"/>
      <c r="O44" s="9" t="n"/>
      <c r="P44" s="8" t="n"/>
      <c r="Q44" s="8" t="n"/>
      <c r="R44" s="8" t="n"/>
    </row>
    <row r="45" hidden="1" ht="69.75" customHeight="1" s="23">
      <c r="A45" s="25" t="inlineStr">
        <is>
          <t>SCR-AUT-03-SC2-TC1</t>
        </is>
      </c>
      <c r="B45" s="25" t="inlineStr">
        <is>
          <t>SCR-AUT-03-SC2</t>
        </is>
      </c>
      <c r="C45" s="25" t="inlineStr">
        <is>
          <t>SCR-AUT-03</t>
        </is>
      </c>
      <c r="D45" s="25" t="inlineStr">
        <is>
          <t>SU-04</t>
        </is>
      </c>
      <c r="E45" s="25" t="inlineStr">
        <is>
          <t>Negative</t>
        </is>
      </c>
      <c r="F45" s="25" t="inlineStr">
        <is>
          <t>PIN xác nhận không khớp chỉ xoá ô xác nhận, giữ nguyên ô đầu</t>
        </is>
      </c>
      <c r="G45" s="25" t="inlineStr">
        <is>
          <t>Đã nhập PIN lần đầu là '123456'.</t>
        </is>
      </c>
      <c r="H45" s="25" t="inlineStr">
        <is>
          <t>1. Ở bước xác nhận, nhập '654321' (khác PIN lần đầu).
2. Quan sát thông báo và trạng thái 2 ô nhập.
3. Nhập lại đúng '123456' ở xác nhận.</t>
        </is>
      </c>
      <c r="I45" s="25" t="inlineStr">
        <is>
          <t>PIN lần 1: 123456. PIN xác nhận sai: 654321.</t>
        </is>
      </c>
      <c r="J45" s="25" t="inlineStr">
        <is>
          <t>Bước 2: báo 'không khớp', CHỈ ô xác nhận bị xoá/reset, ô PIN lần đầu vẫn giữ nguyên '123456' (không bắt khách nhập lại từ đầu). Bước 3: nhập đúng thì tiếp tục được sang Hồ sơ.</t>
        </is>
      </c>
      <c r="K45" s="25" t="inlineStr">
        <is>
          <t>Medium</t>
        </is>
      </c>
      <c r="L45" s="9" t="n"/>
      <c r="M45" s="9" t="inlineStr">
        <is>
          <t>Not Run</t>
        </is>
      </c>
      <c r="N45" s="9" t="n"/>
      <c r="O45" s="9" t="n"/>
      <c r="P45" s="25" t="inlineStr">
        <is>
          <t>QnA-03</t>
        </is>
      </c>
      <c r="Q45" s="25" t="inlineStr">
        <is>
          <t>Giới hạn số lần thử sai liên tiếp trước khi khoá/restart vẫn chờ Security/Dev (OQ-03/QnA-03).</t>
        </is>
      </c>
      <c r="R45" s="8" t="n"/>
    </row>
    <row r="46" hidden="1" ht="69.75" customHeight="1" s="23">
      <c r="A46" s="8" t="inlineStr">
        <is>
          <t>SCR-AUT-04-SC1-TC1</t>
        </is>
      </c>
      <c r="B46" s="8" t="inlineStr">
        <is>
          <t>SCR-AUT-04-SC1</t>
        </is>
      </c>
      <c r="C46" s="8" t="inlineStr">
        <is>
          <t>SCR-AUT-04</t>
        </is>
      </c>
      <c r="D46" s="8" t="inlineStr">
        <is>
          <t>SU-05</t>
        </is>
      </c>
      <c r="E46" s="8" t="inlineStr">
        <is>
          <t>Validation</t>
        </is>
      </c>
      <c r="F46" s="8" t="inlineStr">
        <is>
          <t>Không tick Điều khoản &amp; Chính sách thì không tạo được tài khoản</t>
        </is>
      </c>
      <c r="G46" s="8" t="inlineStr">
        <is>
          <t>Đã điền đầy đủ Tên/Giới tính/Ngày sinh/Quốc tịch/Store đăng ký, CHƯA tick Điều khoản.</t>
        </is>
      </c>
      <c r="H46" s="8" t="inlineStr">
        <is>
          <t>1. Điền đủ các trường bắt buộc còn lại.
2. KHÔNG tick checkbox 'Điều khoản sử dụng &amp; Chính sách bảo mật'.
3. Bấm 'Tạo tài khoản'.
4. Tick checkbox Điều khoản.
5. Bấm lại 'Tạo tài khoản'.</t>
        </is>
      </c>
      <c r="I46" s="8" t="inlineStr">
        <is>
          <t>Hồ sơ mẫu: Nguyễn Văn A, Nữ, 01/01/1995, Việt Nam, LOTTE Mart Nam Sài Gòn.</t>
        </is>
      </c>
      <c r="J46" s="8" t="inlineStr">
        <is>
          <t>Bước 3: bị chặn (nút disabled hoặc hiện lỗi yêu cầu tick Điều khoản), tài khoản CHƯA được tạo. Bước 5: sau khi tick, tạo tài khoản thành công.</t>
        </is>
      </c>
      <c r="K46" s="8" t="inlineStr">
        <is>
          <t>High</t>
        </is>
      </c>
      <c r="L46" s="9" t="n"/>
      <c r="M46" s="9" t="inlineStr">
        <is>
          <t>Not Run</t>
        </is>
      </c>
      <c r="N46" s="9" t="n"/>
      <c r="O46" s="9" t="n"/>
      <c r="P46" s="8" t="n"/>
      <c r="Q46" s="8" t="n"/>
      <c r="R46" s="8" t="n"/>
    </row>
    <row r="47" hidden="1" ht="69.75" customHeight="1" s="23">
      <c r="A47" s="25" t="inlineStr">
        <is>
          <t>SCR-AUT-04-SC2-TC1</t>
        </is>
      </c>
      <c r="B47" s="25" t="inlineStr">
        <is>
          <t>SCR-AUT-04-SC2</t>
        </is>
      </c>
      <c r="C47" s="25" t="inlineStr">
        <is>
          <t>SCR-AUT-04</t>
        </is>
      </c>
      <c r="D47" s="25" t="inlineStr">
        <is>
          <t>SU-05</t>
        </is>
      </c>
      <c r="E47" s="25" t="inlineStr">
        <is>
          <t>Functional</t>
        </is>
      </c>
      <c r="F47" s="25" t="inlineStr">
        <is>
          <t>Giá trị mặc định của Giới tính và Store đăng ký đúng như đã chốt</t>
        </is>
      </c>
      <c r="G47" s="25" t="inlineStr">
        <is>
          <t>Đã chọn store 'LOTTE Mart Nam Sài Gòn' ở Onboarding.</t>
        </is>
      </c>
      <c r="H47" s="25" t="inlineStr">
        <is>
          <t>1. Vào màn Hồ sơ, KHÔNG thao tác gì với trường Giới tính và Store đăng ký.
2. Quan sát giá trị hiện có sẵn.
3. Đổi Giới tính sang 'Anh' bằng 1 lần chạm, xác nhận đổi được.</t>
        </is>
      </c>
      <c r="I47" s="25" t="inlineStr">
        <is>
          <t>Store đã chọn trước đó: LOTTE Mart Nam Sài Gòn.</t>
        </is>
      </c>
      <c r="J47" s="25" t="inlineStr">
        <is>
          <t>Giới tính mặc định = 'Chị' (QnA-02, đã chốt giữ nguyên); Store đăng ký mặc định = 'LOTTE Mart Nam Sài Gòn' nhưng vẫn sửa được; đổi Giới tính chỉ cần 1 thao tác.</t>
        </is>
      </c>
      <c r="K47" s="25" t="inlineStr">
        <is>
          <t>Medium</t>
        </is>
      </c>
      <c r="L47" s="9" t="n"/>
      <c r="M47" s="9" t="inlineStr">
        <is>
          <t>Not Run</t>
        </is>
      </c>
      <c r="N47" s="9" t="n"/>
      <c r="O47" s="9" t="n"/>
      <c r="P47" s="25" t="inlineStr">
        <is>
          <t>QnA-02</t>
        </is>
      </c>
      <c r="Q47" s="25" t="n"/>
      <c r="R47" s="8" t="n"/>
    </row>
    <row r="48" hidden="1" ht="69.75" customHeight="1" s="23">
      <c r="A48" s="8" t="inlineStr">
        <is>
          <t>SCR-AUT-04-SC3-TC1</t>
        </is>
      </c>
      <c r="B48" s="8" t="inlineStr">
        <is>
          <t>SCR-AUT-04-SC3</t>
        </is>
      </c>
      <c r="C48" s="8" t="inlineStr">
        <is>
          <t>SCR-AUT-04</t>
        </is>
      </c>
      <c r="D48" s="8" t="inlineStr">
        <is>
          <t>SU-06, SU-08</t>
        </is>
      </c>
      <c r="E48" s="8" t="inlineStr">
        <is>
          <t>Functional</t>
        </is>
      </c>
      <c r="F48" s="8" t="inlineStr">
        <is>
          <t>Tạo tài khoản tự động đăng nhập và resume đúng sản phẩm đã Add to Cart trước đó</t>
        </is>
      </c>
      <c r="G48" s="8" t="inlineStr">
        <is>
          <t>Guest bấm Add to Cart trên SKU-A, bị chặn bởi login gate, chọn Register và hoàn tất OTP+PIN.</t>
        </is>
      </c>
      <c r="H48" s="8" t="inlineStr">
        <is>
          <t>1. Từ login gate (trigger: Add to Cart trên SKU-A), hoàn tất các bước SĐT/OTP/PIN.
2. Điền Hồ sơ hợp lệ, tick Điều khoản, bấm Tạo tài khoản.
3. Kiểm tra trạng thái đăng nhập.
4. Kiểm tra giỏ hàng có SKU-A hay không.
5. Nếu trước đó Guest đã tạo 1 địa chỉ cục bộ, kiểm tra địa chỉ đã xuất hiện trong tài khoản.</t>
        </is>
      </c>
      <c r="I48" s="8" t="inlineStr">
        <is>
          <t>SKU-A: bất kỳ sản phẩm còn hàng. Địa chỉ Guest cục bộ đã tạo trước khi đăng ký (nếu có).</t>
        </is>
      </c>
      <c r="J48" s="8" t="inlineStr">
        <is>
          <t>Bước 3: đã ở trạng thái đăng nhập ngay sau Submit (không có màn đăng nhập riêng). Bước 4: SKU-A đã có sẵn trong giỏ hàng mà không cần bấm Add to Cart lại. Bước 5: địa chỉ cục bộ đã được đồng bộ lên tài khoản và đánh dấu active.</t>
        </is>
      </c>
      <c r="K48" s="8" t="inlineStr">
        <is>
          <t>High</t>
        </is>
      </c>
      <c r="L48" s="9" t="n"/>
      <c r="M48" s="9" t="inlineStr">
        <is>
          <t>Not Run</t>
        </is>
      </c>
      <c r="N48" s="9" t="n"/>
      <c r="O48" s="9" t="n"/>
      <c r="P48" s="8" t="n"/>
      <c r="Q48" s="8" t="n"/>
      <c r="R48" s="8" t="n"/>
    </row>
    <row r="49" hidden="1" ht="69.75" customHeight="1" s="23">
      <c r="A49" s="8" t="inlineStr">
        <is>
          <t>SCR-AUT-04-SC4-TC1</t>
        </is>
      </c>
      <c r="B49" s="8" t="inlineStr">
        <is>
          <t>SCR-AUT-04-SC4</t>
        </is>
      </c>
      <c r="C49" s="8" t="inlineStr">
        <is>
          <t>SCR-AUT-04</t>
        </is>
      </c>
      <c r="D49" s="8" t="inlineStr">
        <is>
          <t>SU-07</t>
        </is>
      </c>
      <c r="E49" s="8" t="inlineStr">
        <is>
          <t>Functional</t>
        </is>
      </c>
      <c r="F49" s="8" t="inlineStr">
        <is>
          <t>Từ chối lời mời sinh trắc học không ảnh hưởng đến việc resume thao tác</t>
        </is>
      </c>
      <c r="G49" s="8" t="inlineStr">
        <is>
          <t>Vừa tạo tài khoản thành công, đang ở lời mời Face ID/vân tay.</t>
        </is>
      </c>
      <c r="H49" s="8" t="inlineStr">
        <is>
          <t>1. Quan sát lời mời bật sinh trắc học xuất hiện SAU khi tài khoản đã được tạo.
2. Bấm 'Bỏ qua' / 'Không, cảm ơn'.
3. Kiểm tra thao tác resume (ví dụ thêm sản phẩm vào giỏ) vẫn diễn ra bình thường.</t>
        </is>
      </c>
      <c r="I49" s="8" t="inlineStr">
        <is>
          <t>N/A.</t>
        </is>
      </c>
      <c r="J49" s="8" t="inlineStr">
        <is>
          <t>Lời mời chỉ xuất hiện sau khi tạo tài khoản (không chặn bước tạo tài khoản). Từ chối không làm mất PIN hay chặn resume; PIN vẫn là phương thức đăng nhập chính cho lần sau.</t>
        </is>
      </c>
      <c r="K49" s="8" t="inlineStr">
        <is>
          <t>Low</t>
        </is>
      </c>
      <c r="L49" s="9" t="n"/>
      <c r="M49" s="9" t="inlineStr">
        <is>
          <t>Not Run</t>
        </is>
      </c>
      <c r="N49" s="9" t="n"/>
      <c r="O49" s="9" t="n"/>
      <c r="P49" s="8" t="n"/>
      <c r="Q49" s="8" t="n"/>
      <c r="R49" s="8" t="n"/>
    </row>
    <row r="50" hidden="1" ht="69.75" customHeight="1" s="23">
      <c r="A50" s="8" t="inlineStr">
        <is>
          <t>SCR-AUT-05-SC1-TC1</t>
        </is>
      </c>
      <c r="B50" s="8" t="inlineStr">
        <is>
          <t>SCR-AUT-05-SC1</t>
        </is>
      </c>
      <c r="C50" s="8" t="inlineStr">
        <is>
          <t>SCR-AUT-05</t>
        </is>
      </c>
      <c r="D50" s="8" t="inlineStr">
        <is>
          <t>LI-02</t>
        </is>
      </c>
      <c r="E50" s="8" t="inlineStr">
        <is>
          <t>Functional</t>
        </is>
      </c>
      <c r="F50" s="8" t="inlineStr">
        <is>
          <t>Đăng nhập bằng Face ID/vân tay khi đã bật trên thiết bị</t>
        </is>
      </c>
      <c r="G50" s="8" t="inlineStr">
        <is>
          <t>Tài khoản test đã bật Face ID/vân tay trên thiết bị đang test.</t>
        </is>
      </c>
      <c r="H50" s="8" t="inlineStr">
        <is>
          <t>1. Mở màn đăng nhập ('Existing customer - Sign in').
2. Hệ thống tự động kích hoạt prompt Face ID/vân tay.
3. Xác thực sinh trắc học thành công.
4. Quan sát kết quả.</t>
        </is>
      </c>
      <c r="I50" s="8" t="inlineStr">
        <is>
          <t>Tài khoản test đã liên kết bio ticket với thiết bị.</t>
        </is>
      </c>
      <c r="J50" s="8" t="inlineStr">
        <is>
          <t>Prompt sinh trắc học được gọi TỰ ĐỘNG (không cần nhập SĐT trước); xác thực thành công đăng nhập ngay và resume đúng thao tác đã kích hoạt gate (LI-03).</t>
        </is>
      </c>
      <c r="K50" s="8" t="inlineStr">
        <is>
          <t>High</t>
        </is>
      </c>
      <c r="L50" s="9" t="n"/>
      <c r="M50" s="9" t="inlineStr">
        <is>
          <t>Not Run</t>
        </is>
      </c>
      <c r="N50" s="9" t="n"/>
      <c r="O50" s="9" t="n"/>
      <c r="P50" s="8" t="n"/>
      <c r="Q50" s="8" t="n"/>
      <c r="R50" s="8" t="n"/>
    </row>
    <row r="51" hidden="1" ht="69.75" customHeight="1" s="23">
      <c r="A51" s="8" t="inlineStr">
        <is>
          <t>SCR-AUT-05-SC2-TC1</t>
        </is>
      </c>
      <c r="B51" s="8" t="inlineStr">
        <is>
          <t>SCR-AUT-05-SC2</t>
        </is>
      </c>
      <c r="C51" s="8" t="inlineStr">
        <is>
          <t>SCR-AUT-05</t>
        </is>
      </c>
      <c r="D51" s="8" t="inlineStr">
        <is>
          <t>LI-01, LI-02</t>
        </is>
      </c>
      <c r="E51" s="8" t="inlineStr">
        <is>
          <t>Functional</t>
        </is>
      </c>
      <c r="F51" s="8" t="inlineStr">
        <is>
          <t>Đăng nhập bằng SĐT + PIN khi không có sinh trắc học</t>
        </is>
      </c>
      <c r="G51" s="8" t="inlineStr">
        <is>
          <t>Thiết bị test không bật sinh trắc học.</t>
        </is>
      </c>
      <c r="H51" s="8" t="inlineStr">
        <is>
          <t>1. Nhập SĐT đã đăng ký.
2. Hệ thống chuyển thẳng sang nhập PIN (không hiện prompt sinh trắc học).
3. Nhập đúng PIN 6 số.
4. Quan sát kết quả.</t>
        </is>
      </c>
      <c r="I51" s="8" t="inlineStr">
        <is>
          <t>SĐT: 0912345678 (đã đăng ký). PIN đúng: 123456.</t>
        </is>
      </c>
      <c r="J51" s="8" t="inlineStr">
        <is>
          <t>Không có prompt sinh trắc học khi thiết bị chưa bật; nhập đúng PIN đăng nhập thành công và resume thao tác ban đầu.</t>
        </is>
      </c>
      <c r="K51" s="8" t="inlineStr">
        <is>
          <t>High</t>
        </is>
      </c>
      <c r="L51" s="9" t="n"/>
      <c r="M51" s="9" t="inlineStr">
        <is>
          <t>Not Run</t>
        </is>
      </c>
      <c r="N51" s="9" t="n"/>
      <c r="O51" s="9" t="n"/>
      <c r="P51" s="8" t="n"/>
      <c r="Q51" s="8" t="n"/>
      <c r="R51" s="8" t="n"/>
    </row>
    <row r="52" hidden="1" ht="69.75" customHeight="1" s="23">
      <c r="A52" s="8" t="inlineStr">
        <is>
          <t>SCR-AUT-05-SC2-TC2</t>
        </is>
      </c>
      <c r="B52" s="8" t="inlineStr">
        <is>
          <t>SCR-AUT-05-SC2</t>
        </is>
      </c>
      <c r="C52" s="8" t="inlineStr">
        <is>
          <t>SCR-AUT-05</t>
        </is>
      </c>
      <c r="D52" s="8" t="inlineStr">
        <is>
          <t>LI-01</t>
        </is>
      </c>
      <c r="E52" s="8" t="inlineStr">
        <is>
          <t>Negative</t>
        </is>
      </c>
      <c r="F52" s="8" t="inlineStr">
        <is>
          <t>Nhập số điện thoại sai định dạng ở màn Đăng nhập báo lỗi rõ ràng</t>
        </is>
      </c>
      <c r="G52" s="8" t="inlineStr">
        <is>
          <t>Đang ở màn nhập số điện thoại của Đăng nhập (SCR-AUT-05).</t>
        </is>
      </c>
      <c r="H52" s="8" t="inlineStr">
        <is>
          <t>1. Nhập số điện thoại sai định dạng, lần lượt: '0912' (thiếu số), '091234abcd' (có chữ xen vào), '912345678' (thiếu số 0 đầu).
2. Bấm Tiếp tục.
3. Quan sát thông báo lỗi và ô nhập.</t>
        </is>
      </c>
      <c r="I52" s="8" t="inlineStr">
        <is>
          <t>SĐT sai định dạng: '0912', '091234abcd', '912345678'.</t>
        </is>
      </c>
      <c r="J52" s="8" t="inlineStr">
        <is>
          <t>Bước 2: hệ thống KHÔNG chuyển sang bước nhập PIN/OTP. Bước 3: hiển thị thông báo lỗi định dạng số điện thoại rõ ràng ngay tại ô nhập; ô SĐT giữ nguyên giá trị vừa gõ.</t>
        </is>
      </c>
      <c r="K52" s="8" t="inlineStr">
        <is>
          <t>Medium</t>
        </is>
      </c>
      <c r="L52" s="9" t="n"/>
      <c r="M52" s="9" t="inlineStr">
        <is>
          <t>Not Run</t>
        </is>
      </c>
      <c r="N52" s="9" t="n"/>
      <c r="O52" s="9" t="n"/>
      <c r="P52" s="8" t="n"/>
      <c r="Q52" s="8" t="inlineStr">
        <is>
          <t>Bổ sung theo Review 25/08/2026 - trước đó chỉ test SĐT đã đăng ký/chưa đăng ký, chưa test gõ sai kiểu số ngay từ đầu.</t>
        </is>
      </c>
      <c r="R52" s="8" t="n"/>
    </row>
    <row r="53" hidden="1" ht="69.75" customHeight="1" s="23">
      <c r="A53" s="8" t="inlineStr">
        <is>
          <t>SCR-AUT-05-SC3-TC1</t>
        </is>
      </c>
      <c r="B53" s="8" t="inlineStr">
        <is>
          <t>SCR-AUT-05-SC3</t>
        </is>
      </c>
      <c r="C53" s="8" t="inlineStr">
        <is>
          <t>SCR-AUT-05</t>
        </is>
      </c>
      <c r="D53" s="8" t="inlineStr">
        <is>
          <t>LI-04</t>
        </is>
      </c>
      <c r="E53" s="8" t="inlineStr">
        <is>
          <t>Negative</t>
        </is>
      </c>
      <c r="F53" s="8" t="inlineStr">
        <is>
          <t>Đăng nhập với SĐT chưa đăng ký báo lỗi và chuyển CTA sang Đăng ký</t>
        </is>
      </c>
      <c r="G53" s="8" t="inlineStr">
        <is>
          <t>Đang ở màn nhập SĐT đăng nhập.</t>
        </is>
      </c>
      <c r="H53" s="8" t="inlineStr">
        <is>
          <t>1. Nhập 1 SĐT chưa từng đăng ký (ví dụ 0900000000).
2. Bấm Tiếp tục.
3. Quan sát thông báo và ô nhập SĐT.
4. Quan sát CTA chính.</t>
        </is>
      </c>
      <c r="I53" s="8" t="inlineStr">
        <is>
          <t>SĐT chưa đăng ký: 0900000000.</t>
        </is>
      </c>
      <c r="J53" s="8" t="inlineStr">
        <is>
          <t>Báo lỗi 'số chưa được đăng ký'; ô SĐT giữ nguyên giá trị; CTA chính đổi thành 'Đăng ký' với SĐT đã điền sẵn.</t>
        </is>
      </c>
      <c r="K53" s="8" t="inlineStr">
        <is>
          <t>High</t>
        </is>
      </c>
      <c r="L53" s="9" t="n"/>
      <c r="M53" s="9" t="inlineStr">
        <is>
          <t>Not Run</t>
        </is>
      </c>
      <c r="N53" s="9" t="n"/>
      <c r="O53" s="9" t="n"/>
      <c r="P53" s="8" t="n"/>
      <c r="Q53" s="8" t="n"/>
      <c r="R53" s="10" t="inlineStr">
        <is>
          <t>[Review trước đó — ĐÃ ĐƯỢC XỬ LÝ] Gap 'thiếu test SĐT sai định dạng ở Đăng nhập' đã được bổ sung bằng test case mới SCR-AUT-05-SC2-TC2. Không cần sửa gì thêm ở TC1 này.</t>
        </is>
      </c>
    </row>
    <row r="54" hidden="1" ht="69.75" customHeight="1" s="23">
      <c r="A54" s="25" t="inlineStr">
        <is>
          <t>SCR-AUT-05-SC4-TC1</t>
        </is>
      </c>
      <c r="B54" s="25" t="inlineStr">
        <is>
          <t>SCR-AUT-05-SC4</t>
        </is>
      </c>
      <c r="C54" s="25" t="inlineStr">
        <is>
          <t>SCR-AUT-05</t>
        </is>
      </c>
      <c r="D54" s="25" t="inlineStr">
        <is>
          <t>LI-06</t>
        </is>
      </c>
      <c r="E54" s="25" t="inlineStr">
        <is>
          <t>Boundary</t>
        </is>
      </c>
      <c r="F54" s="25" t="inlineStr">
        <is>
          <t>Vượt quá giới hạn nhập sai PIN buộc phải xác thực lại bằng OTP</t>
        </is>
      </c>
      <c r="G54" s="25" t="inlineStr">
        <is>
          <t>Tài khoản test, PIN đúng là 123456.</t>
        </is>
      </c>
      <c r="H54" s="25" t="inlineStr">
        <is>
          <t>1. Nhập sai PIN (ví dụ 111111) liên tiếp đủ số lần giới hạn (theo cấu hình cuối cùng từ Security/Dev, hiện tạm dùng N=5 làm giá trị placeholder).
2. Quan sát trạng thái sau lần thử cuối vượt ngưỡng.
3. Xác nhận hệ thống yêu cầu xác thực lại bằng OTP trước khi cho nhập PIN tiếp.</t>
        </is>
      </c>
      <c r="I54" s="25" t="inlineStr">
        <is>
          <t>PIN đúng: 123456. PIN sai dùng để test: 111111. N (số lần tối đa) = giá trị cấu hình chính thức từ OQ-03 - CẬP NHẬT LẠI khi có xác nhận.</t>
        </is>
      </c>
      <c r="J54" s="25" t="inlineStr">
        <is>
          <t>Sau khi vượt qua N lần sai, hệ thống khoá tạm thời và bắt buộc OTP trước khi cho thử PIN lại; thông báo lý do khoá rõ ràng cho khách.</t>
        </is>
      </c>
      <c r="K54" s="25" t="inlineStr">
        <is>
          <t>High</t>
        </is>
      </c>
      <c r="L54" s="9" t="n"/>
      <c r="M54" s="9" t="inlineStr">
        <is>
          <t>Not Run</t>
        </is>
      </c>
      <c r="N54" s="9" t="n"/>
      <c r="O54" s="9" t="n"/>
      <c r="P54" s="25" t="inlineStr">
        <is>
          <t>QnA-03</t>
        </is>
      </c>
      <c r="Q54" s="25" t="inlineStr">
        <is>
          <t>Giá trị N và thời gian khoá là placeholder, PHẢI cập nhật lại test case này ngay khi OQ-03/QnA-03 được BA/Security xác nhận chính thức.</t>
        </is>
      </c>
      <c r="R54" s="10" t="inlineStr">
        <is>
          <t>[Review trước đó, vẫn còn hiệu lực] N=5 vẫn chỉ là placeholder minh hoạ, QnA-03/OQ-03 vẫn đang Open (chưa có câu trả lời tính đến 25/08/2026). Nhắc lại: PHẢI cập nhật lại giá trị N và thời gian khoá thật khi Security/Dev trả lời, nếu không test này sẽ pass/fail sai theo số liệu giả định.</t>
        </is>
      </c>
    </row>
    <row r="55" hidden="1" ht="69.75" customHeight="1" s="23">
      <c r="A55" s="25" t="inlineStr">
        <is>
          <t>SCR-AUT-05-SC4-TC2</t>
        </is>
      </c>
      <c r="B55" s="25" t="inlineStr">
        <is>
          <t>SCR-AUT-05-SC4</t>
        </is>
      </c>
      <c r="C55" s="25" t="inlineStr">
        <is>
          <t>SCR-AUT-05</t>
        </is>
      </c>
      <c r="D55" s="25" t="inlineStr">
        <is>
          <t>LI-06</t>
        </is>
      </c>
      <c r="E55" s="25" t="inlineStr">
        <is>
          <t>Negative</t>
        </is>
      </c>
      <c r="F55" s="25" t="inlineStr">
        <is>
          <t>Nhập sai OTP đúng 1 lần trong bước xác thực lại (sau khi vượt giới hạn PIN) - chưa bị khoá thêm</t>
        </is>
      </c>
      <c r="G55" s="25" t="inlineStr">
        <is>
          <t>Đã vượt giới hạn nhập sai PIN và đang ở bước bắt buộc xác thực lại bằng OTP (nối tiếp SCR-AUT-05-SC4-TC1).</t>
        </is>
      </c>
      <c r="H55" s="25" t="inlineStr">
        <is>
          <t>1. Nhận OTP xác thực lại, nhập SAI 1 lần.
2. Quan sát thông báo lỗi.
3. Nhập lại đúng OTP ngay sau đó.</t>
        </is>
      </c>
      <c r="I55" s="25" t="inlineStr">
        <is>
          <t>OTP đúng: mã hợp lệ từ môi trường test. OTP sai dùng để test: đổi 1 chữ số cuối.</t>
        </is>
      </c>
      <c r="J55" s="25" t="inlineStr">
        <is>
          <t>Bước 2: hiển thị lỗi 'Mã OTP không đúng, vui lòng thử lại', KHÔNG bị khoá thêm/kéo dài thời gian khoá chỉ vì sai OTP 1 lần ở bước xác thực lại này. Bước 3: nhập đúng OTP thành công, được cho nhập lại PIN mới hoặc tiếp tục đăng nhập bình thường.</t>
        </is>
      </c>
      <c r="K55" s="25" t="inlineStr">
        <is>
          <t>Medium</t>
        </is>
      </c>
      <c r="L55" s="9" t="n"/>
      <c r="M55" s="9" t="inlineStr">
        <is>
          <t>Not Run</t>
        </is>
      </c>
      <c r="N55" s="9" t="n"/>
      <c r="O55" s="9" t="n"/>
      <c r="P55" s="25" t="inlineStr">
        <is>
          <t>QnA-03</t>
        </is>
      </c>
      <c r="Q55" s="25" t="inlineStr">
        <is>
          <t>Bổ sung theo Review 25/08/2026, nối tiếp SCR-AUT-05-SC4-TC1.</t>
        </is>
      </c>
      <c r="R55" s="8" t="n"/>
    </row>
    <row r="56" hidden="1" ht="69.75" customHeight="1" s="23">
      <c r="A56" s="8" t="inlineStr">
        <is>
          <t>SCR-AUT-06-SC1-TC1</t>
        </is>
      </c>
      <c r="B56" s="8" t="inlineStr">
        <is>
          <t>SCR-AUT-06-SC1</t>
        </is>
      </c>
      <c r="C56" s="8" t="inlineStr">
        <is>
          <t>SCR-AUT-06</t>
        </is>
      </c>
      <c r="D56" s="8" t="inlineStr">
        <is>
          <t>LI-05</t>
        </is>
      </c>
      <c r="E56" s="8" t="inlineStr">
        <is>
          <t>Functional</t>
        </is>
      </c>
      <c r="F56" s="8" t="inlineStr">
        <is>
          <t>Quên PIN - xác thực OTP trước khi cho đặt PIN mới</t>
        </is>
      </c>
      <c r="G56" s="8" t="inlineStr">
        <is>
          <t>Đang ở màn đăng nhập, bấm 'Quên PIN'.</t>
        </is>
      </c>
      <c r="H56" s="8" t="inlineStr">
        <is>
          <t>1. Bấm 'Quên PIN'.
2. Quan sát SĐT hiển thị dạng che (ẩn một phần số).
3. Chọn kênh OTP, nhập đúng mã OTP.
4. Nhập PIN mới 2 lần khớp nhau (khác PIN cũ).
5. Bấm Save.</t>
        </is>
      </c>
      <c r="I56" s="8" t="inlineStr">
        <is>
          <t>PIN cũ: 123456. PIN mới: 246810.</t>
        </is>
      </c>
      <c r="J56" s="8" t="inlineStr">
        <is>
          <t>SĐT được mask, không thể sửa trực tiếp tại đây. Chỉ sau khi OTP đúng mới cho nhập PIN mới. Sau Save, PIN cũ ('123456') ngừng hoạt động ngay, PIN mới ('246810') có hiệu lực.</t>
        </is>
      </c>
      <c r="K56" s="8" t="inlineStr">
        <is>
          <t>High</t>
        </is>
      </c>
      <c r="L56" s="9" t="n"/>
      <c r="M56" s="9" t="inlineStr">
        <is>
          <t>Not Run</t>
        </is>
      </c>
      <c r="N56" s="9" t="n"/>
      <c r="O56" s="9" t="n"/>
      <c r="P56" s="8" t="n"/>
      <c r="Q56" s="8" t="n"/>
      <c r="R56" s="8" t="n"/>
    </row>
    <row r="57" hidden="1" ht="69.75" customHeight="1" s="23">
      <c r="A57" s="8" t="inlineStr">
        <is>
          <t>SCR-AUT-06-SC2-TC1</t>
        </is>
      </c>
      <c r="B57" s="8" t="inlineStr">
        <is>
          <t>SCR-AUT-06-SC2</t>
        </is>
      </c>
      <c r="C57" s="8" t="inlineStr">
        <is>
          <t>SCR-AUT-06</t>
        </is>
      </c>
      <c r="D57" s="8" t="inlineStr">
        <is>
          <t>LI-03, LI-05</t>
        </is>
      </c>
      <c r="E57" s="8" t="inlineStr">
        <is>
          <t>Functional</t>
        </is>
      </c>
      <c r="F57" s="8" t="inlineStr">
        <is>
          <t>Sau đặt lại PIN, tự động đăng nhập, resume thao tác và không ảnh hưởng bio ticket</t>
        </is>
      </c>
      <c r="G57" s="8" t="inlineStr">
        <is>
          <t>Đã hoàn tất đặt PIN mới thành công; tài khoản đã từng bật Face ID trước đó.</t>
        </is>
      </c>
      <c r="H57" s="8" t="inlineStr">
        <is>
          <t>1. Quan sát trạng thái đăng nhập ngay sau khi Save PIN mới.
2. Kiểm tra thao tác resume (ví dụ mở Cart) có được thực hiện tự động không.
3. Đăng xuất, đăng nhập lại bằng Face ID để kiểm tra bio ticket còn hiệu lực.</t>
        </is>
      </c>
      <c r="I57" s="8" t="inlineStr">
        <is>
          <t>Tài khoản đã bật Face ID trước khi reset PIN.</t>
        </is>
      </c>
      <c r="J57" s="8" t="inlineStr">
        <is>
          <t>Bước 1: đã đăng nhập ngay không cần thêm bước nào. Bước 2: thao tác gốc (mở Cart) được thực hiện tự động. Bước 3: Face ID vẫn đăng nhập thành công - reset PIN KHÔNG thu hồi bio ticket.</t>
        </is>
      </c>
      <c r="K57" s="8" t="inlineStr">
        <is>
          <t>Medium</t>
        </is>
      </c>
      <c r="L57" s="9" t="n"/>
      <c r="M57" s="9" t="inlineStr">
        <is>
          <t>Not Run</t>
        </is>
      </c>
      <c r="N57" s="9" t="n"/>
      <c r="O57" s="9" t="n"/>
      <c r="P57" s="8" t="n"/>
      <c r="Q57" s="8" t="n"/>
      <c r="R57" s="8" t="n"/>
    </row>
    <row r="58" hidden="1" ht="69.75" customHeight="1" s="23">
      <c r="A58" s="25" t="inlineStr">
        <is>
          <t>SCR-CRT-01-SC1-TC1</t>
        </is>
      </c>
      <c r="B58" s="25" t="inlineStr">
        <is>
          <t>SCR-CRT-01-SC1</t>
        </is>
      </c>
      <c r="C58" s="25" t="inlineStr">
        <is>
          <t>SCR-CRT-01</t>
        </is>
      </c>
      <c r="D58" s="25" t="inlineStr">
        <is>
          <t>CT-03</t>
        </is>
      </c>
      <c r="E58" s="25" t="inlineStr">
        <is>
          <t>Functional</t>
        </is>
      </c>
      <c r="F58" s="25" t="inlineStr">
        <is>
          <t>Thanh tiến độ Freeship hiện đúng số tiền còn thiếu để đạt ngưỡng 150.000đ</t>
        </is>
      </c>
      <c r="G58" s="25" t="inlineStr">
        <is>
          <t>Giỏ hàng đang có tổng 117.000đ (Standard, chưa freeship).</t>
        </is>
      </c>
      <c r="H58" s="25" t="inlineStr">
        <is>
          <t>1. Mở Cart, tab Standard.
2. Quan sát thanh tiến độ Freeship.
3. Thêm 1 sản phẩm 33.000đ vào giỏ.
4. Quan sát lại thanh tiến độ.</t>
        </is>
      </c>
      <c r="I58" s="25" t="inlineStr">
        <is>
          <t>Giỏ hàng ban đầu: 117.000đ. Sản phẩm thêm: 33.000đ (đưa tổng = 150.000đ).</t>
        </is>
      </c>
      <c r="J58" s="25" t="inlineStr">
        <is>
          <t>Bước 2: hiện 'Còn 33.000đ để được miễn phí giao hàng'. Bước 4: sau khi thêm đủ 33.000đ, thanh tiến độ báo đã đạt freeship, phí giao hàng Standard = 0đ.</t>
        </is>
      </c>
      <c r="K58" s="25" t="inlineStr">
        <is>
          <t>High</t>
        </is>
      </c>
      <c r="L58" s="9" t="n"/>
      <c r="M58" s="9" t="inlineStr">
        <is>
          <t>Not Run</t>
        </is>
      </c>
      <c r="N58" s="9" t="n"/>
      <c r="O58" s="9" t="n"/>
      <c r="P58" s="25" t="inlineStr">
        <is>
          <t>QnA-15</t>
        </is>
      </c>
      <c r="Q58" s="25" t="inlineStr">
        <is>
          <t>Danh sách gợi ý sản phẩm cụ thể để đạt ngưỡng vẫn chờ logic chính thức (OQ-15/QnA-15).</t>
        </is>
      </c>
      <c r="R58" s="8" t="n"/>
    </row>
    <row r="59" hidden="1" ht="69.75" customHeight="1" s="23">
      <c r="A59" s="25" t="inlineStr">
        <is>
          <t>SCR-CRT-01-SC2-TC1</t>
        </is>
      </c>
      <c r="B59" s="25" t="inlineStr">
        <is>
          <t>SCR-CRT-01-SC2</t>
        </is>
      </c>
      <c r="C59" s="25" t="inlineStr">
        <is>
          <t>SCR-CRT-01</t>
        </is>
      </c>
      <c r="D59" s="25" t="inlineStr">
        <is>
          <t>CT-04</t>
        </is>
      </c>
      <c r="E59" s="25" t="inlineStr">
        <is>
          <t>Functional</t>
        </is>
      </c>
      <c r="F59" s="25" t="inlineStr">
        <is>
          <t>Kết hợp 2 bộ lọc 60-Minute và BNPL cho kết quả giao (AND) đúng</t>
        </is>
      </c>
      <c r="G59" s="25" t="inlineStr">
        <is>
          <t>Giỏ hàng có SKU-A (chỉ 60-Minute), SKU-B (chỉ BNPL), SKU-C (cả hai), SKU-D (không thuộc loại nào).</t>
        </is>
      </c>
      <c r="H59" s="25" t="inlineStr">
        <is>
          <t>1. Bật riêng lọc '60-Minute eligible'. Quan sát danh sách còn lại.
2. Tắt lọc 60-Minute, bật riêng lọc 'BNPL eligible'. Quan sát danh sách.
3. Bật CẢ 2 lọc cùng lúc. Quan sát danh sách.</t>
        </is>
      </c>
      <c r="I59" s="25" t="inlineStr">
        <is>
          <t>SKU-A, SKU-B, SKU-C, SKU-D như mô tả.</t>
        </is>
      </c>
      <c r="J59" s="25" t="inlineStr">
        <is>
          <t>Bước 1: chỉ còn SKU-A, SKU-C. Bước 2: chỉ còn SKU-B, SKU-C. Bước 3: chỉ còn SKU-C (giao của cả 2 điều kiện).</t>
        </is>
      </c>
      <c r="K59" s="25" t="inlineStr">
        <is>
          <t>Medium</t>
        </is>
      </c>
      <c r="L59" s="9" t="n"/>
      <c r="M59" s="9" t="inlineStr">
        <is>
          <t>Not Run</t>
        </is>
      </c>
      <c r="N59" s="9" t="n"/>
      <c r="O59" s="9" t="n"/>
      <c r="P59" s="25" t="inlineStr">
        <is>
          <t>QnA-42</t>
        </is>
      </c>
      <c r="Q59" s="25" t="n"/>
      <c r="R59" s="8" t="inlineStr">
        <is>
          <t>Đã gửi câu hỏi QnA-42 (26/08/2026) về việc điều kiện 60-Minute/BNPL tính theo SKU hay theo đơn hàng, hiện đang Open. Test này giữ nguyên giả định 'theo SKU' cho đến khi có câu trả lời chính thức; cập nhật lại Test Data/Expected Result ngay khi QnA-42 được trả lời.</t>
        </is>
      </c>
    </row>
    <row r="60" hidden="1" ht="69.75" customHeight="1" s="23">
      <c r="A60" s="25" t="inlineStr">
        <is>
          <t>SCR-CRT-01-SC3-TC1</t>
        </is>
      </c>
      <c r="B60" s="25" t="inlineStr">
        <is>
          <t>SCR-CRT-01-SC3</t>
        </is>
      </c>
      <c r="C60" s="25" t="inlineStr">
        <is>
          <t>SCR-CRT-01</t>
        </is>
      </c>
      <c r="D60" s="25" t="inlineStr">
        <is>
          <t>CT-06</t>
        </is>
      </c>
      <c r="E60" s="25" t="inlineStr">
        <is>
          <t>Edge</t>
        </is>
      </c>
      <c r="F60" s="25" t="inlineStr">
        <is>
          <t>Sản phẩm hết hàng tách nhóm riêng, phần còn lại vẫn Proceed to Checkout được</t>
        </is>
      </c>
      <c r="G60" s="25" t="inlineStr">
        <is>
          <t>Giỏ hàng có SKU-X (còn hàng), SKU-Y (còn hàng), SKU-Z (vừa hết hàng).</t>
        </is>
      </c>
      <c r="H60" s="25" t="inlineStr">
        <is>
          <t>1. Giả lập SKU-Z chuyển trạng thái hết hàng trong lúc đang ở Cart.
2. Làm mới/quan sát giỏ hàng.
3. Kiểm tra SKU-Z có đề xuất thay thế hoặc đăng ký báo hàng không.
4. Bấm Proceed to Checkout.</t>
        </is>
      </c>
      <c r="I60" s="25" t="inlineStr">
        <is>
          <t>SKU-X, SKU-Y: còn hàng. SKU-Z: hết hàng giữa chừng.</t>
        </is>
      </c>
      <c r="J60" s="25" t="inlineStr">
        <is>
          <t>Bước 2: SKU-Z chuyển sang nhóm 'không khả dụng' riêng biệt, tách khỏi SKU-X/Y. Bước 3: có đề xuất thay thế/đăng ký báo hàng cho SKU-Z. Bước 4: Proceed to Checkout thành công với SKU-X, SKU-Y (SKU-Z không tính vào đơn).</t>
        </is>
      </c>
      <c r="K60" s="25" t="inlineStr">
        <is>
          <t>High</t>
        </is>
      </c>
      <c r="L60" s="9" t="n"/>
      <c r="M60" s="9" t="inlineStr">
        <is>
          <t>Not Run</t>
        </is>
      </c>
      <c r="N60" s="9" t="n"/>
      <c r="O60" s="9" t="n"/>
      <c r="P60" s="25" t="inlineStr">
        <is>
          <t>QnA-05</t>
        </is>
      </c>
      <c r="Q60" s="25" t="n"/>
      <c r="R60" s="8" t="n"/>
    </row>
    <row r="61" hidden="1" ht="69.75" customHeight="1" s="23">
      <c r="A61" s="25" t="inlineStr">
        <is>
          <t>SCR-CRT-01-SC4-TC1</t>
        </is>
      </c>
      <c r="B61" s="25" t="inlineStr">
        <is>
          <t>SCR-CRT-01-SC4</t>
        </is>
      </c>
      <c r="C61" s="25" t="inlineStr">
        <is>
          <t>SCR-CRT-01</t>
        </is>
      </c>
      <c r="D61" s="25" t="inlineStr">
        <is>
          <t>CT-06</t>
        </is>
      </c>
      <c r="E61" s="25" t="inlineStr">
        <is>
          <t>Boundary</t>
        </is>
      </c>
      <c r="F61" s="25" t="inlineStr">
        <is>
          <t>TBD: kiểm tra trạng thái ô PwP sau khi đồng hồ đếm ngược về 0</t>
        </is>
      </c>
      <c r="G61" s="25" t="inlineStr">
        <is>
          <t>Giỏ hàng đang hiện 1 ô PwP với đếm ngược còn lại dưới 1 phút (giả lập thời gian hệ thống hoặc dùng dữ liệu test có sẵn đếm ngược ngắn).</t>
        </is>
      </c>
      <c r="H61" s="25" t="inlineStr">
        <is>
          <t>1. Quan sát ô PwP và đồng hồ đếm ngược.
2. Chờ đếm ngược chạy về 0 (hoặc giả lập thời gian).
3. Quan sát trạng thái ô PwP ngay sau khi về 0.
4. Thử tương tác (thêm vào giỏ) với ưu đãi PwP đó.</t>
        </is>
      </c>
      <c r="I61" s="25" t="inlineStr">
        <is>
          <t>1 ô PwP với đếm ngược gần hết hạn (test data cần được chuẩn bị riêng để rút ngắn thời gian chờ).</t>
        </is>
      </c>
      <c r="J61" s="25" t="inlineStr">
        <is>
          <t>TBD - hiện SRS chưa mô tả hành vi khi hết đếm ngược (ẩn đi? khoá lại với label 'Hết hạn'? vẫn hiện nhưng không áp dụng giá ưu đãi?). Ghi nhận hành vi thực tế và đối chiếu với câu trả lời QnA-28 trước khi chốt Pass/Fail.</t>
        </is>
      </c>
      <c r="K61" s="25" t="inlineStr">
        <is>
          <t>Medium</t>
        </is>
      </c>
      <c r="L61" s="9" t="n"/>
      <c r="M61" s="9" t="inlineStr">
        <is>
          <t>Not Run</t>
        </is>
      </c>
      <c r="N61" s="9" t="n"/>
      <c r="O61" s="9" t="n"/>
      <c r="P61" s="25" t="inlineStr">
        <is>
          <t>QnA-28</t>
        </is>
      </c>
      <c r="Q61" s="25" t="inlineStr">
        <is>
          <t>Test case này sẽ được viết lại chi tiết hơn (Expected Result cụ thể) ngay khi QnA-28 được BA/LOTTE MART trả lời.</t>
        </is>
      </c>
      <c r="R61" s="10" t="inlineStr">
        <is>
          <t>Test này đang ghi TBD vì SRS chưa nói rõ chuyện gì xảy ra khi hết giờ đếm ngược PwP. Người thực thi KHÔNG được tự ý chấm Pass/Fail cho test này - phải chờ câu trả lời QnA-28 trước.</t>
        </is>
      </c>
    </row>
    <row r="62" hidden="1" ht="69.75" customHeight="1" s="23">
      <c r="A62" s="25" t="inlineStr">
        <is>
          <t>SCR-CRT-01-SC5-TC1</t>
        </is>
      </c>
      <c r="B62" s="25" t="inlineStr">
        <is>
          <t>SCR-CRT-01-SC5</t>
        </is>
      </c>
      <c r="C62" s="25" t="inlineStr">
        <is>
          <t>SCR-CRT-01</t>
        </is>
      </c>
      <c r="D62" s="25" t="inlineStr">
        <is>
          <t>CT-06</t>
        </is>
      </c>
      <c r="E62" s="25" t="inlineStr">
        <is>
          <t>Boundary</t>
        </is>
      </c>
      <c r="F62" s="25" t="inlineStr">
        <is>
          <t>Quà tặng (gift item) đi kèm khuyến mãi hết hàng - TBD chờ QnA-22</t>
        </is>
      </c>
      <c r="G62" s="25" t="inlineStr">
        <is>
          <t>Giỏ hàng có 1 sản phẩm chính + 1 gift item do khuyến mãi tặng kèm.</t>
        </is>
      </c>
      <c r="H62" s="25" t="inlineStr">
        <is>
          <t>1. Xác nhận gift item đang hiện trong giỏ, gắn với khuyến mãi đang áp dụng.
2. Giả lập gift item chuyển sang hết hàng.
3. Quan sát trạng thái khuyến mãi và gift item trong giỏ hàng.
4. GHI NHẬN hành vi thực tế: khuyến mãi có bị huỷ hoàn toàn không, gift item có được thay thế không, hay đơn hàng bị chặn checkout.</t>
        </is>
      </c>
      <c r="I62" s="25" t="inlineStr">
        <is>
          <t>Sản phẩm chính: bất kỳ SKU còn hàng. Gift item: SKU test 'GIFT-PROMO-01' được giả lập hết hàng ở bước 2.</t>
        </is>
      </c>
      <c r="J62" s="25" t="inlineStr">
        <is>
          <t>TBD - SRS/BRL-34 chưa nêu quy tắc xử lý quà tặng hết hàng. Người thực thi ghi nhận hành vi thực tế (bước 3-4) để đối chiếu với câu trả lời QnA-22, không tự ý chấm Pass/Fail.</t>
        </is>
      </c>
      <c r="K62" s="25" t="inlineStr">
        <is>
          <t>Medium</t>
        </is>
      </c>
      <c r="L62" s="9" t="n"/>
      <c r="M62" s="9" t="inlineStr">
        <is>
          <t>Not Run</t>
        </is>
      </c>
      <c r="N62" s="9" t="n"/>
      <c r="O62" s="9" t="n"/>
      <c r="P62" s="25" t="inlineStr">
        <is>
          <t>QnA-22</t>
        </is>
      </c>
      <c r="Q62" s="25" t="inlineStr">
        <is>
          <t>Bổ sung theo Review 26/08/2026 - đóng gap 'QnA-22 chưa gắn test case nào' trong Review - Gaps &amp; Issues.</t>
        </is>
      </c>
      <c r="R62" s="8" t="n"/>
    </row>
    <row r="63" hidden="1" ht="69.75" customHeight="1" s="23">
      <c r="A63" s="25" t="inlineStr">
        <is>
          <t>SCR-CRT-01-SC6-TC1</t>
        </is>
      </c>
      <c r="B63" s="25" t="inlineStr">
        <is>
          <t>SCR-CRT-01-SC6</t>
        </is>
      </c>
      <c r="C63" s="25" t="inlineStr">
        <is>
          <t>SCR-CRT-01</t>
        </is>
      </c>
      <c r="D63" s="25" t="inlineStr">
        <is>
          <t>CT-02</t>
        </is>
      </c>
      <c r="E63" s="25" t="inlineStr">
        <is>
          <t>Edge</t>
        </is>
      </c>
      <c r="F63" s="25" t="inlineStr">
        <is>
          <t>SKU giới hạn hình thức (chỉ Delivery hoặc chỉ Pickup) khi khách ở tab hình thức không được hỗ trợ - TBD chờ QnA-14</t>
        </is>
      </c>
      <c r="G63" s="25" t="inlineStr">
        <is>
          <t>Giỏ hàng có 1 SKU được giả định chỉ hỗ trợ Delivery (SKU-DeliveryOnly).</t>
        </is>
      </c>
      <c r="H63" s="25" t="inlineStr">
        <is>
          <t>1. Thêm SKU-DeliveryOnly vào giỏ khi đang ở tab Delivery - xác nhận thêm được bình thường.
2. Chuyển sang tab Pickup trong Cart.
3. Quan sát SKU-DeliveryOnly trong danh sách sản phẩm ở tab Pickup.
4. GHI NHẬN hành vi thực tế: SKU bị ẩn, bị disable kèm ghi chú, hay vẫn hiện bình thường (không có giới hạn).</t>
        </is>
      </c>
      <c r="I63" s="25" t="inlineStr">
        <is>
          <t>SKU-DeliveryOnly: SKU test được giả định chỉ hỗ trợ Delivery (cấu hình giả lập, vì SRS chưa xác nhận có tồn tại loại SKU này - QnA-14).</t>
        </is>
      </c>
      <c r="J63" s="25" t="inlineStr">
        <is>
          <t>TBD - nếu QnA-14 xác nhận CÓ tồn tại SKU giới hạn hình thức, SKU đó phải được xử lý rõ ràng (ẩn/disable/báo lỗi) khi ở tab không được hỗ trợ, không được để khách chọn nhầm rồi lỗi ở bước sau. Nếu QnA-14 xác nhận KHÔNG có SKU nào bị giới hạn, test case này có thể đóng (N/A).</t>
        </is>
      </c>
      <c r="K63" s="25" t="inlineStr">
        <is>
          <t>Low</t>
        </is>
      </c>
      <c r="L63" s="9" t="n"/>
      <c r="M63" s="9" t="inlineStr">
        <is>
          <t>Not Run</t>
        </is>
      </c>
      <c r="N63" s="9" t="n"/>
      <c r="O63" s="9" t="n"/>
      <c r="P63" s="25" t="inlineStr">
        <is>
          <t>QnA-14</t>
        </is>
      </c>
      <c r="Q63" s="25" t="inlineStr">
        <is>
          <t>Bổ sung theo Review 26/08/2026 - đóng gap 'QnA-14 chưa gắn test case nào' trong Review - Gaps &amp; Issues.</t>
        </is>
      </c>
      <c r="R63" s="8" t="n"/>
    </row>
    <row r="64" hidden="1" ht="69.75" customHeight="1" s="23">
      <c r="A64" s="25" t="inlineStr">
        <is>
          <t>SCR-CRT-02-SC1-TC1</t>
        </is>
      </c>
      <c r="B64" s="25" t="inlineStr">
        <is>
          <t>SCR-CRT-02-SC1</t>
        </is>
      </c>
      <c r="C64" s="25" t="inlineStr">
        <is>
          <t>SCR-CRT-02</t>
        </is>
      </c>
      <c r="D64" s="25" t="inlineStr">
        <is>
          <t>CT-08</t>
        </is>
      </c>
      <c r="E64" s="25" t="inlineStr">
        <is>
          <t>Boundary</t>
        </is>
      </c>
      <c r="F64" s="25" t="inlineStr">
        <is>
          <t>Phí 60-Minute không được miễn dù giỏ hàng đã vượt ngưỡng freeship Standard 150.000đ</t>
        </is>
      </c>
      <c r="G64" s="25" t="inlineStr">
        <is>
          <t>Giỏ hàng tổng 200.000đ (đã vượt 150.000đ), địa chỉ trong bán kính 60-Minute.</t>
        </is>
      </c>
      <c r="H64" s="25" t="inlineStr">
        <is>
          <t>1. Đảm bảo giỏ hàng &gt;=150.000đ.
2. Chọn dịch vụ 60-Minute (thay vì Standard).
3. Quan sát dòng phí giao hàng trong tóm tắt thanh toán.
4. (Đối chứng) Chuyển lại về Standard, quan sát lại dòng phí.</t>
        </is>
      </c>
      <c r="I64" s="25" t="inlineStr">
        <is>
          <t>Giỏ hàng: 200.000đ. Dịch vụ: 60-Minute vs Standard.</t>
        </is>
      </c>
      <c r="J64" s="25" t="inlineStr">
        <is>
          <t>Bước 3: phí 60-Minute VẪN được tính (không về 0) dù giỏ hàng đã vượt 150.000đ. Bước 4: khi chuyển về Standard, phí giao hàng về 0đ (freeship áp dụng đúng cho Standard).</t>
        </is>
      </c>
      <c r="K64" s="25" t="inlineStr">
        <is>
          <t>High</t>
        </is>
      </c>
      <c r="L64" s="9" t="n"/>
      <c r="M64" s="9" t="inlineStr">
        <is>
          <t>Not Run</t>
        </is>
      </c>
      <c r="N64" s="9" t="n"/>
      <c r="O64" s="9" t="n"/>
      <c r="P64" s="25" t="inlineStr">
        <is>
          <t>QnA-33</t>
        </is>
      </c>
      <c r="Q64" s="25" t="inlineStr">
        <is>
          <t>Đối chiếu thêm với QnA-33 về khả năng phí Standard có thể thay đổi theo khung giờ - cần theo dõi cập nhật.</t>
        </is>
      </c>
      <c r="R64" s="8" t="n"/>
    </row>
    <row r="65" hidden="1" ht="69.75" customHeight="1" s="23">
      <c r="A65" s="8" t="inlineStr">
        <is>
          <t>SCR-CRT-02-SC2-TC1</t>
        </is>
      </c>
      <c r="B65" s="8" t="inlineStr">
        <is>
          <t>SCR-CRT-02-SC2</t>
        </is>
      </c>
      <c r="C65" s="8" t="inlineStr">
        <is>
          <t>SCR-CRT-02</t>
        </is>
      </c>
      <c r="D65" s="8" t="inlineStr">
        <is>
          <t>CT-08</t>
        </is>
      </c>
      <c r="E65" s="8" t="inlineStr">
        <is>
          <t>Boundary</t>
        </is>
      </c>
      <c r="F65" s="8" t="inlineStr">
        <is>
          <t>Cảnh báo slot 60-Minute sắp hết xuất hiện đúng lúc còn lại = ngưỡng cấu hình</t>
        </is>
      </c>
      <c r="G65" s="8" t="inlineStr">
        <is>
          <t>Store test được cấu hình còn lại 2 slot 60-Minute cho khung giờ đang xét.</t>
        </is>
      </c>
      <c r="H65" s="8" t="inlineStr">
        <is>
          <t>1. Quan sát Cart khi slot còn lại = 2 (trên ngưỡng 1, chưa cảnh báo).
2. Giả lập 1 đơn khác đặt hết 1 slot, còn lại = 1 (bằng ngưỡng).
3. Làm mới Cart, quan sát cảnh báo.</t>
        </is>
      </c>
      <c r="I65" s="8" t="inlineStr">
        <is>
          <t>Ngưỡng cấu hình: 1 slot còn lại. Slot ban đầu: 2, sau đó: 1.</t>
        </is>
      </c>
      <c r="J65" s="8" t="inlineStr">
        <is>
          <t>Bước 1: không có cảnh báo. Bước 3: cảnh báo xuất hiện ngay khi còn lại = 1, nêu rõ còn 1 chỗ.</t>
        </is>
      </c>
      <c r="K65" s="8" t="inlineStr">
        <is>
          <t>Medium</t>
        </is>
      </c>
      <c r="L65" s="9" t="n"/>
      <c r="M65" s="9" t="inlineStr">
        <is>
          <t>Not Run</t>
        </is>
      </c>
      <c r="N65" s="9" t="n"/>
      <c r="O65" s="9" t="n"/>
      <c r="P65" s="8" t="n"/>
      <c r="Q65" s="8" t="n"/>
      <c r="R65" s="8" t="n"/>
    </row>
    <row r="66" hidden="1" ht="69.75" customHeight="1" s="23">
      <c r="A66" s="25" t="inlineStr">
        <is>
          <t>SCR-CRT-03-SC1-TC1</t>
        </is>
      </c>
      <c r="B66" s="25" t="inlineStr">
        <is>
          <t>SCR-CRT-03-SC1</t>
        </is>
      </c>
      <c r="C66" s="25" t="inlineStr">
        <is>
          <t>SCR-CRT-03</t>
        </is>
      </c>
      <c r="D66" s="25" t="inlineStr">
        <is>
          <t>CT-08</t>
        </is>
      </c>
      <c r="E66" s="25" t="inlineStr">
        <is>
          <t>Functional</t>
        </is>
      </c>
      <c r="F66" s="25" t="inlineStr">
        <is>
          <t>Địa chỉ Next-day chỉ hiện bộ chọn ngày, không có khung giờ</t>
        </is>
      </c>
      <c r="G66" s="25" t="inlineStr">
        <is>
          <t>Địa chỉ test nằm ngoài bán kính Standard, trong 1 khu vực Next-day đã cấu hình.</t>
        </is>
      </c>
      <c r="H66" s="25" t="inlineStr">
        <is>
          <t>1. Vào Cart, chọn dịch vụ tương ứng địa chỉ Next-day.
2. Quan sát giao diện chọn thời gian giao.
3. Chọn 1 ngày hợp lệ trong danh sách.</t>
        </is>
      </c>
      <c r="I66" s="25" t="inlineStr">
        <is>
          <t>Địa chỉ test: thuộc khu vực Next-day đã cấu hình (ví dụ ngoài TP.HCM, thuộc diện Next-day).</t>
        </is>
      </c>
      <c r="J66" s="25" t="inlineStr">
        <is>
          <t>Giao diện CHỈ hiện lưới chọn NGÀY (không có khung giờ nào); ngày không khả dụng hiện dạng mờ (disabled), không bị ẩn; chọn 1 ngày hợp lệ được xác nhận.</t>
        </is>
      </c>
      <c r="K66" s="25" t="inlineStr">
        <is>
          <t>High</t>
        </is>
      </c>
      <c r="L66" s="9" t="n"/>
      <c r="M66" s="9" t="inlineStr">
        <is>
          <t>Not Run</t>
        </is>
      </c>
      <c r="N66" s="9" t="n"/>
      <c r="O66" s="9" t="n"/>
      <c r="P66" s="25" t="inlineStr">
        <is>
          <t>QnA-09</t>
        </is>
      </c>
      <c r="Q66" s="25" t="n"/>
      <c r="R66" s="8" t="n"/>
    </row>
    <row r="67" hidden="1" ht="69.75" customHeight="1" s="23">
      <c r="A67" s="8" t="inlineStr">
        <is>
          <t>SCR-CRT-03-SC2-TC1</t>
        </is>
      </c>
      <c r="B67" s="8" t="inlineStr">
        <is>
          <t>SCR-CRT-03-SC2</t>
        </is>
      </c>
      <c r="C67" s="8" t="inlineStr">
        <is>
          <t>SCR-CRT-03</t>
        </is>
      </c>
      <c r="D67" s="8" t="inlineStr">
        <is>
          <t>CT-08</t>
        </is>
      </c>
      <c r="E67" s="8" t="inlineStr">
        <is>
          <t>Boundary</t>
        </is>
      </c>
      <c r="F67" s="8" t="inlineStr">
        <is>
          <t>Đơn hàng bulky đẩy ngày giao từ T+2 sang T+4 và cộng phụ phí</t>
        </is>
      </c>
      <c r="G67" s="8" t="inlineStr">
        <is>
          <t>Giỏ hàng có 1 SKU gắn nhãn 'bulky' (hoặc tổng trọng lượng &gt;15kg).</t>
        </is>
      </c>
      <c r="H67" s="8" t="inlineStr">
        <is>
          <t>1. Mở bước chọn ngày giao cho đơn hàng bulky.
2. Quan sát các ngày bị disable (trước T+4).
3. Quan sát ghi chú nêu rõ SKU nào gây bulky.
4. Quan sát dòng phụ phí trong tóm tắt thanh toán.</t>
        </is>
      </c>
      <c r="I67" s="8" t="inlineStr">
        <is>
          <t>SKU-Bulky: gắn nhãn 'bulky', hoặc tổng trọng lượng giỏ hàng = 16kg.</t>
        </is>
      </c>
      <c r="J67" s="8" t="inlineStr">
        <is>
          <t>Các ngày trước T+4 đều disabled (ngày sớm nhất chọn được là T+4); màn hình nêu rõ tên SKU gây bulky; dòng 'Phụ phí đơn hàng cồng kềnh' xuất hiện thêm vào phí dịch vụ, không bị miễn bởi freeship.</t>
        </is>
      </c>
      <c r="K67" s="8" t="inlineStr">
        <is>
          <t>High</t>
        </is>
      </c>
      <c r="L67" s="9" t="n"/>
      <c r="M67" s="9" t="inlineStr">
        <is>
          <t>Not Run</t>
        </is>
      </c>
      <c r="N67" s="9" t="n"/>
      <c r="O67" s="9" t="n"/>
      <c r="P67" s="8" t="n"/>
      <c r="Q67" s="8" t="n"/>
      <c r="R67" s="8" t="n"/>
    </row>
    <row r="68" hidden="1" ht="69.75" customHeight="1" s="23">
      <c r="A68" s="8" t="inlineStr">
        <is>
          <t>SCR-CRT-03-SC3-TC1</t>
        </is>
      </c>
      <c r="B68" s="8" t="inlineStr">
        <is>
          <t>SCR-CRT-03-SC3</t>
        </is>
      </c>
      <c r="C68" s="8" t="inlineStr">
        <is>
          <t>SCR-CRT-03</t>
        </is>
      </c>
      <c r="D68" s="8" t="inlineStr">
        <is>
          <t>CT-08</t>
        </is>
      </c>
      <c r="E68" s="8" t="inlineStr">
        <is>
          <t>Edge</t>
        </is>
      </c>
      <c r="F68" s="8" t="inlineStr">
        <is>
          <t>Xoá SKU bulky duy nhất đưa đơn trở lại T+2 ngay lập tức</t>
        </is>
      </c>
      <c r="G68" s="8" t="inlineStr">
        <is>
          <t>Đơn đang ở trạng thái bulky (T+4) chỉ vì 1 SKU gắn nhãn bulky, các SKU khác bình thường.</t>
        </is>
      </c>
      <c r="H68" s="8" t="inlineStr">
        <is>
          <t>1. Xác nhận đơn đang T+4 do SKU-Bulky.
2. Xoá SKU-Bulky khỏi giỏ hàng.
3. Mở lại bước chọn ngày giao, quan sát ngày sớm nhất khả dụng.</t>
        </is>
      </c>
      <c r="I68" s="8" t="inlineStr">
        <is>
          <t>SKU-Bulky là SKU duy nhất gây bulky trong giỏ.</t>
        </is>
      </c>
      <c r="J68" s="8" t="inlineStr">
        <is>
          <t>Sau khi xoá SKU-Bulky, ngày sớm nhất có thể chọn quay lại T+2 (đánh giá lại tức thì, không cần thao tác thêm).</t>
        </is>
      </c>
      <c r="K68" s="8" t="inlineStr">
        <is>
          <t>Medium</t>
        </is>
      </c>
      <c r="L68" s="9" t="n"/>
      <c r="M68" s="9" t="inlineStr">
        <is>
          <t>Not Run</t>
        </is>
      </c>
      <c r="N68" s="9" t="n"/>
      <c r="O68" s="9" t="n"/>
      <c r="P68" s="8" t="n"/>
      <c r="Q68" s="8" t="n"/>
      <c r="R68" s="8" t="n"/>
    </row>
    <row r="69" hidden="1" ht="69.75" customHeight="1" s="23">
      <c r="A69" s="8" t="inlineStr">
        <is>
          <t>SCR-CRT-04-SC1-TC1</t>
        </is>
      </c>
      <c r="B69" s="8" t="inlineStr">
        <is>
          <t>SCR-CRT-04-SC1</t>
        </is>
      </c>
      <c r="C69" s="8" t="inlineStr">
        <is>
          <t>SCR-CRT-04</t>
        </is>
      </c>
      <c r="D69" s="8" t="inlineStr">
        <is>
          <t>CT-02, CT-09</t>
        </is>
      </c>
      <c r="E69" s="8" t="inlineStr">
        <is>
          <t>Functional</t>
        </is>
      </c>
      <c r="F69" s="8" t="inlineStr">
        <is>
          <t>Thông tin người nhận Pickup độc lập với hồ sơ tài khoản đang đăng nhập</t>
        </is>
      </c>
      <c r="G69" s="8" t="inlineStr">
        <is>
          <t>Tài khoản đang đăng nhập: Nguyễn Văn A / 0911111111. Chọn tab Pickup.</t>
        </is>
      </c>
      <c r="H69" s="8" t="inlineStr">
        <is>
          <t>1. Vào tab 'Tự đến lấy'.
2. Nhập tên người nhận 'Trần Thị B', SĐT '0922222222' (khác tài khoản).
3. Tiếp tục sang bước chọn store/slot Pickup.
4. Kiểm tra thông tin người nhận được lưu đúng như đã nhập (không bị ghi đè bởi hồ sơ tài khoản).</t>
        </is>
      </c>
      <c r="I69" s="8" t="inlineStr">
        <is>
          <t>Tài khoản: Nguyễn Văn A/0911111111. Người nhận nhập: Trần Thị B/0922222222.</t>
        </is>
      </c>
      <c r="J69" s="8" t="inlineStr">
        <is>
          <t>Hệ thống chấp nhận tên/SĐT người nhận khác hoàn toàn chủ tài khoản, không báo lỗi, không tự động ghi đè bằng thông tin profile.</t>
        </is>
      </c>
      <c r="K69" s="8" t="inlineStr">
        <is>
          <t>Medium</t>
        </is>
      </c>
      <c r="L69" s="9" t="n"/>
      <c r="M69" s="9" t="inlineStr">
        <is>
          <t>Not Run</t>
        </is>
      </c>
      <c r="N69" s="9" t="n"/>
      <c r="O69" s="9" t="n"/>
      <c r="P69" s="8" t="n"/>
      <c r="Q69" s="8" t="n"/>
      <c r="R69" s="8" t="n"/>
    </row>
    <row r="70" hidden="1" ht="69.75" customHeight="1" s="23">
      <c r="A70" s="8" t="inlineStr">
        <is>
          <t>SCR-CRT-04-SC2-TC1</t>
        </is>
      </c>
      <c r="B70" s="8" t="inlineStr">
        <is>
          <t>SCR-CRT-04-SC2</t>
        </is>
      </c>
      <c r="C70" s="8" t="inlineStr">
        <is>
          <t>SCR-CRT-04</t>
        </is>
      </c>
      <c r="D70" s="8" t="inlineStr">
        <is>
          <t>CT-09</t>
        </is>
      </c>
      <c r="E70" s="8" t="inlineStr">
        <is>
          <t>Functional</t>
        </is>
      </c>
      <c r="F70" s="8" t="inlineStr">
        <is>
          <t>Tuỳ chọn thanh toán tiền mặt khi Pickup chỉ hiện với tài khoản Platinum/Diamond</t>
        </is>
      </c>
      <c r="G70" s="8" t="inlineStr">
        <is>
          <t>2 tài khoản test: A (Platinum), B (không có tier / tier thường).</t>
        </is>
      </c>
      <c r="H70" s="8" t="inlineStr">
        <is>
          <t>1. Đăng nhập tài khoản A (Platinum), vào Cart tab Pickup, xem danh sách phương thức thanh toán tại cửa hàng.
2. Đăng xuất, đăng nhập tài khoản B, lặp lại bước 1.</t>
        </is>
      </c>
      <c r="I70" s="8" t="inlineStr">
        <is>
          <t>Tài khoản A: tier Platinum. Tài khoản B: không có tier đặc biệt.</t>
        </is>
      </c>
      <c r="J70" s="8" t="inlineStr">
        <is>
          <t>Với tài khoản A: tuỳ chọn 'Thanh toán tiền mặt' hiển thị và chọn được. Với tài khoản B: tuỳ chọn này KHÔNG xuất hiện trong danh sách (ẩn hoàn toàn, không phải bị mờ/disabled).</t>
        </is>
      </c>
      <c r="K70" s="8" t="inlineStr">
        <is>
          <t>High</t>
        </is>
      </c>
      <c r="L70" s="9" t="n"/>
      <c r="M70" s="9" t="inlineStr">
        <is>
          <t>Not Run</t>
        </is>
      </c>
      <c r="N70" s="9" t="n"/>
      <c r="O70" s="9" t="n"/>
      <c r="P70" s="8" t="n"/>
      <c r="Q70" s="8" t="n"/>
      <c r="R70" s="8" t="n"/>
    </row>
    <row r="71" hidden="1" ht="69.75" customHeight="1" s="23">
      <c r="A71" s="25" t="inlineStr">
        <is>
          <t>SCR-CRT-04-SC3-TC1</t>
        </is>
      </c>
      <c r="B71" s="25" t="inlineStr">
        <is>
          <t>SCR-CRT-04-SC3</t>
        </is>
      </c>
      <c r="C71" s="25" t="inlineStr">
        <is>
          <t>SCR-CRT-04</t>
        </is>
      </c>
      <c r="D71" s="25" t="inlineStr">
        <is>
          <t>CT-10</t>
        </is>
      </c>
      <c r="E71" s="25" t="inlineStr">
        <is>
          <t>Functional</t>
        </is>
      </c>
      <c r="F71" s="25" t="inlineStr">
        <is>
          <t>Phân biệt đúng thông tin hiển thị giữa locker gần nhà (Delivery) và locker tại store (Pickup)</t>
        </is>
      </c>
      <c r="G71" s="25" t="inlineStr">
        <is>
          <t>Đang ở Cart, giỏ hàng đủ điều kiện cả 2 nhánh Delivery và Pickup.</t>
        </is>
      </c>
      <c r="H71" s="25" t="inlineStr">
        <is>
          <t>1. Ở tab Delivery, chọn tuỳ chọn locker gần nhà. Ghi nhận các thông tin hiển thị.
2. Chuyển sang tab Pickup, chọn tuỳ chọn locker tại store. Ghi nhận các thông tin hiển thị.
3. So sánh 2 bộ thông tin.</t>
        </is>
      </c>
      <c r="I71" s="25" t="inlineStr">
        <is>
          <t>N/A (kiểm tra nội dung hiển thị, chưa có dữ liệu vận hành locker chính thức).</t>
        </is>
      </c>
      <c r="J71" s="25" t="inlineStr">
        <is>
          <t>Locker gần nhà (bước 1) hiện: thời gian dự kiến nhận, tên/địa chỉ locker gần địa chỉ khách. Locker tại store (bước 2) hiện: thời gian dự kiến, vị trí locker trong store. 2 bộ thông tin không thể lẫn/giống hệt nhau.</t>
        </is>
      </c>
      <c r="K71" s="25" t="inlineStr">
        <is>
          <t>Low</t>
        </is>
      </c>
      <c r="L71" s="9" t="n"/>
      <c r="M71" s="9" t="inlineStr">
        <is>
          <t>Not Run</t>
        </is>
      </c>
      <c r="N71" s="9" t="n"/>
      <c r="O71" s="9" t="n"/>
      <c r="P71" s="25" t="inlineStr">
        <is>
          <t>QnA-23, QnA-31</t>
        </is>
      </c>
      <c r="Q71" s="25" t="inlineStr">
        <is>
          <t>Quy tắc vận hành đầy đủ (giá, thời gian giữ, no-show) còn chờ OQ-23/QnA-23; cần xác nhận thêm QnA-31 trước khi coi đây là test case chính thức cho release đầu tiên.</t>
        </is>
      </c>
      <c r="R71" s="8" t="n"/>
    </row>
    <row r="72" hidden="1" ht="69.75" customHeight="1" s="23">
      <c r="A72" s="8" t="inlineStr">
        <is>
          <t>SCR-CRT-04-SC4-TC1</t>
        </is>
      </c>
      <c r="B72" s="8" t="inlineStr">
        <is>
          <t>SCR-CRT-04-SC4</t>
        </is>
      </c>
      <c r="C72" s="8" t="inlineStr">
        <is>
          <t>SCR-CRT-04</t>
        </is>
      </c>
      <c r="D72" s="8" t="inlineStr">
        <is>
          <t>CT-09</t>
        </is>
      </c>
      <c r="E72" s="8" t="inlineStr">
        <is>
          <t>Boundary</t>
        </is>
      </c>
      <c r="F72" s="8" t="inlineStr">
        <is>
          <t>3 trạng thái slot Pickup (Open/Closing soon/Closed) hiển thị đúng theo capacity (BRL-28)</t>
        </is>
      </c>
      <c r="G72" s="8" t="inlineStr">
        <is>
          <t>Đang ở tab Pickup trong Cart, mở màn chọn slot.</t>
        </is>
      </c>
      <c r="H72" s="8" t="inlineStr">
        <is>
          <t>1. Quan sát Slot A (còn nhiều chỗ) - xác nhận trạng thái Open, chọn được.
2. Quan sát Slot B (còn lại = ngưỡng cảnh báo) - xác nhận trạng thái Closing soon kèm cảnh báo, VẪN chọn được.
3. Quan sát Slot C (hết chỗ) - xác nhận trạng thái Closed, KHÔNG chọn được (disabled).
4. Thử chạm vào Slot C, xác nhận không có phản ứng chọn nào xảy ra.</t>
        </is>
      </c>
      <c r="I72" s="8" t="inlineStr">
        <is>
          <t>Slot A: còn 5/5 chỗ. Slot B: còn 1/5 chỗ (bằng ngưỡng cảnh báo). Slot C: còn 0/5 chỗ.</t>
        </is>
      </c>
      <c r="J72" s="8" t="inlineStr">
        <is>
          <t>3 trạng thái Open/Closing soon/Closed hiển thị đúng theo đúng slot, loại trừ lẫn nhau; Slot C không chọn được; ngưỡng cảnh báo của Closing soon khớp với ngưỡng đã cấu hình (tương tự BRL-20 bên Delivery).</t>
        </is>
      </c>
      <c r="K72" s="8" t="inlineStr">
        <is>
          <t>High</t>
        </is>
      </c>
      <c r="L72" s="9" t="n"/>
      <c r="M72" s="9" t="inlineStr">
        <is>
          <t>Not Run</t>
        </is>
      </c>
      <c r="N72" s="9" t="n"/>
      <c r="O72" s="9" t="n"/>
      <c r="P72" s="8" t="n"/>
      <c r="Q72" s="8" t="inlineStr">
        <is>
          <t>Bổ sung theo Review 26/08/2026 - đóng gap 'thiếu test trạng thái slot Pickup theo BRL-28' trong Review - Gaps &amp; Issues.</t>
        </is>
      </c>
      <c r="R72" s="8" t="n"/>
    </row>
    <row r="73" hidden="1" ht="69.75" customHeight="1" s="23">
      <c r="A73" s="8" t="inlineStr">
        <is>
          <t>SCR-CRT-05-SC1-TC1</t>
        </is>
      </c>
      <c r="B73" s="8" t="inlineStr">
        <is>
          <t>SCR-CRT-05-SC1</t>
        </is>
      </c>
      <c r="C73" s="8" t="inlineStr">
        <is>
          <t>SCR-CRT-05</t>
        </is>
      </c>
      <c r="D73" s="8" t="inlineStr">
        <is>
          <t>CT-05</t>
        </is>
      </c>
      <c r="E73" s="8" t="inlineStr">
        <is>
          <t>Functional</t>
        </is>
      </c>
      <c r="F73" s="8" t="inlineStr">
        <is>
          <t>Vuốt trái xoá sản phẩm phải qua dialog xác nhận, chỉ Confirm mới xoá thật</t>
        </is>
      </c>
      <c r="G73" s="8" t="inlineStr">
        <is>
          <t>Giỏ hàng có sản phẩm SKU-A.</t>
        </is>
      </c>
      <c r="H73" s="8" t="inlineStr">
        <is>
          <t>1. Vuốt trái dòng SKU-A, bấm nút Xoá xuất hiện.
2. Quan sát dialog xác nhận hiện ra.
3. Bấm 'Không'/No, kiểm tra SKU-A còn nguyên trong giỏ.
4. Lặp lại bước 1-2, lần này bấm 'Đồng ý'/Confirm.
5. Kiểm tra SKU-A đã bị xoá.</t>
        </is>
      </c>
      <c r="I73" s="8" t="inlineStr">
        <is>
          <t>SKU-A: bất kỳ sản phẩm trong giỏ.</t>
        </is>
      </c>
      <c r="J73" s="8" t="inlineStr">
        <is>
          <t>Bước 2: dialog đúng nội dung 'Bạn chắc chắn muốn xoá sản phẩm này?' với 2 nút No/Confirm. Bước 3: bấm No thì SKU-A KHÔNG bị xoá. Bước 5: bấm Confirm thì SKU-A bị xoá khỏi giỏ.</t>
        </is>
      </c>
      <c r="K73" s="8" t="inlineStr">
        <is>
          <t>High</t>
        </is>
      </c>
      <c r="L73" s="9" t="n"/>
      <c r="M73" s="9" t="inlineStr">
        <is>
          <t>Not Run</t>
        </is>
      </c>
      <c r="N73" s="9" t="n"/>
      <c r="O73" s="9" t="n"/>
      <c r="P73" s="8" t="n"/>
      <c r="Q73" s="8" t="n"/>
      <c r="R73" s="8" t="n"/>
    </row>
    <row r="74" hidden="1" ht="69.75" customHeight="1" s="23">
      <c r="A74" s="8" t="inlineStr">
        <is>
          <t>SCR-CRT-05-SC2-TC1</t>
        </is>
      </c>
      <c r="B74" s="8" t="inlineStr">
        <is>
          <t>SCR-CRT-05-SC2</t>
        </is>
      </c>
      <c r="C74" s="8" t="inlineStr">
        <is>
          <t>SCR-CRT-05</t>
        </is>
      </c>
      <c r="D74" s="8" t="inlineStr">
        <is>
          <t>CT-05</t>
        </is>
      </c>
      <c r="E74" s="8" t="inlineStr">
        <is>
          <t>Functional</t>
        </is>
      </c>
      <c r="F74" s="8" t="inlineStr">
        <is>
          <t>Giảm số lượng về 0 kích hoạt dialog xác nhận giống swipe; No thì khôi phục về 1</t>
        </is>
      </c>
      <c r="G74" s="8" t="inlineStr">
        <is>
          <t>SKU-B trong giỏ đang có số lượng = 1.</t>
        </is>
      </c>
      <c r="H74" s="8" t="inlineStr">
        <is>
          <t>1. Bấm nút giảm số lượng của SKU-B từ 1 xuống 0.
2. Quan sát dialog xác nhận xuất hiện (giống hệt nội dung ở SC1).
3. Bấm 'Không'/No.
4. Kiểm tra số lượng SKU-B.</t>
        </is>
      </c>
      <c r="I74" s="8" t="inlineStr">
        <is>
          <t>SKU-B: số lượng ban đầu = 1.</t>
        </is>
      </c>
      <c r="J74" s="8" t="inlineStr">
        <is>
          <t>Bước 2: dialog giống hệt trường hợp vuốt trái (cùng wording, cùng No/Confirm). Bước 4: sau khi bấm No, số lượng SKU-B được KHÔI PHỤC về 1 (không giữ ở 0 và cũng không bị xoá dòng).</t>
        </is>
      </c>
      <c r="K74" s="8" t="inlineStr">
        <is>
          <t>High</t>
        </is>
      </c>
      <c r="L74" s="9" t="n"/>
      <c r="M74" s="9" t="inlineStr">
        <is>
          <t>Not Run</t>
        </is>
      </c>
      <c r="N74" s="9" t="n"/>
      <c r="O74" s="9" t="n"/>
      <c r="P74" s="8" t="n"/>
      <c r="Q74" s="8" t="n"/>
      <c r="R74" s="8" t="n"/>
    </row>
    <row r="75" hidden="1" ht="69.75" customHeight="1" s="23">
      <c r="A75" s="8" t="inlineStr">
        <is>
          <t>SCR-CRT-05-SC3-TC1</t>
        </is>
      </c>
      <c r="B75" s="8" t="inlineStr">
        <is>
          <t>SCR-CRT-05-SC3</t>
        </is>
      </c>
      <c r="C75" s="8" t="inlineStr">
        <is>
          <t>SCR-CRT-05</t>
        </is>
      </c>
      <c r="D75" s="8" t="inlineStr">
        <is>
          <t>CT-05</t>
        </is>
      </c>
      <c r="E75" s="8" t="inlineStr">
        <is>
          <t>Boundary</t>
        </is>
      </c>
      <c r="F75" s="8" t="inlineStr">
        <is>
          <t>Chọn 31 sản phẩm (vượt giới hạn 30) bị chặn Proceed to Checkout kèm thông báo lỗi</t>
        </is>
      </c>
      <c r="G75" s="8" t="inlineStr">
        <is>
          <t>Giỏ hàng có sẵn 35 sản phẩm có thể chọn (dùng dữ liệu test 35 SKU).</t>
        </is>
      </c>
      <c r="H75" s="8" t="inlineStr">
        <is>
          <t>1. Bấm 'Chọn tất cả (35 mặt hàng)'.
2. Quan sát thông báo lỗi và bộ đếm số lượng/giới hạn.
3. Thử bấm 'Thanh toán'.
4. Bỏ chọn bớt cho đến khi còn đúng 30 sản phẩm.
5. Bấm lại 'Thanh toán'.</t>
        </is>
      </c>
      <c r="I75" s="8" t="inlineStr">
        <is>
          <t>35 SKU test có sẵn trong giỏ hàng.</t>
        </is>
      </c>
      <c r="J75" s="8" t="inlineStr">
        <is>
          <t>Bước 2: hiện lỗi 'Giỏ hàng đã vượt quá giới hạn tối đa 30 sản phẩm cho 1 đơn hàng.'; bộ đếm hiện '35/30' (hoặc tương đương). Bước 3: nút Thanh toán không thực thi được (disabled/chặn). Bước 5: sau khi còn &lt;=30, Thanh toán thực hiện được bình thường.</t>
        </is>
      </c>
      <c r="K75" s="8" t="inlineStr">
        <is>
          <t>High</t>
        </is>
      </c>
      <c r="L75" s="9" t="n"/>
      <c r="M75" s="9" t="inlineStr">
        <is>
          <t>Not Run</t>
        </is>
      </c>
      <c r="N75" s="9" t="n"/>
      <c r="O75" s="9" t="n"/>
      <c r="P75" s="8" t="n"/>
      <c r="Q75" s="8" t="n"/>
      <c r="R75" s="10" t="inlineStr">
        <is>
          <t>[Review trước đó — ĐÃ ĐƯỢC XỬ LÝ] Gap 'thiếu test đúng 30 sản phẩm' đã được bổ sung bằng test case mới SCR-CRT-05-SC3-TC2 (thêm theo Review 25/08/2026). Không cần sửa gì thêm ở TC1 này.</t>
        </is>
      </c>
    </row>
    <row r="76" hidden="1" ht="69.75" customHeight="1" s="23">
      <c r="A76" s="8" t="inlineStr">
        <is>
          <t>SCR-CRT-05-SC3-TC2</t>
        </is>
      </c>
      <c r="B76" s="8" t="inlineStr">
        <is>
          <t>SCR-CRT-05-SC3</t>
        </is>
      </c>
      <c r="C76" s="8" t="inlineStr">
        <is>
          <t>SCR-CRT-05</t>
        </is>
      </c>
      <c r="D76" s="8" t="inlineStr">
        <is>
          <t>CT-05, BRL-31</t>
        </is>
      </c>
      <c r="E76" s="8" t="inlineStr">
        <is>
          <t>Boundary</t>
        </is>
      </c>
      <c r="F76" s="8" t="inlineStr">
        <is>
          <t>Giỏ hàng đúng 30 sản phẩm (không hơn không kém) vẫn thanh toán được bình thường</t>
        </is>
      </c>
      <c r="G76" s="8" t="inlineStr">
        <is>
          <t>Giỏ hàng đang có đúng 30 sản phẩm hợp lệ.</t>
        </is>
      </c>
      <c r="H76" s="8" t="inlineStr">
        <is>
          <t>1. Mở Giỏ hàng đang có đúng 30 sản phẩm.
2. Quan sát bộ đếm số lượng/giới hạn.
3. Bấm 'Thanh toán'.</t>
        </is>
      </c>
      <c r="I76" s="8" t="inlineStr">
        <is>
          <t>Giỏ hàng: đúng 30 SKU (không hơn, không kém).</t>
        </is>
      </c>
      <c r="J76" s="8" t="inlineStr">
        <is>
          <t>Bước 2: bộ đếm hiển thị '30/30' (hoặc tương đương), KHÔNG hiện lỗi vượt giới hạn. Bước 3: nút Thanh toán bấm được bình thường (không bị disable/chặn), chuyển sang màn Checkout đúng như trường hợp dưới 30 sản phẩm.</t>
        </is>
      </c>
      <c r="K76" s="8" t="inlineStr">
        <is>
          <t>Low</t>
        </is>
      </c>
      <c r="L76" s="9" t="n"/>
      <c r="M76" s="9" t="inlineStr">
        <is>
          <t>Not Run</t>
        </is>
      </c>
      <c r="N76" s="9" t="n"/>
      <c r="O76" s="9" t="n"/>
      <c r="P76" s="8" t="n"/>
      <c r="Q76" s="8" t="inlineStr">
        <is>
          <t>Bổ sung theo Review 25/08/2026 - bổ sung mốc "đúng 30" còn thiếu, đi cùng SCR-CRT-05-SC3-TC1 (31 SP vượt giới hạn) và SCR-CRT-05-SC2 (giảm dưới 30).</t>
        </is>
      </c>
      <c r="R76" s="8" t="n"/>
    </row>
    <row r="77" hidden="1" ht="69.75" customHeight="1" s="23">
      <c r="A77" s="8" t="inlineStr">
        <is>
          <t>SCR-CRT-06-SC1-TC1</t>
        </is>
      </c>
      <c r="B77" s="8" t="inlineStr">
        <is>
          <t>SCR-CRT-06-SC1</t>
        </is>
      </c>
      <c r="C77" s="8" t="inlineStr">
        <is>
          <t>SCR-CRT-06</t>
        </is>
      </c>
      <c r="D77" s="8" t="inlineStr">
        <is>
          <t>CT-07</t>
        </is>
      </c>
      <c r="E77" s="8" t="inlineStr">
        <is>
          <t>Functional</t>
        </is>
      </c>
      <c r="F77" s="8" t="inlineStr">
        <is>
          <t>Đổi store không ảnh hưởng gì thì áp dụng ngay, không hiện dialog cảnh báo</t>
        </is>
      </c>
      <c r="G77" s="8" t="inlineStr">
        <is>
          <t>Chọn store B đảm bảo không SKU nào đổi giá/hết hàng và dịch vụ/slot vẫn giữ nguyên hợp lệ.</t>
        </is>
      </c>
      <c r="H77" s="8" t="inlineStr">
        <is>
          <t>1. Mở sheet đổi store trong Cart (danh sách đã lọc theo địa chỉ).
2. Chọn store B (không gây ảnh hưởng).
3. Quan sát có dialog cảnh báo xuất hiện hay không.
4. Kiểm tra giỏ hàng sau khi đổi.</t>
        </is>
      </c>
      <c r="I77" s="8" t="inlineStr">
        <is>
          <t>Store B: không gây thay đổi giá/tồn kho/dịch vụ/slot cho giỏ hàng hiện tại.</t>
        </is>
      </c>
      <c r="J77" s="8" t="inlineStr">
        <is>
          <t>Store đổi NGAY, không có dialog xác nhận nào xuất hiện; toàn bộ sản phẩm/dịch vụ/slot giữ nguyên.</t>
        </is>
      </c>
      <c r="K77" s="8" t="inlineStr">
        <is>
          <t>Medium</t>
        </is>
      </c>
      <c r="L77" s="9" t="n"/>
      <c r="M77" s="9" t="inlineStr">
        <is>
          <t>Not Run</t>
        </is>
      </c>
      <c r="N77" s="9" t="n"/>
      <c r="O77" s="9" t="n"/>
      <c r="P77" s="8" t="n"/>
      <c r="Q77" s="8" t="n"/>
      <c r="R77" s="8" t="n"/>
    </row>
    <row r="78" hidden="1" ht="69.75" customHeight="1" s="23">
      <c r="A78" s="25" t="inlineStr">
        <is>
          <t>SCR-CRT-06-SC2-TC1</t>
        </is>
      </c>
      <c r="B78" s="25" t="inlineStr">
        <is>
          <t>SCR-CRT-06-SC2</t>
        </is>
      </c>
      <c r="C78" s="25" t="inlineStr">
        <is>
          <t>SCR-CRT-06</t>
        </is>
      </c>
      <c r="D78" s="25" t="inlineStr">
        <is>
          <t>CT-07</t>
        </is>
      </c>
      <c r="E78" s="25" t="inlineStr">
        <is>
          <t>Edge</t>
        </is>
      </c>
      <c r="F78" s="25" t="inlineStr">
        <is>
          <t>Đổi store gây ảnh hưởng cả sản phẩm lẫn dịch vụ/slot hiện 1 cảnh báo gộp, Continue áp dụng đầy đủ thay đổi</t>
        </is>
      </c>
      <c r="G78" s="25" t="inlineStr">
        <is>
          <t>Chọn store C: 1 SKU hết hàng tại C, 1 SKU đổi giá tại C, dịch vụ 60-Minute không còn khả dụng tại C.</t>
        </is>
      </c>
      <c r="H78" s="25" t="inlineStr">
        <is>
          <t>1. Mở sheet đổi store, chọn store C.
2. Quan sát dialog cảnh báo - đếm số nhóm ảnh hưởng được liệt kê.
3. Bấm Continue.
4. Kiểm tra giỏ hàng: SKU hết hàng, SKU đổi giá, dịch vụ/slot mới.</t>
        </is>
      </c>
      <c r="I78" s="25" t="inlineStr">
        <is>
          <t>Store C gây ảnh hưởng đồng thời 2 nhóm: sản phẩm (1 hết hàng + 1 đổi giá) và dịch vụ/slot (mất 60-Minute).</t>
        </is>
      </c>
      <c r="J78" s="25" t="inlineStr">
        <is>
          <t>Bước 2: CHỈ 1 dialog duy nhất, liệt kê cả 2 nhóm ảnh hưởng (không tách 2 dialog riêng). Bước 4: SKU hết hàng chuyển nhóm riêng, SKU đổi giá cập nhật giá mới của store C, dịch vụ/slot được gợi ý lại theo BRL-25...27.</t>
        </is>
      </c>
      <c r="K78" s="25" t="inlineStr">
        <is>
          <t>High</t>
        </is>
      </c>
      <c r="L78" s="9" t="n"/>
      <c r="M78" s="9" t="inlineStr">
        <is>
          <t>Not Run</t>
        </is>
      </c>
      <c r="N78" s="9" t="n"/>
      <c r="O78" s="9" t="n"/>
      <c r="P78" s="25" t="inlineStr">
        <is>
          <t>QnA-25</t>
        </is>
      </c>
      <c r="Q78" s="25" t="inlineStr">
        <is>
          <t>Bố cục UI chi tiết của cảnh báo gộp vẫn chờ xác nhận (OQ-25/QnA-25) - test này xác minh HÀNH VI logic, không xác minh bố cục UI cuối cùng.</t>
        </is>
      </c>
      <c r="R78" s="8" t="n"/>
    </row>
    <row r="79" hidden="1" ht="69.75" customHeight="1" s="23">
      <c r="A79" s="8" t="inlineStr">
        <is>
          <t>SCR-CRT-06-SC3-TC1</t>
        </is>
      </c>
      <c r="B79" s="8" t="inlineStr">
        <is>
          <t>SCR-CRT-06-SC3</t>
        </is>
      </c>
      <c r="C79" s="8" t="inlineStr">
        <is>
          <t>SCR-CRT-06</t>
        </is>
      </c>
      <c r="D79" s="8" t="inlineStr">
        <is>
          <t>CT-07</t>
        </is>
      </c>
      <c r="E79" s="8" t="inlineStr">
        <is>
          <t>Negative</t>
        </is>
      </c>
      <c r="F79" s="8" t="inlineStr">
        <is>
          <t>Bấm Cancel trên cảnh báo đổi store giữ nguyên 100% trạng thái giỏ hàng cũ</t>
        </is>
      </c>
      <c r="G79" s="8" t="inlineStr">
        <is>
          <t>Đã mở dialog cảnh báo gộp như SC2 (chưa bấm Continue).</t>
        </is>
      </c>
      <c r="H79" s="8" t="inlineStr">
        <is>
          <t>1. Từ dialog cảnh báo đổi store C, bấm 'Cancel'.
2. Kiểm tra store hiện tại (phải là store cũ).
3. Kiểm tra toàn bộ sản phẩm/dịch vụ/slot trong giỏ hàng.</t>
        </is>
      </c>
      <c r="I79" s="8" t="inlineStr">
        <is>
          <t>Trạng thái giỏ hàng trước khi mở dialog: ghi nhận làm baseline để so sánh.</t>
        </is>
      </c>
      <c r="J79" s="8" t="inlineStr">
        <is>
          <t>Store vẫn là store CŨ (không đổi); toàn bộ sản phẩm, giá, dịch vụ, slot GIỐNG HỆT trước khi mở dialog - không có thay đổi từng phần nào được áp dụng.</t>
        </is>
      </c>
      <c r="K79" s="8" t="inlineStr">
        <is>
          <t>High</t>
        </is>
      </c>
      <c r="L79" s="9" t="n"/>
      <c r="M79" s="9" t="inlineStr">
        <is>
          <t>Not Run</t>
        </is>
      </c>
      <c r="N79" s="9" t="n"/>
      <c r="O79" s="9" t="n"/>
      <c r="P79" s="8" t="n"/>
      <c r="Q79" s="8" t="n"/>
      <c r="R79" s="8" t="n"/>
    </row>
    <row r="80" hidden="1" ht="69.75" customHeight="1" s="23">
      <c r="A80" s="8" t="inlineStr">
        <is>
          <t>SCR-CRT-07-SC1-TC1</t>
        </is>
      </c>
      <c r="B80" s="8" t="inlineStr">
        <is>
          <t>SCR-CRT-07-SC1</t>
        </is>
      </c>
      <c r="C80" s="8" t="inlineStr">
        <is>
          <t>SCR-CRT-07</t>
        </is>
      </c>
      <c r="D80" s="8" t="inlineStr">
        <is>
          <t>CT-08</t>
        </is>
      </c>
      <c r="E80" s="8" t="inlineStr">
        <is>
          <t>Functional</t>
        </is>
      </c>
      <c r="F80" s="8" t="inlineStr">
        <is>
          <t>Gợi ý slot theo đúng thứ tự ưu tiên khi khách chưa từng chủ động đổi slot</t>
        </is>
      </c>
      <c r="G80" s="8" t="inlineStr">
        <is>
          <t>Khách vào thẳng Cart từ Homepage, chưa từng bấm đổi slot trên Homepage.</t>
        </is>
      </c>
      <c r="H80" s="8" t="inlineStr">
        <is>
          <t>1. Mở sheet chọn slot giao hàng.
2. Ghi nhận slot đầu tiên được gợi ý / tô sáng.
3. Kiểm tra các nhãn của từng slot (sớm nhất/quen thuộc/tích điểm).</t>
        </is>
      </c>
      <c r="I80" s="8" t="inlineStr">
        <is>
          <t>Lịch sử đơn hàng test: có dữ liệu để xác định 1 slot 'quen thuộc' khác slot sớm nhất.</t>
        </is>
      </c>
      <c r="J80" s="8" t="inlineStr">
        <is>
          <t>Slot gợi ý đầu tiên = slot SỚM NHẤT tại store (BRL-25); thứ tự hiển thị các slot theo: quen thuộc &gt; sớm nhất &gt; tích điểm (BRL-27).</t>
        </is>
      </c>
      <c r="K80" s="8" t="inlineStr">
        <is>
          <t>Medium</t>
        </is>
      </c>
      <c r="L80" s="9" t="n"/>
      <c r="M80" s="9" t="inlineStr">
        <is>
          <t>Not Run</t>
        </is>
      </c>
      <c r="N80" s="9" t="n"/>
      <c r="O80" s="9" t="n"/>
      <c r="P80" s="8" t="n"/>
      <c r="Q80" s="8" t="n"/>
      <c r="R80" s="8" t="n"/>
    </row>
    <row r="81" hidden="1" ht="69.75" customHeight="1" s="23">
      <c r="A81" s="8" t="inlineStr">
        <is>
          <t>SCR-CRT-07-SC2-TC1</t>
        </is>
      </c>
      <c r="B81" s="8" t="inlineStr">
        <is>
          <t>SCR-CRT-07-SC2</t>
        </is>
      </c>
      <c r="C81" s="8" t="inlineStr">
        <is>
          <t>SCR-CRT-07</t>
        </is>
      </c>
      <c r="D81" s="8" t="inlineStr">
        <is>
          <t>CT-08</t>
        </is>
      </c>
      <c r="E81" s="8" t="inlineStr">
        <is>
          <t>Functional</t>
        </is>
      </c>
      <c r="F81" s="8" t="inlineStr">
        <is>
          <t>Sau khi đã chủ động đổi slot ở Homepage, slot quen thuộc được gợi ý trước slot sớm nhất</t>
        </is>
      </c>
      <c r="G81" s="8" t="inlineStr">
        <is>
          <t>Trên Homepage, khách đã chủ động chọn 1 slot khác slot mặc định, sau đó vào Cart.</t>
        </is>
      </c>
      <c r="H81" s="8" t="inlineStr">
        <is>
          <t>1. Trên Homepage, chủ động đổi sang 1 slot khác slot gợi ý mặc định.
2. Vào Cart, mở sheet chọn slot.
3. Ghi nhận slot được gợi ý/tô sáng đầu tiên.</t>
        </is>
      </c>
      <c r="I81" s="8" t="inlineStr">
        <is>
          <t>Lịch sử 2 tháng gần nhất của tài khoản test có 1 slot chiếm tỷ lệ lớn nhất (slot 'quen thuộc').</t>
        </is>
      </c>
      <c r="J81" s="8" t="inlineStr">
        <is>
          <t>Slot 'quen thuộc' được gợi ý ở VỊ TRÍ ĐẦU (khác với kịch bản chưa đổi slot ở SC1, lúc đó slot sớm nhất được ưu tiên trước).</t>
        </is>
      </c>
      <c r="K81" s="8" t="inlineStr">
        <is>
          <t>Medium</t>
        </is>
      </c>
      <c r="L81" s="9" t="n"/>
      <c r="M81" s="9" t="inlineStr">
        <is>
          <t>Not Run</t>
        </is>
      </c>
      <c r="N81" s="9" t="n"/>
      <c r="O81" s="9" t="n"/>
      <c r="P81" s="8" t="n"/>
      <c r="Q81" s="8" t="n"/>
      <c r="R81" s="8" t="n"/>
    </row>
    <row r="82" hidden="1" ht="69.75" customHeight="1" s="23">
      <c r="A82" s="8" t="inlineStr">
        <is>
          <t>SCR-CHK-01-SC1-TC1</t>
        </is>
      </c>
      <c r="B82" s="8" t="inlineStr">
        <is>
          <t>SCR-CHK-01-SC1</t>
        </is>
      </c>
      <c r="C82" s="8" t="inlineStr">
        <is>
          <t>SCR-CHK-01</t>
        </is>
      </c>
      <c r="D82" s="8" t="inlineStr">
        <is>
          <t>CO-01, CT-11</t>
        </is>
      </c>
      <c r="E82" s="8" t="inlineStr">
        <is>
          <t>Functional</t>
        </is>
      </c>
      <c r="F82" s="8" t="inlineStr">
        <is>
          <t>Chạm vào khối giao hàng/sản phẩm khoá đưa về lại Cart, giữ nguyên lựa chọn</t>
        </is>
      </c>
      <c r="G82" s="8" t="inlineStr">
        <is>
          <t>Đang ở SCR-CHK-01 với đơn hàng có địa chỉ, store, slot, và 3 sản phẩm đã chọn.</t>
        </is>
      </c>
      <c r="H82" s="8" t="inlineStr">
        <is>
          <t>1. Chạm vào khối thông tin địa chỉ/store/slot (đang khoá).
2. Quan sát thông báo/điều hướng.
3. Nếu được đưa về Cart, kiểm tra 3 sản phẩm và các lựa chọn trước đó còn nguyên.
4. Lặp lại với danh sách sản phẩm (chạm vào 1 dòng sản phẩm).</t>
        </is>
      </c>
      <c r="I82" s="8" t="inlineStr">
        <is>
          <t>Đơn hàng mẫu: địa chỉ X, store Y, slot Z, 3 SKU đã chọn.</t>
        </is>
      </c>
      <c r="J82" s="8" t="inlineStr">
        <is>
          <t>Cả 2 trường hợp (bước 1 và 4): không sửa được tại chỗ, hệ thống giải thích quy tắc và đưa về Cart; quay lại Cart thì địa chỉ/store/slot/3 SKU vẫn y nguyên như trước khi vào Checkout.</t>
        </is>
      </c>
      <c r="K82" s="8" t="inlineStr">
        <is>
          <t>High</t>
        </is>
      </c>
      <c r="L82" s="9" t="n"/>
      <c r="M82" s="9" t="inlineStr">
        <is>
          <t>Not Run</t>
        </is>
      </c>
      <c r="N82" s="9" t="n"/>
      <c r="O82" s="9" t="n"/>
      <c r="P82" s="8" t="n"/>
      <c r="Q82" s="8" t="n"/>
      <c r="R82" s="8" t="n"/>
    </row>
    <row r="83" hidden="1" ht="90" customHeight="1" s="23">
      <c r="A83" s="25" t="inlineStr">
        <is>
          <t>SCR-CHK-01-SC1-TC2</t>
        </is>
      </c>
      <c r="B83" s="25" t="inlineStr">
        <is>
          <t>SCR-CHK-01-SC1</t>
        </is>
      </c>
      <c r="C83" s="25" t="inlineStr">
        <is>
          <t>SCR-CHK-01</t>
        </is>
      </c>
      <c r="D83" s="25" t="inlineStr">
        <is>
          <t>CO-01, CT-11</t>
        </is>
      </c>
      <c r="E83" s="25" t="inlineStr">
        <is>
          <t>Edge</t>
        </is>
      </c>
      <c r="F83" s="25" t="inlineStr">
        <is>
          <t>Giỏ hàng rỗng (0 sản phẩm) không vào được màn Thanh toán</t>
        </is>
      </c>
      <c r="G83" s="25" t="inlineStr">
        <is>
          <t>Giỏ hàng vừa được xoá hết, còn 0 sản phẩm.</t>
        </is>
      </c>
      <c r="H83" s="25" t="inlineStr">
        <is>
          <t>1. Từ Giỏ hàng, xoá hết toàn bộ sản phẩm còn lại.
2. Thử bấm 'Thanh toán' / điều hướng sang Checkout.</t>
        </is>
      </c>
      <c r="I83" s="25" t="inlineStr">
        <is>
          <t>Giỏ hàng: 0 sản phẩm (vừa xoá hết).</t>
        </is>
      </c>
      <c r="J83" s="25" t="inlineStr">
        <is>
          <t>GHI NHẬN hành vi thực tế (nút Thanh toán có bị ẩn/disable không, có vào được màn Checkout không, hay bị giữ lại ở Giỏ hàng kèm thông báo gì) để đối chiếu với câu trả lời chính thức của QnA-38 - KHÔNG assert 1 kết quả cố định trong test case này cho đến khi có xác nhận từ BA.</t>
        </is>
      </c>
      <c r="K83" s="25" t="inlineStr">
        <is>
          <t>Medium</t>
        </is>
      </c>
      <c r="L83" s="9" t="n"/>
      <c r="M83" s="9" t="inlineStr">
        <is>
          <t>Not Run</t>
        </is>
      </c>
      <c r="N83" s="9" t="n"/>
      <c r="O83" s="9" t="n"/>
      <c r="P83" s="25" t="inlineStr">
        <is>
          <t>QnA-38</t>
        </is>
      </c>
      <c r="Q83" s="25" t="inlineStr">
        <is>
          <t>Bổ sung theo Review 25/08/2026.</t>
        </is>
      </c>
      <c r="R83" s="8" t="n"/>
    </row>
    <row r="84" hidden="1" ht="120" customHeight="1" s="23">
      <c r="A84" s="8" t="inlineStr">
        <is>
          <t>SCR-CHK-01-SC2-TC1</t>
        </is>
      </c>
      <c r="B84" s="8" t="inlineStr">
        <is>
          <t>SCR-CHK-01-SC2</t>
        </is>
      </c>
      <c r="C84" s="8" t="inlineStr">
        <is>
          <t>SCR-CHK-01</t>
        </is>
      </c>
      <c r="D84" s="8" t="inlineStr">
        <is>
          <t>CO-01</t>
        </is>
      </c>
      <c r="E84" s="8" t="inlineStr">
        <is>
          <t>Functional</t>
        </is>
      </c>
      <c r="F84" s="8" t="inlineStr">
        <is>
          <t>Toggle Detail/Compact chỉ đổi hiển thị, không đổi nội dung đơn hàng</t>
        </is>
      </c>
      <c r="G84" s="8" t="inlineStr">
        <is>
          <t>Đơn hàng có 12 SKU, đang ở chế độ Detail.</t>
        </is>
      </c>
      <c r="H84" s="8" t="inlineStr">
        <is>
          <t>1. Ghi nhận danh sách 12 SKU ở chế độ Detail (tên, giá, số lượng từng dòng).
2. Bấm toggle sang Compact.
3. Quan sát bố cục lưới.
4. Bấm toggle lại về Detail, đối chiếu với ghi nhận bước 1.</t>
        </is>
      </c>
      <c r="I84" s="8" t="inlineStr">
        <is>
          <t>Đơn hàng mẫu: 12 SKU.</t>
        </is>
      </c>
      <c r="J84" s="8" t="inlineStr">
        <is>
          <t>Bước 3: bố cục chuyển sang dạng lưới gọn (ảnh + số lượng). Bước 4: quay về Detail, dữ liệu 12 SKU (tên/giá/số lượng) giống hệt bước 1 - không mất/đổi dữ liệu nào qua 2 lần toggle.</t>
        </is>
      </c>
      <c r="K84" s="8" t="inlineStr">
        <is>
          <t>Low</t>
        </is>
      </c>
      <c r="L84" s="9" t="n"/>
      <c r="M84" s="9" t="inlineStr">
        <is>
          <t>Not Run</t>
        </is>
      </c>
      <c r="N84" s="9" t="n"/>
      <c r="O84" s="9" t="n"/>
      <c r="P84" s="8" t="n"/>
      <c r="Q84" s="8" t="n"/>
      <c r="R84" s="8" t="n"/>
    </row>
    <row r="85" hidden="1" ht="120" customHeight="1" s="23">
      <c r="A85" s="8" t="inlineStr">
        <is>
          <t>SCR-CHK-01-SC3-TC1</t>
        </is>
      </c>
      <c r="B85" s="8" t="inlineStr">
        <is>
          <t>SCR-CHK-01-SC3</t>
        </is>
      </c>
      <c r="C85" s="8" t="inlineStr">
        <is>
          <t>SCR-CHK-01</t>
        </is>
      </c>
      <c r="D85" s="8" t="inlineStr">
        <is>
          <t>CO-02</t>
        </is>
      </c>
      <c r="E85" s="8" t="inlineStr">
        <is>
          <t>Functional</t>
        </is>
      </c>
      <c r="F85" s="8" t="inlineStr">
        <is>
          <t>Nhập ghi chú đơn hàng và chọn tuỳ chọn xử lý khi hết hàng được lưu đúng</t>
        </is>
      </c>
      <c r="G85" s="8" t="inlineStr">
        <is>
          <t>Đang ở SCR-CHK-01.</t>
        </is>
      </c>
      <c r="H85" s="8" t="inlineStr">
        <is>
          <t>1. Nhập ghi chú 'Giao giờ hành chính, gọi trước 10 phút' vào ô ghi chú đơn hàng.
2. Chọn 1 tuỳ chọn ưu tiên xử lý khi hết hàng (ví dụ 'Gọi điện xác nhận').
3. Tiếp tục sang SCR-CHK-02 rồi quay lại kiểm tra.</t>
        </is>
      </c>
      <c r="I85" s="8" t="inlineStr">
        <is>
          <t>Ghi chú: 'Giao giờ hành chính, gọi trước 10 phút'. Tuỳ chọn hết hàng: 'Gọi điện xác nhận'.</t>
        </is>
      </c>
      <c r="J85" s="8" t="inlineStr">
        <is>
          <t>Cả 2 giá trị được lưu đúng và vẫn còn nguyên khi quay lại màn hình (không bị reset).</t>
        </is>
      </c>
      <c r="K85" s="8" t="inlineStr">
        <is>
          <t>Low</t>
        </is>
      </c>
      <c r="L85" s="9" t="n"/>
      <c r="M85" s="9" t="inlineStr">
        <is>
          <t>Not Run</t>
        </is>
      </c>
      <c r="N85" s="9" t="n"/>
      <c r="O85" s="9" t="n"/>
      <c r="P85" s="8" t="n"/>
      <c r="Q85" s="8" t="n"/>
      <c r="R85" s="8" t="n"/>
    </row>
    <row r="86" hidden="1" ht="120" customHeight="1" s="23">
      <c r="A86" s="25" t="inlineStr">
        <is>
          <t>SCR-CHK-01-SC4-TC1</t>
        </is>
      </c>
      <c r="B86" s="25" t="inlineStr">
        <is>
          <t>SCR-CHK-01-SC4</t>
        </is>
      </c>
      <c r="C86" s="25" t="inlineStr">
        <is>
          <t>SCR-CHK-01</t>
        </is>
      </c>
      <c r="D86" s="25" t="inlineStr">
        <is>
          <t>CO-03</t>
        </is>
      </c>
      <c r="E86" s="25" t="inlineStr">
        <is>
          <t>Functional</t>
        </is>
      </c>
      <c r="F86" s="25" t="inlineStr">
        <is>
          <t>Bật đóng gói carton được ghi nhận vào đơn, phí hiện trong tóm tắt (giá trị TBD)</t>
        </is>
      </c>
      <c r="G86" s="25" t="inlineStr">
        <is>
          <t>Đang ở SCR-CHK-01, tuỳ chọn đóng gói carton đang tắt.</t>
        </is>
      </c>
      <c r="H86" s="25" t="inlineStr">
        <is>
          <t>1. Bật tuỳ chọn 'Đóng gói carton'.
2. Sang SCR-CHK-02, quan sát dòng phí liên quan trong tóm tắt thanh toán (nếu có).
3. Ghi nhận giá trị hiển thị thực tế.</t>
        </is>
      </c>
      <c r="I86" s="25" t="inlineStr">
        <is>
          <t>N/A.</t>
        </is>
      </c>
      <c r="J86" s="25" t="inlineStr">
        <is>
          <t>Tuỳ chọn được ghi nhận là 'có đóng gói'; NẾU có dòng phí riêng thì ghi nhận lại giá trị hiển thị thực tế để đối chiếu với câu trả lời chính thức của OQ-16/QnA-16 sau này - KHÔNG assert 1 con số cố định trong test case này.</t>
        </is>
      </c>
      <c r="K86" s="25" t="inlineStr">
        <is>
          <t>Medium</t>
        </is>
      </c>
      <c r="L86" s="9" t="n"/>
      <c r="M86" s="9" t="inlineStr">
        <is>
          <t>Not Run</t>
        </is>
      </c>
      <c r="N86" s="9" t="n"/>
      <c r="O86" s="9" t="n"/>
      <c r="P86" s="25" t="inlineStr">
        <is>
          <t>QnA-16</t>
        </is>
      </c>
      <c r="Q86" s="25" t="inlineStr">
        <is>
          <t>Cập nhật lại Expected Result với số tiền chính xác ngay khi OQ-16/QnA-16 được LOTTE MART xác nhận.</t>
        </is>
      </c>
      <c r="R86" s="8" t="n"/>
    </row>
    <row r="87" hidden="1" ht="135" customHeight="1" s="23">
      <c r="A87" s="8" t="inlineStr">
        <is>
          <t>SCR-CHK-02-SC1-TC1</t>
        </is>
      </c>
      <c r="B87" s="8" t="inlineStr">
        <is>
          <t>SCR-CHK-02-SC1</t>
        </is>
      </c>
      <c r="C87" s="8" t="inlineStr">
        <is>
          <t>SCR-CHK-02</t>
        </is>
      </c>
      <c r="D87" s="8" t="inlineStr">
        <is>
          <t>CO-04</t>
        </is>
      </c>
      <c r="E87" s="8" t="inlineStr">
        <is>
          <t>Functional</t>
        </is>
      </c>
      <c r="F87" s="8" t="inlineStr">
        <is>
          <t>Nhập mã GotIt/gift card hợp lệ trừ đúng vào tổng tiền</t>
        </is>
      </c>
      <c r="G87" s="8" t="inlineStr">
        <is>
          <t>Đơn hàng tổng 500.000đ, chưa áp dụng gift card.</t>
        </is>
      </c>
      <c r="H87" s="8" t="inlineStr">
        <is>
          <t>1. Nhập mã gift card hợp lệ trị giá 50.000đ.
2. Bấm áp dụng.
3. Quan sát dòng gift card và tổng tiền phải trả trong tóm tắt.</t>
        </is>
      </c>
      <c r="I87" s="8" t="inlineStr">
        <is>
          <t>Mã gift card test: GIFT50K, trị giá 50.000đ.</t>
        </is>
      </c>
      <c r="J87" s="8" t="inlineStr">
        <is>
          <t>Dòng 'Thẻ quà tặng/GotIt' hiện -50.000đ; tổng tiền phải trả giảm đúng 50.000đ so với trước khi áp dụng.</t>
        </is>
      </c>
      <c r="K87" s="8" t="inlineStr">
        <is>
          <t>Medium</t>
        </is>
      </c>
      <c r="L87" s="9" t="n"/>
      <c r="M87" s="9" t="inlineStr">
        <is>
          <t>Not Run</t>
        </is>
      </c>
      <c r="N87" s="9" t="n"/>
      <c r="O87" s="9" t="n"/>
      <c r="P87" s="8" t="n"/>
      <c r="Q87" s="8" t="n"/>
      <c r="R87" s="8" t="n"/>
    </row>
    <row r="88" hidden="1" ht="105" customHeight="1" s="23">
      <c r="A88" s="25" t="inlineStr">
        <is>
          <t>SCR-CHK-02-SC2-TC1</t>
        </is>
      </c>
      <c r="B88" s="25" t="inlineStr">
        <is>
          <t>SCR-CHK-02-SC2</t>
        </is>
      </c>
      <c r="C88" s="25" t="inlineStr">
        <is>
          <t>SCR-CHK-02</t>
        </is>
      </c>
      <c r="D88" s="25" t="inlineStr">
        <is>
          <t>CO-05</t>
        </is>
      </c>
      <c r="E88" s="25" t="inlineStr">
        <is>
          <t>Functional</t>
        </is>
      </c>
      <c r="F88" s="25" t="inlineStr">
        <is>
          <t>Coupon giao hàng và coupon sản phẩm hiện thành 2 nhóm riêng biệt tại Checkout</t>
        </is>
      </c>
      <c r="G88" s="25" t="inlineStr">
        <is>
          <t>Đã có 1 coupon giao hàng (giảm 15.000đ phí giao) và 1 coupon sản phẩm (giảm 10% 1 SKU) được áp dụng từ Cart.</t>
        </is>
      </c>
      <c r="H88" s="25" t="inlineStr">
        <is>
          <t>1. Vào SCR-CHK-02, cuộn đến phần Coupon.
2. Quan sát cách nhóm hiển thị.
3. Đối chiếu số tiền giảm của từng nhóm với giá trị đã áp dụng ở Cart.</t>
        </is>
      </c>
      <c r="I88" s="25" t="inlineStr">
        <is>
          <t>Coupon giao hàng: -15.000đ phí giao. Coupon sản phẩm: -10% 1 SKU cụ thể.</t>
        </is>
      </c>
      <c r="J88" s="25" t="inlineStr">
        <is>
          <t>2 nhóm hiện TÁCH BIỆT rõ ràng (nhóm 'Coupon giao hàng' và nhóm 'Coupon đơn/sản phẩm'), mỗi nhóm đúng số tiền đã áp dụng từ Cart, không bị trộn lẫn hay mất coupon nào.</t>
        </is>
      </c>
      <c r="K88" s="25" t="inlineStr">
        <is>
          <t>Medium</t>
        </is>
      </c>
      <c r="L88" s="9" t="n"/>
      <c r="M88" s="9" t="inlineStr">
        <is>
          <t>Not Run</t>
        </is>
      </c>
      <c r="N88" s="9" t="n"/>
      <c r="O88" s="9" t="n"/>
      <c r="P88" s="25" t="inlineStr">
        <is>
          <t>QnA-17</t>
        </is>
      </c>
      <c r="Q88" s="25" t="n"/>
      <c r="R88" s="8" t="n"/>
    </row>
    <row r="89">
      <c r="A89" s="25" t="inlineStr">
        <is>
          <t>SCR-CHK-02-SC3-TC1</t>
        </is>
      </c>
      <c r="B89" s="25" t="inlineStr">
        <is>
          <t>SCR-CHK-02-SC3</t>
        </is>
      </c>
      <c r="C89" s="25" t="inlineStr">
        <is>
          <t>SCR-CHK-02</t>
        </is>
      </c>
      <c r="D89" s="25" t="inlineStr">
        <is>
          <t>CO-05</t>
        </is>
      </c>
      <c r="E89" s="25" t="inlineStr">
        <is>
          <t>Boundary</t>
        </is>
      </c>
      <c r="F89" s="25" t="inlineStr">
        <is>
          <t>Áp dụng toàn bộ điểm thưởng bằng 1 lần chạm đúng bằng số dư hiện có</t>
        </is>
      </c>
      <c r="G89" s="25" t="inlineStr">
        <is>
          <t>Tài khoản có 20.000 điểm khả dụng (quy đổi 1 điểm = 1đ, giả định để test - cần xác nhận tỷ lệ quy đổi thực tế).</t>
        </is>
      </c>
      <c r="H89" s="25" t="inlineStr">
        <is>
          <t>1. Quan sát số điểm khả dụng hiển thị (20.000 điểm).
2. Bấm nút 'Dùng toàn bộ điểm'.
3. Quan sát số điểm được áp dụng và số tiền được trừ trong tóm tắt.
4. Bỏ chọn, thử nhập tay 1 giá trị nhỏ hơn (ví dụ 5.000 điểm).</t>
        </is>
      </c>
      <c r="I89" s="25" t="inlineStr">
        <is>
          <t>Số dư điểm: 20.000 điểm.</t>
        </is>
      </c>
      <c r="J89" s="25" t="inlineStr">
        <is>
          <t>Bước 3: toàn bộ 20.000 điểm được áp dụng trong 1 lần chạm, tổng tiền giảm tương ứng. Bước 4: nhập tay 5.000 điểm cũng được chấp nhận và trừ đúng theo tỷ lệ quy đổi.</t>
        </is>
      </c>
      <c r="K89" s="25" t="inlineStr">
        <is>
          <t>Medium</t>
        </is>
      </c>
      <c r="L89" s="9" t="n"/>
      <c r="M89" s="9" t="inlineStr">
        <is>
          <t>Not Run</t>
        </is>
      </c>
      <c r="N89" s="9" t="n"/>
      <c r="O89" s="9" t="n"/>
      <c r="P89" s="25" t="inlineStr">
        <is>
          <t>QnA-20</t>
        </is>
      </c>
      <c r="Q89" s="25" t="n"/>
      <c r="R89" s="8" t="n"/>
    </row>
    <row r="90">
      <c r="A90" s="25" t="inlineStr">
        <is>
          <t>SCR-CHK-02-SC4-TC1</t>
        </is>
      </c>
      <c r="B90" s="25" t="inlineStr">
        <is>
          <t>SCR-CHK-02-SC4</t>
        </is>
      </c>
      <c r="C90" s="25" t="inlineStr">
        <is>
          <t>SCR-CHK-02</t>
        </is>
      </c>
      <c r="D90" s="25" t="inlineStr">
        <is>
          <t>CO-06</t>
        </is>
      </c>
      <c r="E90" s="25" t="inlineStr">
        <is>
          <t>Functional</t>
        </is>
      </c>
      <c r="F90" s="25" t="inlineStr">
        <is>
          <t>BNPL được pre-select tại Checkout nếu đã chọn ở Cart, và hiện badge khuyến mãi riêng</t>
        </is>
      </c>
      <c r="G90" s="25" t="inlineStr">
        <is>
          <t>Đã chọn BNPL làm phương thức thanh toán trong Cart, BNPL đang có 1 khuyến mãi badge.</t>
        </is>
      </c>
      <c r="H90" s="25" t="inlineStr">
        <is>
          <t>1. Từ Cart (đã chọn BNPL), bấm Proceed to Checkout.
2. Quan sát phần Phương thức thanh toán tại SCR-CHK-02.
3. Kiểm tra badge khuyến mãi gắn với BNPL.
4. Thử đổi sang MoMo, kiểm tra badge của MoMo (nếu có) khác với badge BNPL.</t>
        </is>
      </c>
      <c r="I90" s="25" t="inlineStr">
        <is>
          <t>Phương thức đã chọn trước: BNPL. Các phương thức khác: MoMo, ZaloPay, Thẻ.</t>
        </is>
      </c>
      <c r="J90" s="25" t="inlineStr">
        <is>
          <t>Bước 2: BNPL đã được chọn sẵn (không phải chọn lại từ đầu). Bước 3-4: mỗi phương thức mang badge khuyến mãi riêng của nó, không dùng chung 1 badge.</t>
        </is>
      </c>
      <c r="K90" s="25" t="inlineStr">
        <is>
          <t>Medium</t>
        </is>
      </c>
      <c r="L90" s="9" t="n"/>
      <c r="M90" s="9" t="inlineStr">
        <is>
          <t>Not Run</t>
        </is>
      </c>
      <c r="N90" s="9" t="n"/>
      <c r="O90" s="9" t="n"/>
      <c r="P90" s="25" t="inlineStr">
        <is>
          <t>QnA-35</t>
        </is>
      </c>
      <c r="Q90" s="25" t="n"/>
      <c r="R90" s="8" t="n"/>
    </row>
    <row r="91">
      <c r="A91" s="8" t="inlineStr">
        <is>
          <t>SCR-CHK-02-SC5-TC1</t>
        </is>
      </c>
      <c r="B91" s="8" t="inlineStr">
        <is>
          <t>SCR-CHK-02-SC5</t>
        </is>
      </c>
      <c r="C91" s="8" t="inlineStr">
        <is>
          <t>SCR-CHK-02</t>
        </is>
      </c>
      <c r="D91" s="8" t="inlineStr">
        <is>
          <t>CO-08, CO-10</t>
        </is>
      </c>
      <c r="E91" s="8" t="inlineStr">
        <is>
          <t>Functional</t>
        </is>
      </c>
      <c r="F91" s="8" t="inlineStr">
        <is>
          <t>Tóm tắt thanh toán hiện đủ dòng (kể cả dòng = 0) và Đặt hàng thành công</t>
        </is>
      </c>
      <c r="G91" s="8" t="inlineStr">
        <is>
          <t>Đơn hàng hợp lệ: không có phụ phí bulky, không đóng gói carton, không gift card, có 1 coupon giảm giá sản phẩm.</t>
        </is>
      </c>
      <c r="H91" s="8" t="inlineStr">
        <is>
          <t>1. Cuộn xem toàn bộ tóm tắt thanh toán cuối cùng.
2. Đối chiếu từng dòng: giá trị đơn hàng, phí nylon, phí giao hàng, phụ phí bulky, giảm giá sản phẩm, giảm giá giao hàng, số tiền phải trả, điểm dự kiến.
3. Bấm 'Đặt hàng'.
4. Quan sát kết quả.</t>
        </is>
      </c>
      <c r="I91" s="8" t="inlineStr">
        <is>
          <t>Đơn hàng mẫu không có phụ phí bulky/carton/giftcard, chỉ có 1 coupon sản phẩm.</t>
        </is>
      </c>
      <c r="J91" s="8" t="inlineStr">
        <is>
          <t>Bước 2: TẤT CẢ các dòng đều hiển thị kể cả những dòng = 0đ (phụ phí bulky = 0đ, phí carton = 0đ, gift card = 0đ) - không ẩn dòng nào. Bước 4: đơn hàng được đặt thành công, hiện màn xác nhận/mã đơn hàng.</t>
        </is>
      </c>
      <c r="K91" s="8" t="inlineStr">
        <is>
          <t>High</t>
        </is>
      </c>
      <c r="L91" s="9" t="n"/>
      <c r="M91" s="9" t="inlineStr">
        <is>
          <t>Not Run</t>
        </is>
      </c>
      <c r="N91" s="9" t="n"/>
      <c r="O91" s="9" t="n"/>
      <c r="P91" s="8" t="n"/>
      <c r="Q91" s="8" t="n"/>
      <c r="R91" s="10" t="inlineStr">
        <is>
          <t>[Review trước đó — ĐÃ ĐƯỢC XỬ LÝ MỘT PHẦN] Gap 'giỏ hàng rỗng không vào được Checkout' đã được bổ sung bằng test case mới SCR-CHK-01-SC1-TC2. Tuy nhiên Expected Result của TC5 này vẫn CHƯA nêu đích danh dòng 'túi nylon' (nylon bag) mà BRL-34 liệt kê rõ là 1 dòng bắt buộc trong tóm tắt thanh toán — nên bổ sung khẳng định rõ dòng này có xuất hiện (kể cả khi = 0đ), tương tự cách test đã làm với phụ phí bulky/carton/giftcard.</t>
        </is>
      </c>
    </row>
    <row r="92">
      <c r="A92" s="25" t="inlineStr">
        <is>
          <t>SCR-CHK-02-SC6-TC1</t>
        </is>
      </c>
      <c r="B92" s="25" t="inlineStr">
        <is>
          <t>SCR-CHK-02-SC6</t>
        </is>
      </c>
      <c r="C92" s="25" t="inlineStr">
        <is>
          <t>SCR-CHK-02</t>
        </is>
      </c>
      <c r="D92" s="25" t="inlineStr">
        <is>
          <t>CO-09</t>
        </is>
      </c>
      <c r="E92" s="25" t="inlineStr">
        <is>
          <t>Functional</t>
        </is>
      </c>
      <c r="F92" s="25" t="inlineStr">
        <is>
          <t>3 liên kết chính sách tại Checkout hiển thị và mở được</t>
        </is>
      </c>
      <c r="G92" s="25" t="inlineStr">
        <is>
          <t>Đang ở màn Checkout (SCR-CHK-02), đơn hàng hợp lệ.</t>
        </is>
      </c>
      <c r="H92" s="25" t="inlineStr">
        <is>
          <t>1. Chạm liên kết 'Chính sách đổi/trả', xác nhận mở được (trang/màn hình mới hiện ra, không lỗi 404/trống).
2. Quay lại Checkout, chạm liên kết 'Chính sách mua hàng', xác nhận mở được.
3. Quay lại Checkout, chạm liên kết 'Chính sách bảo mật', xác nhận mở được.</t>
        </is>
      </c>
      <c r="I92" s="25" t="inlineStr">
        <is>
          <t>N/A (kiểm tra liên kết tồn tại và mở được, chưa kiểm tra nội dung chi tiết vì đang chờ Legal xác nhận - QnA-21).</t>
        </is>
      </c>
      <c r="J92" s="25" t="inlineStr">
        <is>
          <t>Cả 3 liên kết đều hiện diện tại Checkout và mở được khi chạm, không link nào bị vỡ hay trống trơn. Test này CHƯA xác nhận nội dung chính sách cuối cùng (QnA-21 vẫn Open) - chỉ xác nhận cơ chế liên kết hoạt động.</t>
        </is>
      </c>
      <c r="K92" s="25" t="inlineStr">
        <is>
          <t>Medium</t>
        </is>
      </c>
      <c r="L92" s="9" t="n"/>
      <c r="M92" s="9" t="inlineStr">
        <is>
          <t>Not Run</t>
        </is>
      </c>
      <c r="N92" s="9" t="n"/>
      <c r="O92" s="9" t="n"/>
      <c r="P92" s="25" t="inlineStr">
        <is>
          <t>QnA-21</t>
        </is>
      </c>
      <c r="Q92" s="25" t="inlineStr">
        <is>
          <t>Bổ sung theo Review 26/08/2026 - đóng gap 'CO-09 chưa có test case nào' trong Review - Gaps &amp; Issues.</t>
        </is>
      </c>
      <c r="R92" s="8" t="n"/>
    </row>
    <row r="93">
      <c r="A93" s="8" t="inlineStr">
        <is>
          <t>SCR-CHK-03-SC1-TC1</t>
        </is>
      </c>
      <c r="B93" s="8" t="inlineStr">
        <is>
          <t>SCR-CHK-03-SC1</t>
        </is>
      </c>
      <c r="C93" s="8" t="inlineStr">
        <is>
          <t>SCR-CHK-03</t>
        </is>
      </c>
      <c r="D93" s="8" t="inlineStr">
        <is>
          <t>CO-01</t>
        </is>
      </c>
      <c r="E93" s="8" t="inlineStr">
        <is>
          <t>Functional</t>
        </is>
      </c>
      <c r="F93" s="8" t="inlineStr">
        <is>
          <t>Biến thể Pickup không hiện dòng phí giao hàng trong tóm tắt thanh toán</t>
        </is>
      </c>
      <c r="G93" s="8" t="inlineStr">
        <is>
          <t>Đơn hàng được tạo từ nhánh Pickup, giá trị đơn hàng dưới ngưỡng freeship (để loại trừ khả năng tính cờ đủ freeship).</t>
        </is>
      </c>
      <c r="H93" s="8" t="inlineStr">
        <is>
          <t>1. Vào SCR-CHK-03 cho đơn Pickup.
2. Quan sát khối thông tin thu thập (store/địa chỉ/khoảng cách/khung giờ).
3. Cuộn xem tóm tắt thanh toán, tìm dòng phí giao hàng.</t>
        </is>
      </c>
      <c r="I93" s="8" t="inlineStr">
        <is>
          <t>Đơn hàng Pickup, giá trị dưới 150.000đ.</t>
        </is>
      </c>
      <c r="J93" s="8" t="inlineStr">
        <is>
          <t>Khối thu thập hiện đủ thông tin cần thiết ở trạng thái khoá (read-only). Tóm tắt thanh toán KHÔNG có dòng phí giao hàng nào (khác với đơn Delivery sẽ hiện dòng này, có thể là 0đ hoặc có giá trị).</t>
        </is>
      </c>
      <c r="K93" s="8" t="inlineStr">
        <is>
          <t>Medium</t>
        </is>
      </c>
      <c r="L93" s="9" t="n"/>
      <c r="M93" s="9" t="inlineStr">
        <is>
          <t>Not Run</t>
        </is>
      </c>
      <c r="N93" s="9" t="n"/>
      <c r="O93" s="9" t="n"/>
      <c r="P93" s="8" t="n"/>
      <c r="Q93" s="8" t="n"/>
      <c r="R93" s="8" t="n"/>
    </row>
    <row r="94">
      <c r="A94" s="8" t="inlineStr">
        <is>
          <t>SCR-CHK-03-SC2-TC1</t>
        </is>
      </c>
      <c r="B94" s="8" t="inlineStr">
        <is>
          <t>SCR-CHK-03-SC2</t>
        </is>
      </c>
      <c r="C94" s="8" t="inlineStr">
        <is>
          <t>SCR-CHK-03</t>
        </is>
      </c>
      <c r="D94" s="8" t="inlineStr">
        <is>
          <t>CO-01, CT-09</t>
        </is>
      </c>
      <c r="E94" s="8" t="inlineStr">
        <is>
          <t>Boundary</t>
        </is>
      </c>
      <c r="F94" s="8" t="inlineStr">
        <is>
          <t>Nhất quán với Cart: tiền mặt khi Pickup chỉ hiện với tài khoản đủ điều kiện tier</t>
        </is>
      </c>
      <c r="G94" s="8" t="inlineStr">
        <is>
          <t>Đơn Pickup, 2 tài khoản: A (Platinum), B (tier thường) - đã xác định tuỳ chọn tiền mặt trong Cart ở test SCR-CRT-04-SC2-TC1.</t>
        </is>
      </c>
      <c r="H94" s="8" t="inlineStr">
        <is>
          <t>1. Với tài khoản A, vào SCR-CHK-03, kiểm tra danh sách phương thức thanh toán.
2. Với tài khoản B, lặp lại.
3. Đối chiếu kết quả với hành vi đã ghi nhận trong Cart (SCR-CRT-04).</t>
        </is>
      </c>
      <c r="I94" s="8" t="inlineStr">
        <is>
          <t>Tài khoản A: Platinum. Tài khoản B: tier thường.</t>
        </is>
      </c>
      <c r="J94" s="8" t="inlineStr">
        <is>
          <t>Kết quả tại Checkout phải NHẤT QUÁN với Cart: tài khoản A thấy tuỳ chọn tiền mặt, tài khoản B không thấy; không có trường hợp Cart cho phép nhưng Checkout lại chặn hoặc ngược lại.</t>
        </is>
      </c>
      <c r="K94" s="8" t="inlineStr">
        <is>
          <t>High</t>
        </is>
      </c>
      <c r="L94" s="9" t="n"/>
      <c r="M94" s="9" t="inlineStr">
        <is>
          <t>Not Run</t>
        </is>
      </c>
      <c r="N94" s="9" t="n"/>
      <c r="O94" s="9" t="n"/>
      <c r="P94" s="8" t="n"/>
      <c r="Q94" s="8" t="n"/>
      <c r="R94" s="8" t="n"/>
    </row>
  </sheetData>
  <autoFilter ref="A2:R88">
    <filterColumn colId="2" hiddenButton="0" showButton="1">
      <filters>
        <filter val="SCR-ONB-01"/>
      </filters>
    </filterColumn>
  </autoFilter>
  <mergeCells count="1">
    <mergeCell ref="A1:R1"/>
  </mergeCells>
  <dataValidations count="1">
    <dataValidation sqref="M3:M76" showDropDown="0" showInputMessage="0" showErrorMessage="0" allowBlank="1" type="list">
      <formula1>"Pass,Fail,Blocked,N/A,Not Run"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25"/>
  <sheetViews>
    <sheetView showGridLines="0" zoomScaleNormal="100" workbookViewId="0">
      <pane ySplit="2" topLeftCell="A3" activePane="bottomLeft" state="frozen"/>
      <selection pane="bottomLeft" activeCell="A1" sqref="A1:J1"/>
    </sheetView>
  </sheetViews>
  <sheetFormatPr baseColWidth="8" defaultColWidth="8.7109375" defaultRowHeight="15"/>
  <cols>
    <col width="6" customWidth="1" style="23" min="1" max="1"/>
    <col width="16" customWidth="1" style="23" min="2" max="2"/>
    <col width="34" customWidth="1" style="23" min="3" max="3"/>
    <col width="22" customWidth="1" style="23" min="4" max="4"/>
    <col width="12" customWidth="1" style="23" min="5" max="5"/>
    <col width="46" customWidth="1" style="23" min="6" max="6"/>
    <col width="34" customWidth="1" style="23" min="7" max="8"/>
    <col width="46" customWidth="1" style="23" min="9" max="9"/>
    <col width="10" customWidth="1" style="23" min="10" max="10"/>
    <col width="40" customWidth="1" style="23" min="11" max="11"/>
  </cols>
  <sheetData>
    <row r="1" ht="17.25" customHeight="1" s="23">
      <c r="A1" s="2" t="inlineStr">
        <is>
          <t>Simplify Checkout — Integration Test Scenario Register</t>
        </is>
      </c>
    </row>
    <row r="2" ht="27.75" customHeight="1" s="23">
      <c r="A2" s="7" t="inlineStr">
        <is>
          <t>No</t>
        </is>
      </c>
      <c r="B2" s="7" t="inlineStr">
        <is>
          <t>Scenario ID</t>
        </is>
      </c>
      <c r="C2" s="7" t="inlineStr">
        <is>
          <t>Module</t>
        </is>
      </c>
      <c r="D2" s="7" t="inlineStr">
        <is>
          <t>REQ ID (SRS)</t>
        </is>
      </c>
      <c r="E2" s="7" t="inlineStr">
        <is>
          <t>Scenario Type</t>
        </is>
      </c>
      <c r="F2" s="7" t="inlineStr">
        <is>
          <t>Business Rule / System Flow</t>
        </is>
      </c>
      <c r="G2" s="7" t="inlineStr">
        <is>
          <t>Systems Involved</t>
        </is>
      </c>
      <c r="H2" s="7" t="inlineStr">
        <is>
          <t>Preconditions</t>
        </is>
      </c>
      <c r="I2" s="7" t="inlineStr">
        <is>
          <t>Expected Behavior</t>
        </is>
      </c>
      <c r="J2" s="7" t="inlineStr">
        <is>
          <t>QnA Ref</t>
        </is>
      </c>
      <c r="K2" s="7" t="inlineStr">
        <is>
          <t>Comments</t>
        </is>
      </c>
    </row>
    <row r="3" ht="45.75" customHeight="1" s="23">
      <c r="A3" s="25" t="n">
        <v>1</v>
      </c>
      <c r="B3" s="25" t="inlineStr">
        <is>
          <t>INT-01-SC1</t>
        </is>
      </c>
      <c r="C3" s="25" t="inlineStr">
        <is>
          <t>Cổng OTP Zalo/SMS</t>
        </is>
      </c>
      <c r="D3" s="25" t="inlineStr">
        <is>
          <t>SU-02, SU-03, BRL-13, BRL-14, BRL-15</t>
        </is>
      </c>
      <c r="E3" s="25" t="inlineStr">
        <is>
          <t>Functional</t>
        </is>
      </c>
      <c r="F3" s="25" t="inlineStr">
        <is>
          <t>Zalo là kênh OTP mặc định; khi Zalo thất bại, KHÔNG tự động fallback SMS - khách phải chủ động đổi kênh.</t>
        </is>
      </c>
      <c r="G3" s="25" t="inlineStr">
        <is>
          <t>App &lt;-&gt; Cổng OTP Zalo &lt;-&gt; Cổng SMS backup</t>
        </is>
      </c>
      <c r="H3" s="25" t="inlineStr">
        <is>
          <t>Tài khoản đang ở bước xác thực OTP (Signup hoặc Login/Quên PIN).</t>
        </is>
      </c>
      <c r="I3" s="25" t="inlineStr">
        <is>
          <t>Zalo được gọi trước (chi phí/tin thấp hơn SMS); nếu Zalo Gateway trả về lỗi gửi, hệ thống KHÔNG tự động chuyển SMS - phải chờ khách bấm Resend/đổi kênh thủ công sau khi hết đếm ngược.</t>
        </is>
      </c>
      <c r="J3" s="25" t="inlineStr">
        <is>
          <t>QnA-08</t>
        </is>
      </c>
      <c r="K3" s="25" t="inlineStr">
        <is>
          <t>Xác nhận kỹ thuật thật sự không có auto-fallback vẫn là OQ-08/QnA-08.</t>
        </is>
      </c>
    </row>
    <row r="4" ht="45.75" customHeight="1" s="23">
      <c r="A4" s="25" t="n">
        <v>2</v>
      </c>
      <c r="B4" s="25" t="inlineStr">
        <is>
          <t>INT-01-SC2</t>
        </is>
      </c>
      <c r="C4" s="25" t="inlineStr">
        <is>
          <t>Cổng OTP Zalo/SMS</t>
        </is>
      </c>
      <c r="D4" s="25" t="inlineStr">
        <is>
          <t>NFR-01, LI-06, BRL-15</t>
        </is>
      </c>
      <c r="E4" s="25" t="inlineStr">
        <is>
          <t>Boundary</t>
        </is>
      </c>
      <c r="F4" s="25" t="inlineStr">
        <is>
          <t>Cổng OTP từ chối gửi thêm khi vượt quá số lần yêu cầu OTP trong 1 khoảng thời gian.</t>
        </is>
      </c>
      <c r="G4" s="25" t="inlineStr">
        <is>
          <t>App &lt;-&gt; Cổng OTP Zalo/SMS</t>
        </is>
      </c>
      <c r="H4" s="25" t="inlineStr">
        <is>
          <t>Đã yêu cầu gửi OTP vượt quá mức giới hạn trong cửa sổ thời gian cấu hình (giá trị chính xác đang chờ OQ-03).</t>
        </is>
      </c>
      <c r="I4" s="25" t="inlineStr">
        <is>
          <t>Cổng OTP trả về lỗi rate-limit, app hiện thông báo rõ (không phải lỗi chung chung), ngăn chặn spam gửi OTP liên tục.</t>
        </is>
      </c>
      <c r="J4" s="25" t="inlineStr">
        <is>
          <t>QnA-03</t>
        </is>
      </c>
      <c r="K4" s="25" t="inlineStr">
        <is>
          <t>Mức giới hạn cụ thể (số lần/khoảng thời gian) là một phần của OQ-03/QnA-03 chưa được xác nhận.</t>
        </is>
      </c>
    </row>
    <row r="5" ht="45.75" customHeight="1" s="23">
      <c r="A5" s="8" t="n">
        <v>3</v>
      </c>
      <c r="B5" s="8" t="inlineStr">
        <is>
          <t>INT-02-SC1</t>
        </is>
      </c>
      <c r="C5" s="8" t="inlineStr">
        <is>
          <t>Cổng thanh toán &amp; BNPL</t>
        </is>
      </c>
      <c r="D5" s="8" t="inlineStr">
        <is>
          <t>CO-06, BRL-33</t>
        </is>
      </c>
      <c r="E5" s="8" t="inlineStr">
        <is>
          <t>Functional</t>
        </is>
      </c>
      <c r="F5" s="8" t="inlineStr">
        <is>
          <t>Cổng thanh toán trả về badge khuyến mãi riêng cho từng phương thức (MoMo/ZaloPay/Thẻ/BNPL).</t>
        </is>
      </c>
      <c r="G5" s="8" t="inlineStr">
        <is>
          <t>App &lt;-&gt; Payment Gateway (MoMo/ZaloPay/Thẻ/BNPL)</t>
        </is>
      </c>
      <c r="H5" s="8" t="inlineStr">
        <is>
          <t>Đang ở bước chọn phương thức thanh toán tại Checkout, ít nhất 1 phương thức đang có khuyến mãi.</t>
        </is>
      </c>
      <c r="I5" s="8" t="inlineStr">
        <is>
          <t>App gọi API lấy danh sách khuyến mãi theo phương thức, hiện đúng badge riêng cho từng phương thức, không bị trộn hoặc áp dụng nhầm sang phương thức khác.</t>
        </is>
      </c>
      <c r="J5" s="8" t="n"/>
      <c r="K5" s="8" t="n"/>
    </row>
    <row r="6" ht="45.75" customHeight="1" s="23">
      <c r="A6" s="8" t="n">
        <v>4</v>
      </c>
      <c r="B6" s="8" t="inlineStr">
        <is>
          <t>INT-02-SC2</t>
        </is>
      </c>
      <c r="C6" s="8" t="inlineStr">
        <is>
          <t>Cổng thanh toán &amp; BNPL</t>
        </is>
      </c>
      <c r="D6" s="8" t="inlineStr">
        <is>
          <t>CO-10, NFR-04</t>
        </is>
      </c>
      <c r="E6" s="8" t="inlineStr">
        <is>
          <t>Exception</t>
        </is>
      </c>
      <c r="F6" s="8" t="inlineStr">
        <is>
          <t>Cổng thanh toán trả về lỗi/timeout khi khách bấm 'Đặt hàng' - đơn KHÔNG được tạo trùng lặp và khách được thông báo rõ.</t>
        </is>
      </c>
      <c r="G6" s="8" t="inlineStr">
        <is>
          <t>App &lt;-&gt; Payment Gateway &lt;-&gt; OMS</t>
        </is>
      </c>
      <c r="H6" s="8" t="inlineStr">
        <is>
          <t>Khách đã điền đủ thông tin, bấm Đặt hàng, giả lập cổng thanh toán timeout/trả về lỗi.</t>
        </is>
      </c>
      <c r="I6" s="8" t="inlineStr">
        <is>
          <t>Đơn hàng KHÔNG được ghi nhận là đã thanh toán; khách nhận thông báo lỗi rõ ràng và CÓ thể thử lại mà không bị tạo 2 đơn trùng cho cùng 1 lần bấm; dữ liệu Checkout (Cart, coupon, điểm đã áp dụng) không bị mất khi thử lại.</t>
        </is>
      </c>
      <c r="J6" s="8" t="n"/>
      <c r="K6" s="8" t="inlineStr">
        <is>
          <t>Kiểm tra idempotency của request đặt hàng là trọng tâm của test case này.</t>
        </is>
      </c>
    </row>
    <row r="7" ht="45.75" customHeight="1" s="23">
      <c r="A7" s="25" t="n">
        <v>5</v>
      </c>
      <c r="B7" s="25" t="inlineStr">
        <is>
          <t>INT-03-SC1</t>
        </is>
      </c>
      <c r="C7" s="25" t="inlineStr">
        <is>
          <t>OMS/DMS - Slot Capacity &amp; Next-day</t>
        </is>
      </c>
      <c r="D7" s="25" t="inlineStr">
        <is>
          <t>CT-08, OQ-12</t>
        </is>
      </c>
      <c r="E7" s="25" t="inlineStr">
        <is>
          <t>Functional</t>
        </is>
      </c>
      <c r="F7" s="25" t="inlineStr">
        <is>
          <t>OMS/DMS phản hồi đúng số slot còn lại theo thời gian thực, điều khiển cảnh báo 'sắp hết chỗ' trong Cart.</t>
        </is>
      </c>
      <c r="G7" s="25" t="inlineStr">
        <is>
          <t>App &lt;-&gt; OMS/DMS (slot capacity service)</t>
        </is>
      </c>
      <c r="H7" s="25" t="inlineStr">
        <is>
          <t>Store test được cấu hình slot 60-Minute còn lại giảm dần qua nhiều đơn đặt liên tiếp.</t>
        </is>
      </c>
      <c r="I7" s="25" t="inlineStr">
        <is>
          <t>Mỗi khi 1 đơn khác đặt 1 slot, số slot còn lại được DMS cập nhật và app phản ánh đúng trong Cart (không bị lệch/cache cũ); khi chạm ngưỡng cảnh báo, UI hiện đúng thời điểm.</t>
        </is>
      </c>
      <c r="J7" s="25" t="inlineStr">
        <is>
          <t>QnA-12</t>
        </is>
      </c>
      <c r="K7" s="25" t="inlineStr">
        <is>
          <t>Hệ thống nào thực sự sở hữu cấu hình này vẫn là OQ-12/QnA-12.</t>
        </is>
      </c>
    </row>
    <row r="8" ht="45.75" customHeight="1" s="23">
      <c r="A8" s="8" t="n">
        <v>6</v>
      </c>
      <c r="B8" s="8" t="inlineStr">
        <is>
          <t>INT-03-SC2</t>
        </is>
      </c>
      <c r="C8" s="8" t="inlineStr">
        <is>
          <t>OMS/DMS - Slot Capacity &amp; Next-day</t>
        </is>
      </c>
      <c r="D8" s="8" t="inlineStr">
        <is>
          <t>CT-08, BRL-21</t>
        </is>
      </c>
      <c r="E8" s="8" t="inlineStr">
        <is>
          <t>Functional</t>
        </is>
      </c>
      <c r="F8" s="8" t="inlineStr">
        <is>
          <t>Slot được giải phóng (re-open) khi 1 đơn được đánh dấu 'sẵn sàng giao' bởi Store Operations.</t>
        </is>
      </c>
      <c r="G8" s="8" t="inlineStr">
        <is>
          <t>Store Operations (internal) -&gt; OMS/DMS -&gt; App</t>
        </is>
      </c>
      <c r="H8" s="8" t="inlineStr">
        <is>
          <t>1 slot đang ở trạng thái 'Closed' (hết chỗ) do 1 đơn trước đó chiếm giữ.</t>
        </is>
      </c>
      <c r="I8" s="8" t="inlineStr">
        <is>
          <t>Ngay sau khi Store Operations đánh dấu đơn 'ready for delivery', slot được giải phóng và TỰ ĐỘNG chuyển lại 'Open' cho khách khác đặt (BRL-21), không cần can thiệp thủ công nào khác.</t>
        </is>
      </c>
      <c r="J8" s="8" t="n"/>
      <c r="K8" s="8" t="n"/>
    </row>
    <row r="9" ht="45.75" customHeight="1" s="23">
      <c r="A9" s="8" t="n">
        <v>7</v>
      </c>
      <c r="B9" s="8" t="inlineStr">
        <is>
          <t>INT-04-SC1</t>
        </is>
      </c>
      <c r="C9" s="8" t="inlineStr">
        <is>
          <t>OMS - Tiếp nhận đơn hàng (Place Order)</t>
        </is>
      </c>
      <c r="D9" s="8" t="inlineStr">
        <is>
          <t>CO-10</t>
        </is>
      </c>
      <c r="E9" s="8" t="inlineStr">
        <is>
          <t>Functional</t>
        </is>
      </c>
      <c r="F9" s="8" t="inlineStr">
        <is>
          <t>Đặt hàng thành công đẩy đủ dữ liệu Checkout (sản phẩm, giá, coupon, điểm, phí) sang OMS đúng 1-1.</t>
        </is>
      </c>
      <c r="G9" s="8" t="inlineStr">
        <is>
          <t>App -&gt; OMS (order capture)</t>
        </is>
      </c>
      <c r="H9" s="8" t="inlineStr">
        <is>
          <t>Đơn hàng hợp lệ với đầy đủ: sản phẩm, coupon, điểm đã dùng, phí giao hàng, phụ phí bulky (nếu có).</t>
        </is>
      </c>
      <c r="I9" s="8" t="inlineStr">
        <is>
          <t>OMS nhận được bản ghi đơn hàng khớp CHÍNH XÁC với tóm tắt thanh toán đã hiện trên SCR-CHK-02 (không lệch giá/phí/coupon nào) - đây là điểm xác nhận cuối cùng cho tính toán vẹn dữ liệu của BR-09/NFR-04.</t>
        </is>
      </c>
      <c r="J9" s="8" t="n"/>
      <c r="K9" s="8" t="n"/>
    </row>
    <row r="10" ht="45.75" customHeight="1" s="23">
      <c r="A10" s="8" t="n">
        <v>8</v>
      </c>
      <c r="B10" s="8" t="inlineStr">
        <is>
          <t>INT-04-SC2</t>
        </is>
      </c>
      <c r="C10" s="8" t="inlineStr">
        <is>
          <t>OMS - Tiếp nhận đơn hàng (Place Order)</t>
        </is>
      </c>
      <c r="D10" s="8" t="inlineStr">
        <is>
          <t>CO-10, BR-09</t>
        </is>
      </c>
      <c r="E10" s="8" t="inlineStr">
        <is>
          <t>Negative</t>
        </is>
      </c>
      <c r="F10" s="8" t="inlineStr">
        <is>
          <t>Nếu OMS từ chối đơn (ví dụ hết hàng giữa lúc thanh toán) thì khách được đưa về lại Cart với thông tin đã cập nhật, không mất dữ liệu đã nhập.</t>
        </is>
      </c>
      <c r="G10" s="8" t="inlineStr">
        <is>
          <t>App &lt;-&gt; OMS</t>
        </is>
      </c>
      <c r="H10" s="8" t="inlineStr">
        <is>
          <t>OMS trả về lỗi 'sản phẩm không còn đủ số lượng' khi xác nhận đơn ở bước cuối.</t>
        </is>
      </c>
      <c r="I10" s="8" t="inlineStr">
        <is>
          <t>App hiện thông báo rõ nguyên nhân từ chối, đưa khách về Cart với SKU liên quan đã được cập nhật trạng thái (hết hàng/giảm số lượng), các lựa chọn khác (coupon, điểm, phương thức thanh toán) được GIỮ nguyên để khách không phải nhập lại từ đầu.</t>
        </is>
      </c>
      <c r="J10" s="8" t="n"/>
      <c r="K10" s="8" t="n"/>
    </row>
    <row r="11" ht="45.75" customHeight="1" s="23">
      <c r="A11" s="8" t="n">
        <v>9</v>
      </c>
      <c r="B11" s="8" t="inlineStr">
        <is>
          <t>INT-05-SC1</t>
        </is>
      </c>
      <c r="C11" s="8" t="inlineStr">
        <is>
          <t>Dịch vụ cấu hình Store - Danh mục/Giá/Tồn kho</t>
        </is>
      </c>
      <c r="D11" s="8" t="inlineStr">
        <is>
          <t>BRL-01, ONB-05</t>
        </is>
      </c>
      <c r="E11" s="8" t="inlineStr">
        <is>
          <t>Functional</t>
        </is>
      </c>
      <c r="F11" s="8" t="inlineStr">
        <is>
          <t>Đổi store phải kéo theo đổi ĐÚNG BỘ 3 (danh mục, giá, tồn kho) từ dịch vụ cấu hình store trong 1 lần gọi, không bị lệch dữ liệu.</t>
        </is>
      </c>
      <c r="G11" s="8" t="inlineStr">
        <is>
          <t>App -&gt; Store Config / Catalog Service</t>
        </is>
      </c>
      <c r="H11" s="8" t="inlineStr">
        <is>
          <t>Khách đổi store từ Homepage hoặc Onboarding.</t>
        </is>
      </c>
      <c r="I11" s="8" t="inlineStr">
        <is>
          <t>Toàn bộ danh mục/giá/tồn kho trên màn hình được render lại theo ĐÚNG store mới, không còn sót dữ liệu của store cũ (ví dụ giá cũ, sản phẩm chỉ có ở store cũ).</t>
        </is>
      </c>
      <c r="J11" s="8" t="n"/>
      <c r="K11" s="8" t="n"/>
    </row>
    <row r="12" ht="45.75" customHeight="1" s="23">
      <c r="A12" s="25" t="n">
        <v>10</v>
      </c>
      <c r="B12" s="25" t="inlineStr">
        <is>
          <t>INT-05-SC2</t>
        </is>
      </c>
      <c r="C12" s="25" t="inlineStr">
        <is>
          <t>Dịch vụ cấu hình Store - Danh mục/Giá/Tồn kho</t>
        </is>
      </c>
      <c r="D12" s="25" t="inlineStr">
        <is>
          <t>CT-07, BRL-24</t>
        </is>
      </c>
      <c r="E12" s="25" t="inlineStr">
        <is>
          <t>Functional</t>
        </is>
      </c>
      <c r="F12" s="25" t="inlineStr">
        <is>
          <t>Khi đổi store trong Cart, dịch vụ trả về chính xác danh sách sản phẩm bị ảnh hưởng (hết hàng/đổi giá/ngừng bán) để app dùng cho 1 dialog cảnh báo gộp.</t>
        </is>
      </c>
      <c r="G12" s="25" t="inlineStr">
        <is>
          <t>App -&gt; Store Config / Catalog Service</t>
        </is>
      </c>
      <c r="H12" s="25" t="inlineStr">
        <is>
          <t>Giỏ hàng có nhiều SKU, đổi sang 1 store có danh mục/giá khác biệt.</t>
        </is>
      </c>
      <c r="I12" s="25" t="inlineStr">
        <is>
          <t>Dịch vụ trả về đúng danh sách SKU bị ảnh hưởng kèm lý do (giá mới / hết hàng / ngừng bán) để app gộp thành 1 cảnh báo duy nhất (SCR-CRT-06) - không thiếu, không dư sai SKU nào.</t>
        </is>
      </c>
      <c r="J12" s="25" t="inlineStr">
        <is>
          <t>QnA-25</t>
        </is>
      </c>
      <c r="K12" s="25" t="n"/>
    </row>
    <row r="13" ht="45.75" customHeight="1" s="23">
      <c r="A13" s="25" t="n">
        <v>11</v>
      </c>
      <c r="B13" s="25" t="inlineStr">
        <is>
          <t>INT-06-SC1</t>
        </is>
      </c>
      <c r="C13" s="25" t="inlineStr">
        <is>
          <t>Biometric / Device Security Ticket</t>
        </is>
      </c>
      <c r="D13" s="25" t="inlineStr">
        <is>
          <t>NFR-02, SU-07</t>
        </is>
      </c>
      <c r="E13" s="25" t="inlineStr">
        <is>
          <t>Security</t>
        </is>
      </c>
      <c r="F13" s="25" t="inlineStr">
        <is>
          <t>Thiết bị chỉ giữ được 1 bio ticket đang hoạt động tại 1 thời điểm; đăng nhập tài khoản thứ 2 trên cùng thiết bị phải cảnh báo trước khi ghi đè.</t>
        </is>
      </c>
      <c r="G13" s="25" t="inlineStr">
        <is>
          <t>App &lt;-&gt; Device Secure Enclave/Keystore</t>
        </is>
      </c>
      <c r="H13" s="25" t="inlineStr">
        <is>
          <t>Thiết bị đã có 1 bio ticket của Tài khoản A đang hoạt động.</t>
        </is>
      </c>
      <c r="I13" s="25" t="inlineStr">
        <is>
          <t>Khi Tài khoản B bật sinh trắc học trên CÙNG thiết bị, hệ thống hiện cảnh báo rõ ràng trước khi ghi đè ticket của Tài khoản A (NFR-02); sau khi ghi đè, Tài khoản A không còn đăng nhập được bằng sinh trắc học trên thiết bị này.</t>
        </is>
      </c>
      <c r="J13" s="25" t="inlineStr">
        <is>
          <t>QnA-07, QnA-11</t>
        </is>
      </c>
      <c r="K13" s="25" t="inlineStr">
        <is>
          <t>Hướng xử lý đã thống nhất nhưng chi tiết kỹ thuật vẫn chờ review (OQ-07, OQ-11).</t>
        </is>
      </c>
    </row>
    <row r="14" ht="45.75" customHeight="1" s="23">
      <c r="A14" s="25" t="n">
        <v>12</v>
      </c>
      <c r="B14" s="25" t="inlineStr">
        <is>
          <t>INT-07-SC1</t>
        </is>
      </c>
      <c r="C14" s="25" t="inlineStr">
        <is>
          <t>Session / Auth Token</t>
        </is>
      </c>
      <c r="D14" s="25" t="inlineStr">
        <is>
          <t>HP-07, OQ-04</t>
        </is>
      </c>
      <c r="E14" s="25" t="inlineStr">
        <is>
          <t>Exception</t>
        </is>
      </c>
      <c r="F14" s="25" t="inlineStr">
        <is>
          <t>Token phiên hết hạn giữa chừng được xử lý như Guest chưa từng đăng nhập (giả định đang chờ xác nhận).</t>
        </is>
      </c>
      <c r="G14" s="25" t="inlineStr">
        <is>
          <t>App &lt;-&gt; Session/Auth Service</t>
        </is>
      </c>
      <c r="H14" s="25" t="inlineStr">
        <is>
          <t>Khách đang đăng nhập, token bị giả lập hết hạn trong lúc đang thao tác trong Cart.</t>
        </is>
      </c>
      <c r="I14" s="25" t="inlineStr">
        <is>
          <t>Lần gọi API tiếp theo trả về 401/unauthorized; app CHUYỂN VỀ trạng thái Guest (không crash, không loop lỗi) và yêu cầu đăng nhập lại khi chạm vào hành động cần xác thực (Add to Cart/mở Cart) - đúng như OQ-04 đề xuất.</t>
        </is>
      </c>
      <c r="J14" s="25" t="inlineStr">
        <is>
          <t>QnA-04</t>
        </is>
      </c>
      <c r="K14" s="25" t="inlineStr">
        <is>
          <t>Đây là giả định đang chờ Security/Dev xác nhận chính thức (OQ-04/QnA-04); test case này xác minh hành vi hiện tại có khớp với đề xuất không.</t>
        </is>
      </c>
    </row>
    <row r="15" ht="45.75" customHeight="1" s="23">
      <c r="A15" s="25" t="n">
        <v>13</v>
      </c>
      <c r="B15" s="25" t="inlineStr">
        <is>
          <t>INT-08-SC1</t>
        </is>
      </c>
      <c r="C15" s="25" t="inlineStr">
        <is>
          <t>Coupon &amp; Khuyến mãi Engine</t>
        </is>
      </c>
      <c r="D15" s="25" t="inlineStr">
        <is>
          <t>CT-06, BRL-32</t>
        </is>
      </c>
      <c r="E15" s="25" t="inlineStr">
        <is>
          <t>Functional</t>
        </is>
      </c>
      <c r="F15" s="25" t="inlineStr">
        <is>
          <t>Coupon giao hàng và coupon đơn/sản phẩm được engine khuyến mãi áp dụng TỰ ĐỘNG theo đúng thứ tự ưu tiên, không xung đột.</t>
        </is>
      </c>
      <c r="G15" s="25" t="inlineStr">
        <is>
          <t>App &lt;-&gt; Coupon/Promotion Engine</t>
        </is>
      </c>
      <c r="H15" s="25" t="inlineStr">
        <is>
          <t>Ví coupon có cả coupon giao hàng và coupon sản phẩm cùng hợp lệ cho 1 đơn hàng.</t>
        </is>
      </c>
      <c r="I15" s="25" t="inlineStr">
        <is>
          <t>Engine tự động áp dụng cả 2 loại coupon (không cần khách chọn tay), trả về đúng số tiền giảm cho từng nhóm để app hiện tách biệt (BRL-32); không có trường hợp 2 coupon giảm giá trùng 1 khoản tiền (double-dip) nếu business rule không cho phép.</t>
        </is>
      </c>
      <c r="J15" s="25" t="inlineStr">
        <is>
          <t>QnA-17</t>
        </is>
      </c>
      <c r="K15" s="25" t="inlineStr">
        <is>
          <t>Danh mục đầy đủ loại khuyến mãi vẫn đang mở (OQ-17/QnA-17).</t>
        </is>
      </c>
    </row>
    <row r="16" ht="45.75" customHeight="1" s="23">
      <c r="A16" s="8" t="n">
        <v>14</v>
      </c>
      <c r="B16" s="8" t="inlineStr">
        <is>
          <t>INT-08-SC2</t>
        </is>
      </c>
      <c r="C16" s="8" t="inlineStr">
        <is>
          <t>Coupon &amp; Khuyến mãi Engine</t>
        </is>
      </c>
      <c r="D16" s="8" t="inlineStr">
        <is>
          <t>CT-03, BRL-19</t>
        </is>
      </c>
      <c r="E16" s="8" t="inlineStr">
        <is>
          <t>Boundary</t>
        </is>
      </c>
      <c r="F16" s="8" t="inlineStr">
        <is>
          <t>Engine tính đúng tiến độ freeship (150.000đ) real-time khi giỏ hàng thay đổi (thêm/bớt sản phẩm, áp dụng coupon).</t>
        </is>
      </c>
      <c r="G16" s="8" t="inlineStr">
        <is>
          <t>App &lt;-&gt; Coupon/Promotion Engine (freeship calculation)</t>
        </is>
      </c>
      <c r="H16" s="8" t="inlineStr">
        <is>
          <t>Giỏ hàng đang ở 130.000đ, chưa đạt freeship.</t>
        </is>
      </c>
      <c r="I16" s="8" t="inlineStr">
        <is>
          <t>Thêm sản phẩm 20.000đ đưa tổng = 150.000đ, engine phải trả về trạng thái 'đã đạt freeship' và phí giao hàng Standard chuyển về 0đ NGAY (không cần F5/tải lại màn hình).</t>
        </is>
      </c>
      <c r="J16" s="8" t="n"/>
      <c r="K16" s="8" t="n"/>
    </row>
    <row r="17" ht="45.75" customHeight="1" s="23">
      <c r="A17" s="25" t="n">
        <v>15</v>
      </c>
      <c r="B17" s="25" t="inlineStr">
        <is>
          <t>INT-09-SC1</t>
        </is>
      </c>
      <c r="C17" s="25" t="inlineStr">
        <is>
          <t>Loyalty &amp; Điểm thưởng Engine</t>
        </is>
      </c>
      <c r="D17" s="25" t="inlineStr">
        <is>
          <t>CO-05, BRL-27</t>
        </is>
      </c>
      <c r="E17" s="25" t="inlineStr">
        <is>
          <t>Functional</t>
        </is>
      </c>
      <c r="F17" s="25" t="inlineStr">
        <is>
          <t>Điểm thưởng tích luỹ đúng số khi khách chọn khung giờ 'point-earning' (ví dụ 18:00-20:00).</t>
        </is>
      </c>
      <c r="G17" s="25" t="inlineStr">
        <is>
          <t>App &lt;-&gt; Loyalty/Points Engine</t>
        </is>
      </c>
      <c r="H17" s="25" t="inlineStr">
        <is>
          <t>Khách chọn 1 trong các khung giờ point-earning được cấu hình.</t>
        </is>
      </c>
      <c r="I17" s="25" t="inlineStr">
        <is>
          <t>Engine cộng đúng số điểm thưởng cho khung giờ đó vào dự kiến điểm sẽ tích sau đơn hàng; con số hiện trên app phải KHỚP với giá trị engine trả về (không hard-code phía client).</t>
        </is>
      </c>
      <c r="J17" s="25" t="inlineStr">
        <is>
          <t>QnA-36</t>
        </is>
      </c>
      <c r="K17" s="25" t="inlineStr">
        <is>
          <t>Con số 10.000 điểm hiện chỉ thấy trên Figma (QnA-36), cần đối chiếu với giá trị thực tế engine trả về khi có môi trường test.</t>
        </is>
      </c>
    </row>
    <row r="18" ht="45.75" customHeight="1" s="23">
      <c r="A18" s="8" t="n">
        <v>16</v>
      </c>
      <c r="B18" s="8" t="inlineStr">
        <is>
          <t>INT-10-SC1</t>
        </is>
      </c>
      <c r="C18" s="8" t="inlineStr">
        <is>
          <t>GotIt / Gift Card Service</t>
        </is>
      </c>
      <c r="D18" s="8" t="inlineStr">
        <is>
          <t>CO-04</t>
        </is>
      </c>
      <c r="E18" s="8" t="inlineStr">
        <is>
          <t>Functional</t>
        </is>
      </c>
      <c r="F18" s="8" t="inlineStr">
        <is>
          <t>Dịch vụ GotIt/gift card xác thực mã và trả về đúng mệnh giá hoặc từ chối mã không hợp lệ/đã dùng.</t>
        </is>
      </c>
      <c r="G18" s="8" t="inlineStr">
        <is>
          <t>App &lt;-&gt; GotIt/Gift Card Service</t>
        </is>
      </c>
      <c r="H18" s="8" t="inlineStr">
        <is>
          <t>1 mã hợp lệ chưa dùng, và 1 mã đã được dùng trước đó.</t>
        </is>
      </c>
      <c r="I18" s="8" t="inlineStr">
        <is>
          <t>Mã hợp lệ: dịch vụ trả về đúng mệnh giá, app trừ đúng vào tổng tiền. Mã đã dùng: dịch vụ từ chối kèm lý do rõ ràng ('mã đã được sử dụng'), không trừ tiền.</t>
        </is>
      </c>
      <c r="J18" s="8" t="n"/>
      <c r="K18" s="8" t="n"/>
    </row>
    <row r="19" ht="45.75" customHeight="1" s="23">
      <c r="A19" s="25" t="n">
        <v>17</v>
      </c>
      <c r="B19" s="25" t="inlineStr">
        <is>
          <t>INT-11-SC1</t>
        </is>
      </c>
      <c r="C19" s="25" t="inlineStr">
        <is>
          <t>Dịch vụ hoá đơn VAT</t>
        </is>
      </c>
      <c r="D19" s="25" t="inlineStr">
        <is>
          <t>CO-07, OQ-19</t>
        </is>
      </c>
      <c r="E19" s="25" t="inlineStr">
        <is>
          <t>Functional</t>
        </is>
      </c>
      <c r="F19" s="25" t="inlineStr">
        <is>
          <t>Dịch vụ hoá đơn VAT nhận và lưu đúng thông tin xuất hoá đơn khi khách bật yêu cầu.</t>
        </is>
      </c>
      <c r="G19" s="25" t="inlineStr">
        <is>
          <t>App &lt;-&gt; VAT Invoice Service</t>
        </is>
      </c>
      <c r="H19" s="25" t="inlineStr">
        <is>
          <t>Khách bật toggle yêu cầu xuất hoá đơn VAT và nhập đầy đủ thông tin công ty/mã số thuế.</t>
        </is>
      </c>
      <c r="I19" s="25" t="inlineStr">
        <is>
          <t>Thông tin được gửi đúng sang dịch vụ VAT và gắn đúng với đơn hàng tương ứng; quy tắc VAT có thay đổi trong To-Be hay không vẫn là OQ-19/QnA-19 - test case này chỉ xác minh luồng dữ liệu, không xác minh quy tắc thuế chi tiết.</t>
        </is>
      </c>
      <c r="J19" s="25" t="inlineStr">
        <is>
          <t>QnA-19</t>
        </is>
      </c>
      <c r="K19" s="25" t="n"/>
    </row>
    <row r="20" ht="45.75" customHeight="1" s="23">
      <c r="A20" s="25" t="n">
        <v>18</v>
      </c>
      <c r="B20" s="25" t="inlineStr">
        <is>
          <t>INT-12-SC1</t>
        </is>
      </c>
      <c r="C20" s="25" t="inlineStr">
        <is>
          <t>Delivery Partner &amp; Locker Network</t>
        </is>
      </c>
      <c r="D20" s="25" t="inlineStr">
        <is>
          <t>CT-10, OQ-23</t>
        </is>
      </c>
      <c r="E20" s="25" t="inlineStr">
        <is>
          <t>Functional</t>
        </is>
      </c>
      <c r="F20" s="25" t="inlineStr">
        <is>
          <t>Hệ thống Delivery Partner trả về đúng trạng thái locker (còn chỗ / hết chỗ) cho cả 2 loại locker gần nhà và tại store.</t>
        </is>
      </c>
      <c r="G20" s="25" t="inlineStr">
        <is>
          <t>App &lt;-&gt; Delivery Partner / Locker Network</t>
        </is>
      </c>
      <c r="H20" s="25" t="inlineStr">
        <is>
          <t>1 locker gần nhà còn chỗ, 1 locker tại store đã hết chỗ.</t>
        </is>
      </c>
      <c r="I20" s="25" t="inlineStr">
        <is>
          <t>App hiện đúng trạng thái từng locker theo phản hồi từ Delivery Partner; khách không chọn được locker đã hết chỗ.</t>
        </is>
      </c>
      <c r="J20" s="25" t="inlineStr">
        <is>
          <t>QnA-23, QnA-31</t>
        </is>
      </c>
      <c r="K20" s="25" t="inlineStr">
        <is>
          <t>Quy tắc đầy đủ (giá, thời gian giữ, no-show) vẫn chờ LOTTE MART (OQ-23/QnA-23).</t>
        </is>
      </c>
    </row>
    <row r="21" ht="45.75" customHeight="1" s="23">
      <c r="A21" s="25" t="n">
        <v>19</v>
      </c>
      <c r="B21" s="25" t="inlineStr">
        <is>
          <t>INT-13-SC1</t>
        </is>
      </c>
      <c r="C21" s="25" t="inlineStr">
        <is>
          <t>Dịch vụ phân giải địa chỉ &amp; vùng dịch vụ (Geo/Service-zone)</t>
        </is>
      </c>
      <c r="D21" s="25" t="inlineStr">
        <is>
          <t>HP-04, BRL-10, BRL-11, BRL-12</t>
        </is>
      </c>
      <c r="E21" s="25" t="inlineStr">
        <is>
          <t>Functional</t>
        </is>
      </c>
      <c r="F21" s="25" t="inlineStr">
        <is>
          <t>Dịch vụ phân giải vùng dịch vụ trả về đúng 1 trong 4 trạng thái loại trừ theo khoảng cách địa chỉ-store.</t>
        </is>
      </c>
      <c r="G21" s="25" t="inlineStr">
        <is>
          <t>App &lt;-&gt; Geo/Service-zone Resolution Service</t>
        </is>
      </c>
      <c r="H21" s="25" t="inlineStr">
        <is>
          <t>4 địa chỉ mẫu rơi vào đúng 4 khoảng (3-5km, 10-15km, khu Next-day, ngoài mọi vùng).</t>
        </is>
      </c>
      <c r="I21" s="25" t="inlineStr">
        <is>
          <t>Dịch vụ trả về đúng 1 trong 4 nhãn (60-Minute+Standard / Standard only / Next-day only / not-served) không chồng chéo, phản ánh đúng cấu hình riêng của từng store (bán kính có thể khác nhau giữa các store).</t>
        </is>
      </c>
      <c r="J21" s="25" t="inlineStr">
        <is>
          <t>QnA-09</t>
        </is>
      </c>
      <c r="K21" s="25" t="inlineStr">
        <is>
          <t>Vùng Next-day có đủ toàn bộ VN hay chưa vẫn là OQ-09/QnA-09.</t>
        </is>
      </c>
    </row>
    <row r="22" ht="45.75" customHeight="1" s="23">
      <c r="A22" s="25" t="n">
        <v>20</v>
      </c>
      <c r="B22" s="25" t="inlineStr">
        <is>
          <t>INT-13-SC2</t>
        </is>
      </c>
      <c r="C22" s="25" t="inlineStr">
        <is>
          <t>Dịch vụ phân giải địa chỉ &amp; vùng dịch vụ (Geo/Service-zone)</t>
        </is>
      </c>
      <c r="D22" s="25" t="inlineStr">
        <is>
          <t>CT-07, BRL-24</t>
        </is>
      </c>
      <c r="E22" s="25" t="inlineStr">
        <is>
          <t>Integration</t>
        </is>
      </c>
      <c r="F22" s="25" t="inlineStr">
        <is>
          <t>Khi đổi store trong Cart, dịch vụ phải trả về cả 2 nhóm ảnh hưởng (sản phẩm từ Catalog Service, dịch vụ/slot từ Service-zone Resolution) đồng bộ trong cùng 1 lần gọi để app gộp thành 1 cảnh báo.</t>
        </is>
      </c>
      <c r="G22" s="25" t="inlineStr">
        <is>
          <t>App &lt;-&gt; Service-zone Resolution + Catalog Service</t>
        </is>
      </c>
      <c r="H22" s="25" t="inlineStr">
        <is>
          <t>Giỏ hàng có sản phẩm và dịch vụ đều bị ảnh hưởng khi đổi store.</t>
        </is>
      </c>
      <c r="I22" s="25" t="inlineStr">
        <is>
          <t>2 nguồn dữ liệu (sản phẩm từ Catalog, dịch vụ/slot từ Service-zone) phải được tổng hợp ĐÚNG và ĐỦ trước khi app hiện 1 dialog cảnh báo gộp - không hiện 2 dialog riêng do gọi API lệch thời điểm.</t>
        </is>
      </c>
      <c r="J22" s="25" t="inlineStr">
        <is>
          <t>QnA-25</t>
        </is>
      </c>
      <c r="K22" s="25" t="n"/>
    </row>
    <row r="23" ht="45.75" customHeight="1" s="23">
      <c r="A23" s="25" t="n">
        <v>21</v>
      </c>
      <c r="B23" s="25" t="inlineStr">
        <is>
          <t>INT-14-SC1</t>
        </is>
      </c>
      <c r="C23" s="25" t="inlineStr">
        <is>
          <t>Security - Giới hạn thử OTP/PIN</t>
        </is>
      </c>
      <c r="D23" s="25" t="inlineStr">
        <is>
          <t>NFR-01, LI-06, BR-11</t>
        </is>
      </c>
      <c r="E23" s="25" t="inlineStr">
        <is>
          <t>Security</t>
        </is>
      </c>
      <c r="F23" s="25" t="inlineStr">
        <is>
          <t>Giới hạn thử sai OTP/PIN được thực thi trên SERVER (không chỉ trên client) để tránh bypass bằng cách sửa request trên thiết bị.</t>
        </is>
      </c>
      <c r="G23" s="25" t="inlineStr">
        <is>
          <t>App &lt;-&gt; Security/Auth Service (server-side)</t>
        </is>
      </c>
      <c r="H23" s="25" t="inlineStr">
        <is>
          <t>Đã nhập sai PIN/OTP vượt quá giới hạn cấu hình (giá trị N đang chờ OQ-03).</t>
        </is>
      </c>
      <c r="I23" s="25" t="inlineStr">
        <is>
          <t>Ngay cả khi client bị can thiệp để gửi lại request thử thêm, SERVER vẫn từ chối và yêu cầu xác thực lại bằng OTP - giới hạn không được thực thi CHỈ ở phía client.</t>
        </is>
      </c>
      <c r="J23" s="25" t="inlineStr">
        <is>
          <t>QnA-03</t>
        </is>
      </c>
      <c r="K23" s="25" t="inlineStr">
        <is>
          <t>Con số N chính xác và cơ chế khoá vẫn là OQ-03/QnA-03; test này xác minh việc thực thi phía server bất kể giá trị N cuối cùng là bao nhiêu.</t>
        </is>
      </c>
    </row>
    <row r="24" ht="75" customHeight="1" s="23">
      <c r="A24" s="25" t="n">
        <v>22</v>
      </c>
      <c r="B24" s="25" t="inlineStr">
        <is>
          <t>INT-15-SC1</t>
        </is>
      </c>
      <c r="C24" s="25" t="inlineStr">
        <is>
          <t>Biometric / Device Security Ticket</t>
        </is>
      </c>
      <c r="D24" s="25" t="inlineStr">
        <is>
          <t>LI-07</t>
        </is>
      </c>
      <c r="E24" s="25" t="inlineStr">
        <is>
          <t>Functional</t>
        </is>
      </c>
      <c r="F24" s="25" t="inlineStr">
        <is>
          <t>Khách đăng nhập trên THIẾT BỊ MỚI trong khi biometric ticket trên thiết bị CŨ vẫn còn hiệu lực - đối xứng với INT-06 (test 2 tài khoản trên 1 thiết bị), đây là 1 tài khoản trên 2 thiết bị.</t>
        </is>
      </c>
      <c r="G24" s="25" t="inlineStr">
        <is>
          <t>App (thiết bị cũ + thiết bị mới) &lt;-&gt; Biometric Ticket Service</t>
        </is>
      </c>
      <c r="H24" s="25" t="inlineStr">
        <is>
          <t>Tài khoản đã bật sinh trắc học trên Thiết bị A; khách cài app và đăng nhập trên Thiết bị B (thiết bị mới).</t>
        </is>
      </c>
      <c r="I24" s="25" t="inlineStr">
        <is>
          <t>TBD - OQ-11/LI-07 chưa có hướng xử lý chính thức (giữ ticket cũ trên Thiết bị A, hay tự động thu hồi khi có thiết bị mới đăng nhập, hay cho tồn tại song song). Ghi nhận hành vi thực tế của hệ thống hiện tại để đối chiếu.</t>
        </is>
      </c>
      <c r="J24" s="25" t="inlineStr">
        <is>
          <t>QnA-07, QnA-11</t>
        </is>
      </c>
      <c r="K24" s="25" t="inlineStr">
        <is>
          <t>Đối xứng với INT-06 (đổi tài khoản trên 1 thiết bị); đây là đổi thiết bị trên 1 tài khoản. Bổ sung theo Review 26/08/2026 - đóng gap 'LI-07 chưa có test case nào' trong Review - Gaps &amp; Issues.</t>
        </is>
      </c>
    </row>
    <row r="25">
      <c r="A25" s="25" t="n">
        <v>23</v>
      </c>
      <c r="B25" s="25" t="inlineStr">
        <is>
          <t>INT-16-SC1</t>
        </is>
      </c>
      <c r="C25" s="25" t="inlineStr">
        <is>
          <t>Hieu nang &amp; Chiu tai (Performance/NFR)</t>
        </is>
      </c>
      <c r="D25" s="25" t="inlineStr">
        <is>
          <t>NFR-01, NFR-02, NFR-03, NFR-04, NFR-05</t>
        </is>
      </c>
      <c r="E25" s="25" t="inlineStr">
        <is>
          <t>Functional</t>
        </is>
      </c>
      <c r="F25" s="25" t="inlineStr">
        <is>
          <t>Ghi nhận baseline giới hạn thử sai OTP/PIN và thời gian phản hồi hiện tại của hệ thống làm mốc tham chiếu tạm thời, trong khi chờ LOTTE MART/PO xác nhận con số mục tiêu chính thức cho NFR-01..05 (QnA-41).</t>
        </is>
      </c>
      <c r="G25" s="25" t="inlineStr">
        <is>
          <t>Toàn bộ hệ thống (App &lt;-&gt; Backend, không giới hạn 1 dịch vụ cụ thể)</t>
        </is>
      </c>
      <c r="H25" s="25" t="inlineStr">
        <is>
          <t>Môi trường test ổn định (staging), không có tải giả lập đồng thời (đây KHÔNG phải test tải/load thực sự).</t>
        </is>
      </c>
      <c r="I25" s="25" t="inlineStr">
        <is>
          <t>TBD - NFR-01..05 chưa có con số mục tiêu chính thức (QnA-41, đang Open). Test case này CHỈ ghi nhận hành vi/số liệu HIỆN TẠI của hệ thống làm baseline tham khảo (thời gian phản hồi 1 số thao tác chính, số lần thử sai OTP/PIN trước khi khoá) - KHÔNG phải test Performance/Load chính thức. Test Performance/Load đầy đủ (concurrency, throughput, chịu tải) cần 1 Test Plan riêng, ngoài phạm vi bộ test case Functional/Integration này.</t>
        </is>
      </c>
      <c r="J25" s="25" t="inlineStr">
        <is>
          <t>QnA-41</t>
        </is>
      </c>
      <c r="K25" s="25" t="inlineStr">
        <is>
          <t>Bổ sung theo yêu cầu review 26/08/2026 - đóng gap 'chưa có test case nào cho NFR-01..05' (#13 trong Review - Gaps &amp; Issues, sheet đã được xoá sau khi xử lý xong toàn bộ 19 mục). Test case Functional ghi nhận baseline, KHÔNG thay thế kế hoạch test Performance/Load chính thức.</t>
        </is>
      </c>
    </row>
  </sheetData>
  <mergeCells count="1">
    <mergeCell ref="A1:J1"/>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R25"/>
  <sheetViews>
    <sheetView showGridLines="0" zoomScaleNormal="100" workbookViewId="0">
      <pane ySplit="2" topLeftCell="A3" activePane="bottomLeft" state="frozen"/>
      <selection pane="bottomLeft" activeCell="A1" sqref="A1"/>
    </sheetView>
  </sheetViews>
  <sheetFormatPr baseColWidth="8" defaultColWidth="8.7109375" defaultRowHeight="15"/>
  <cols>
    <col width="22" customWidth="1" style="23" min="1" max="1"/>
    <col width="18" customWidth="1" style="23" min="2" max="2"/>
    <col width="34" customWidth="1" style="23" min="3" max="3"/>
    <col width="20" customWidth="1" style="23" min="4" max="4"/>
    <col width="12" customWidth="1" style="23" min="5" max="5"/>
    <col width="38" customWidth="1" style="23" min="6" max="6"/>
    <col width="30" customWidth="1" style="23" min="7" max="7"/>
    <col width="48" customWidth="1" style="23" min="8" max="8"/>
    <col width="26" customWidth="1" style="23" min="9" max="9"/>
    <col width="48" customWidth="1" style="23" min="10" max="10"/>
    <col width="10" customWidth="1" style="23" min="11" max="11"/>
    <col width="14" customWidth="1" style="23" min="12" max="12"/>
    <col width="12" customWidth="1" style="23" min="13" max="13"/>
    <col width="10" customWidth="1" style="23" min="14" max="14"/>
    <col width="12" customWidth="1" style="23" min="15" max="16"/>
    <col width="40" customWidth="1" style="23" min="17" max="17"/>
    <col width="50" customWidth="1" style="23" min="18" max="18"/>
  </cols>
  <sheetData>
    <row r="1" ht="17.25" customHeight="1" s="23">
      <c r="A1" s="2" t="inlineStr">
        <is>
          <t>Simplify Checkout — Integration Detailed Test Cases</t>
        </is>
      </c>
    </row>
    <row r="2" ht="27.75" customHeight="1" s="23">
      <c r="A2" s="7" t="inlineStr">
        <is>
          <t>Test Case ID</t>
        </is>
      </c>
      <c r="B2" s="7" t="inlineStr">
        <is>
          <t>Parent Scenario ID</t>
        </is>
      </c>
      <c r="C2" s="7" t="inlineStr">
        <is>
          <t>Module</t>
        </is>
      </c>
      <c r="D2" s="7" t="inlineStr">
        <is>
          <t>REQ ID (SRS)</t>
        </is>
      </c>
      <c r="E2" s="7" t="inlineStr">
        <is>
          <t>Test Case Type</t>
        </is>
      </c>
      <c r="F2" s="7" t="inlineStr">
        <is>
          <t>Test Case Title</t>
        </is>
      </c>
      <c r="G2" s="7" t="inlineStr">
        <is>
          <t>Preconditions</t>
        </is>
      </c>
      <c r="H2" s="7" t="inlineStr">
        <is>
          <t>Test Steps</t>
        </is>
      </c>
      <c r="I2" s="7" t="inlineStr">
        <is>
          <t>Test Data</t>
        </is>
      </c>
      <c r="J2" s="7" t="inlineStr">
        <is>
          <t>Expected Result</t>
        </is>
      </c>
      <c r="K2" s="7" t="inlineStr">
        <is>
          <t>Priority</t>
        </is>
      </c>
      <c r="L2" s="7" t="inlineStr">
        <is>
          <t>Actual Result</t>
        </is>
      </c>
      <c r="M2" s="7" t="inlineStr">
        <is>
          <t>Pass/Fail Status</t>
        </is>
      </c>
      <c r="N2" s="7" t="inlineStr">
        <is>
          <t>Tester</t>
        </is>
      </c>
      <c r="O2" s="7" t="inlineStr">
        <is>
          <t>Test Date</t>
        </is>
      </c>
      <c r="P2" s="7" t="inlineStr">
        <is>
          <t>QnA Ref</t>
        </is>
      </c>
      <c r="Q2" s="7" t="inlineStr">
        <is>
          <t>Comments</t>
        </is>
      </c>
      <c r="R2" s="7" t="inlineStr">
        <is>
          <t>Ghi chu Review (QC)</t>
        </is>
      </c>
    </row>
    <row r="3" ht="69.75" customHeight="1" s="23">
      <c r="A3" s="25" t="inlineStr">
        <is>
          <t>INT-01-SC1-TC1</t>
        </is>
      </c>
      <c r="B3" s="25" t="inlineStr">
        <is>
          <t>INT-01-SC1</t>
        </is>
      </c>
      <c r="C3" s="25" t="inlineStr">
        <is>
          <t>Cổng OTP Zalo/SMS</t>
        </is>
      </c>
      <c r="D3" s="25" t="inlineStr">
        <is>
          <t>SU-03, BRL-14</t>
        </is>
      </c>
      <c r="E3" s="25" t="inlineStr">
        <is>
          <t>Functional</t>
        </is>
      </c>
      <c r="F3" s="25" t="inlineStr">
        <is>
          <t>Zalo thất bại gửi OTP không tự động fallback sang SMS</t>
        </is>
      </c>
      <c r="G3" s="25" t="inlineStr">
        <is>
          <t>Đã nhập SĐT hợp lệ, chọn kênh Zalo, cổng Zalo được giả lập trả về lỗi gửi.</t>
        </is>
      </c>
      <c r="H3" s="25" t="inlineStr">
        <is>
          <t>1. Nhập SĐT, chọn kênh Zalo (mặc định), bấm gửi OTP.
2. Giả lập Zalo Gateway trả về lỗi/không giao được tin.
3. Quan sát trạng thái app trong suốt thời gian đếm ngược Resend.
4. Sau khi hết đếm ngược, kiểm tra CÓ nút/tuỳ chọn đổi kênh sang SMS hay không.
5. Chọn đổi kênh sang SMS, xác nhận OTP mới được gửi qua SMS.</t>
        </is>
      </c>
      <c r="I3" s="25" t="inlineStr">
        <is>
          <t>SĐT test: 0912345678. Zalo Gateway: giả lập trả về lỗi.</t>
        </is>
      </c>
      <c r="J3" s="25" t="inlineStr">
        <is>
          <t>Bước 3: app KHÔNG tự động gọi SMS Gateway trong lúc đếm ngược. Bước 5: chỉ khi khách CHỦ ĐỘNG đổi kênh, request mới được gửi qua SMS Gateway.</t>
        </is>
      </c>
      <c r="K3" s="25" t="inlineStr">
        <is>
          <t>High</t>
        </is>
      </c>
      <c r="L3" s="9" t="n"/>
      <c r="M3" s="9" t="inlineStr">
        <is>
          <t>Not Run</t>
        </is>
      </c>
      <c r="N3" s="9" t="n"/>
      <c r="O3" s="9" t="n"/>
      <c r="P3" s="25" t="inlineStr">
        <is>
          <t>QnA-08</t>
        </is>
      </c>
      <c r="Q3" s="25" t="n"/>
      <c r="R3" s="8" t="n"/>
    </row>
    <row r="4" ht="69.75" customHeight="1" s="23">
      <c r="A4" s="25" t="inlineStr">
        <is>
          <t>INT-01-SC2-TC1</t>
        </is>
      </c>
      <c r="B4" s="25" t="inlineStr">
        <is>
          <t>INT-01-SC2</t>
        </is>
      </c>
      <c r="C4" s="25" t="inlineStr">
        <is>
          <t>Cổng OTP Zalo/SMS</t>
        </is>
      </c>
      <c r="D4" s="25" t="inlineStr">
        <is>
          <t>NFR-01, BRL-15</t>
        </is>
      </c>
      <c r="E4" s="25" t="inlineStr">
        <is>
          <t>Boundary</t>
        </is>
      </c>
      <c r="F4" s="25" t="inlineStr">
        <is>
          <t>Cổng OTP từ chối khi vượt quá số lần yêu cầu trong 1 khoảng thời gian</t>
        </is>
      </c>
      <c r="G4" s="25" t="inlineStr">
        <is>
          <t>Đã gửi OTP nhiều lần liên tiếp cho cùng 1 SĐT trong thời gian ngắn (giả lập vượt mức giới hạn rate-limit).</t>
        </is>
      </c>
      <c r="H4" s="25" t="inlineStr">
        <is>
          <t>1. Bấm Resend/gửi OTP liên tiếp nhiều lần (vượt quá mức giới hạn giả định, ví dụ 5 lần/10 phút).
2. Quan sát phản hồi từ Cổng OTP ở lần vượt giới hạn.</t>
        </is>
      </c>
      <c r="I4" s="25" t="inlineStr">
        <is>
          <t>SĐT test, số lần gửi thử: vượt mức giới hạn giả định (giá trị chính thức chờ OQ-03).</t>
        </is>
      </c>
      <c r="J4" s="25" t="inlineStr">
        <is>
          <t>Cổng OTP trả về lỗi rate-limit rõ ràng (không phải lỗi hệ thống chung chung); app hiện thông báo hướng dẫn khách chờ thêm thời gian.</t>
        </is>
      </c>
      <c r="K4" s="25" t="inlineStr">
        <is>
          <t>Medium</t>
        </is>
      </c>
      <c r="L4" s="9" t="n"/>
      <c r="M4" s="9" t="inlineStr">
        <is>
          <t>Not Run</t>
        </is>
      </c>
      <c r="N4" s="9" t="n"/>
      <c r="O4" s="9" t="n"/>
      <c r="P4" s="25" t="inlineStr">
        <is>
          <t>QnA-03</t>
        </is>
      </c>
      <c r="Q4" s="25" t="inlineStr">
        <is>
          <t>Mức giới hạn cụ thể sẽ được cập nhật lại khi OQ-03/QnA-03 có câu trả lời chính thức.</t>
        </is>
      </c>
      <c r="R4" s="10" t="inlineStr">
        <is>
          <t>Con số 'vượt mức giới hạn gửi OTP' trong test này đang là giả định để viết cho có ví dụ để hình dung, CHƯA phải con số chính thức. Khi có câu trả lời QnA-03 từ Security/Dev thì phải sửa lại đúng con số thật.</t>
        </is>
      </c>
    </row>
    <row r="5" ht="69.75" customHeight="1" s="23">
      <c r="A5" s="8" t="inlineStr">
        <is>
          <t>INT-02-SC1-TC1</t>
        </is>
      </c>
      <c r="B5" s="8" t="inlineStr">
        <is>
          <t>INT-02-SC1</t>
        </is>
      </c>
      <c r="C5" s="8" t="inlineStr">
        <is>
          <t>Cổng thanh toán &amp; BNPL</t>
        </is>
      </c>
      <c r="D5" s="8" t="inlineStr">
        <is>
          <t>CO-06, BRL-33</t>
        </is>
      </c>
      <c r="E5" s="8" t="inlineStr">
        <is>
          <t>Functional</t>
        </is>
      </c>
      <c r="F5" s="8" t="inlineStr">
        <is>
          <t>Badge khuyến mãi hiện đúng riêng cho từng phương thức thanh toán</t>
        </is>
      </c>
      <c r="G5" s="8" t="inlineStr">
        <is>
          <t>MoMo đang có khuyến mãi 'Giảm 20.000đ', ZaloPay đang có 'Giảm 3.000đ', Thẻ và BNPL không có khuyến mãi.</t>
        </is>
      </c>
      <c r="H5" s="8" t="inlineStr">
        <is>
          <t>1. Vào màn Phương thức thanh toán tại Checkout.
2. Quan sát badge trên từng phương thức.
3. Chọn MoMo, xác nhận badge áp dụng đúng cho MoMo.
4. Đổi sang ZaloPay, xác nhận badge đổi đúng theo ZaloPay.</t>
        </is>
      </c>
      <c r="I5" s="8" t="inlineStr">
        <is>
          <t>MoMo: badge 'Giảm 20.000đ'. ZaloPay: badge 'Giảm 3.000đ'. Thẻ, BNPL: không badge.</t>
        </is>
      </c>
      <c r="J5" s="8" t="inlineStr">
        <is>
          <t>Mỗi phương thức hiện đúng badge của riêng nó; khi đổi phương thức, badge cập nhật đúng theo lựa chọn mới, không giữ badge của phương thức trước.</t>
        </is>
      </c>
      <c r="K5" s="8" t="inlineStr">
        <is>
          <t>Medium</t>
        </is>
      </c>
      <c r="L5" s="9" t="n"/>
      <c r="M5" s="9" t="inlineStr">
        <is>
          <t>Not Run</t>
        </is>
      </c>
      <c r="N5" s="9" t="n"/>
      <c r="O5" s="9" t="n"/>
      <c r="P5" s="8" t="n"/>
      <c r="Q5" s="8" t="n"/>
      <c r="R5" s="8" t="n"/>
    </row>
    <row r="6" ht="69.75" customHeight="1" s="23">
      <c r="A6" s="8" t="inlineStr">
        <is>
          <t>INT-02-SC2-TC1</t>
        </is>
      </c>
      <c r="B6" s="8" t="inlineStr">
        <is>
          <t>INT-02-SC2</t>
        </is>
      </c>
      <c r="C6" s="8" t="inlineStr">
        <is>
          <t>Cổng thanh toán &amp; BNPL</t>
        </is>
      </c>
      <c r="D6" s="8" t="inlineStr">
        <is>
          <t>CO-10, NFR-04</t>
        </is>
      </c>
      <c r="E6" s="8" t="inlineStr">
        <is>
          <t>Exception</t>
        </is>
      </c>
      <c r="F6" s="8" t="inlineStr">
        <is>
          <t>Timeout từ cổng thanh toán không tạo đơn trùng lặp và giữ nguyên dữ liệu Checkout</t>
        </is>
      </c>
      <c r="G6" s="8" t="inlineStr">
        <is>
          <t>Đơn hàng hợp lệ, giả lập Payment Gateway timeout khi bấm Đặt hàng.</t>
        </is>
      </c>
      <c r="H6" s="8" t="inlineStr">
        <is>
          <t>1. Điền đủ thông tin Checkout (địa chỉ, sản phẩm, coupon, điểm, phương thức thanh toán).
2. Bấm Đặt hàng, giả lập Payment Gateway không phản hồi (timeout).
3. Quan sát thông báo lỗi.
4. Bấm Đặt hàng LẠI lần 2 (giả lập gateway phản hồi thành công lần này).
5. Kiểm tra số lượng đơn hàng được tạo trong OMS.</t>
        </is>
      </c>
      <c r="I6" s="8" t="inlineStr">
        <is>
          <t>Đơn hàng mẫu đã áp dụng 1 coupon + 1000 điểm.</t>
        </is>
      </c>
      <c r="J6" s="8" t="inlineStr">
        <is>
          <t>Bước 3: thông báo lỗi rõ ràng, cho phép thử lại. Bước 5: CHỈ ĐÚNG 1 đơn hàng được tạo trong OMS (không bị tạo 2 đơn do request bị gửi lại) và toàn bộ coupon/điểm đã áp dụng vẫn còn nguyên ở lần thử 2.</t>
        </is>
      </c>
      <c r="K6" s="8" t="inlineStr">
        <is>
          <t>High</t>
        </is>
      </c>
      <c r="L6" s="9" t="n"/>
      <c r="M6" s="9" t="inlineStr">
        <is>
          <t>Not Run</t>
        </is>
      </c>
      <c r="N6" s="9" t="n"/>
      <c r="O6" s="9" t="n"/>
      <c r="P6" s="8" t="n"/>
      <c r="Q6" s="8" t="n"/>
      <c r="R6" s="8" t="n"/>
    </row>
    <row r="7" ht="69.75" customHeight="1" s="23">
      <c r="A7" s="25" t="inlineStr">
        <is>
          <t>INT-03-SC1-TC1</t>
        </is>
      </c>
      <c r="B7" s="25" t="inlineStr">
        <is>
          <t>INT-03-SC1</t>
        </is>
      </c>
      <c r="C7" s="25" t="inlineStr">
        <is>
          <t>OMS/DMS - Slot Capacity &amp; Next-day</t>
        </is>
      </c>
      <c r="D7" s="25" t="inlineStr">
        <is>
          <t>CT-08</t>
        </is>
      </c>
      <c r="E7" s="25" t="inlineStr">
        <is>
          <t>Functional</t>
        </is>
      </c>
      <c r="F7" s="25" t="inlineStr">
        <is>
          <t>Số slot 60-Minute còn lại được cập nhật real-time từ OMS/DMS, đúng cảnh báo trong Cart</t>
        </is>
      </c>
      <c r="G7" s="25" t="inlineStr">
        <is>
          <t>Store test cấu hình 3 slot 60-Minute còn lại cho khung giờ đang xét.</t>
        </is>
      </c>
      <c r="H7" s="25" t="inlineStr">
        <is>
          <t>1. Mở Cart, quan sát số slot còn lại hiển thị (3).
2. Giả lập (từ 1 thiết bị/tài khoản khác) đặt 2 đơn liên tiếp chiếm 2 slot.
3. Làm mới Cart trên thiết bị đang test, quan sát số slot còn lại và cảnh báo (nếu có).</t>
        </is>
      </c>
      <c r="I7" s="25" t="inlineStr">
        <is>
          <t>Slot ban đầu: 3. Sau 2 đơn khác: còn lại 1 (bằng ngưỡng cảnh báo).</t>
        </is>
      </c>
      <c r="J7" s="25" t="inlineStr">
        <is>
          <t>Sau bước 2, Cart trên thiết bị đang test phải phản ánh đúng còn lại 1 slot và HIỆN cảnh báo sắp hết chỗ (không bị cache/lệch dữ liệu).</t>
        </is>
      </c>
      <c r="K7" s="25" t="inlineStr">
        <is>
          <t>Medium</t>
        </is>
      </c>
      <c r="L7" s="9" t="n"/>
      <c r="M7" s="9" t="inlineStr">
        <is>
          <t>Not Run</t>
        </is>
      </c>
      <c r="N7" s="9" t="n"/>
      <c r="O7" s="9" t="n"/>
      <c r="P7" s="25" t="inlineStr">
        <is>
          <t>QnA-12</t>
        </is>
      </c>
      <c r="Q7" s="25" t="n"/>
      <c r="R7" s="8" t="n"/>
    </row>
    <row r="8" ht="69.75" customHeight="1" s="23">
      <c r="A8" s="8" t="inlineStr">
        <is>
          <t>INT-03-SC2-TC1</t>
        </is>
      </c>
      <c r="B8" s="8" t="inlineStr">
        <is>
          <t>INT-03-SC2</t>
        </is>
      </c>
      <c r="C8" s="8" t="inlineStr">
        <is>
          <t>OMS/DMS - Slot Capacity &amp; Next-day</t>
        </is>
      </c>
      <c r="D8" s="8" t="inlineStr">
        <is>
          <t>CT-08, BRL-21</t>
        </is>
      </c>
      <c r="E8" s="8" t="inlineStr">
        <is>
          <t>Functional</t>
        </is>
      </c>
      <c r="F8" s="8" t="inlineStr">
        <is>
          <t>Slot được giải phóng tự động khi đơn được đánh dấu sẵn sàng giao</t>
        </is>
      </c>
      <c r="G8" s="8" t="inlineStr">
        <is>
          <t>1 slot đang ở trạng thái Closed do 1 đơn chiếm hết chỗ.</t>
        </is>
      </c>
      <c r="H8" s="8" t="inlineStr">
        <is>
          <t>1. Xác nhận slot X đang Closed (hết chỗ).
2. Giả lập Store Operations đánh dấu đơn chiếm slot X là 'ready for delivery' trong OMS.
3. Làm mới Cart/màn chọn slot, quan sát trạng thái slot X.</t>
        </is>
      </c>
      <c r="I8" s="8" t="inlineStr">
        <is>
          <t>Slot X: Closed trước bước 2.</t>
        </is>
      </c>
      <c r="J8" s="8" t="inlineStr">
        <is>
          <t>Ngay sau bước 2, slot X TỰ ĐỘNG chuyển về Open (nếu còn đúng capacity), không cần thao tác thủ công nào từ phía khách hay QC.</t>
        </is>
      </c>
      <c r="K8" s="8" t="inlineStr">
        <is>
          <t>Medium</t>
        </is>
      </c>
      <c r="L8" s="9" t="n"/>
      <c r="M8" s="9" t="inlineStr">
        <is>
          <t>Not Run</t>
        </is>
      </c>
      <c r="N8" s="9" t="n"/>
      <c r="O8" s="9" t="n"/>
      <c r="P8" s="8" t="n"/>
      <c r="Q8" s="8" t="n"/>
      <c r="R8" s="8" t="n"/>
    </row>
    <row r="9" ht="69.75" customHeight="1" s="23">
      <c r="A9" s="8" t="inlineStr">
        <is>
          <t>INT-04-SC1-TC1</t>
        </is>
      </c>
      <c r="B9" s="8" t="inlineStr">
        <is>
          <t>INT-04-SC1</t>
        </is>
      </c>
      <c r="C9" s="8" t="inlineStr">
        <is>
          <t>OMS - Tiếp nhận đơn hàng (Place Order)</t>
        </is>
      </c>
      <c r="D9" s="8" t="inlineStr">
        <is>
          <t>CO-10</t>
        </is>
      </c>
      <c r="E9" s="8" t="inlineStr">
        <is>
          <t>Functional</t>
        </is>
      </c>
      <c r="F9" s="8" t="inlineStr">
        <is>
          <t>Dữ liệu đơn hàng gửi sang OMS khớp chính xác với tóm tắt thanh toán đã hiển thị</t>
        </is>
      </c>
      <c r="G9" s="8" t="inlineStr">
        <is>
          <t>Đơn hàng: 3 SKU, 1 coupon sản phẩm (-10.000đ), 500 điểm đã dùng (-500đ), phí giao hàng 16.000đ.</t>
        </is>
      </c>
      <c r="H9" s="8" t="inlineStr">
        <is>
          <t>1. Hoàn tất Checkout với dữ liệu mẫu, ghi lại TOÀN BỘ các dòng trong tóm tắt thanh toán.
2. Bấm Đặt hàng.
3. Truy vấn bản ghi đơn hàng trong OMS (qua công cụ QC/log được cấp quyền).
4. Đối chiếu từng trường với tóm tắt đã ghi ở bước 1.</t>
        </is>
      </c>
      <c r="I9" s="8" t="inlineStr">
        <is>
          <t>3 SKU mẫu, coupon -10.000đ, điểm -500đ, phí giao hàng 16.000đ.</t>
        </is>
      </c>
      <c r="J9" s="8" t="inlineStr">
        <is>
          <t>Tất cả các trường trong OMS (danh sách SKU, giá, coupon, điểm, phí) KHỚP CHÍNH XÁC 1-1 với tóm tắt thanh toán đã hiện trên app - không lệch dù 1 dòng.</t>
        </is>
      </c>
      <c r="K9" s="8" t="inlineStr">
        <is>
          <t>High</t>
        </is>
      </c>
      <c r="L9" s="9" t="n"/>
      <c r="M9" s="9" t="inlineStr">
        <is>
          <t>Not Run</t>
        </is>
      </c>
      <c r="N9" s="9" t="n"/>
      <c r="O9" s="9" t="n"/>
      <c r="P9" s="8" t="n"/>
      <c r="Q9" s="8" t="n"/>
      <c r="R9" s="10" t="inlineStr">
        <is>
          <t>Bước 3 đang ghi chung chung là 'qua công cụ QC để truy vấn log OMS' - nên ghi rõ TÊN công cụ/người chịu trách nhiệm cấp quyền truy vấn, để người thực thi test biết làm thế nào, tránh mỗi người hiểu khác nhau.</t>
        </is>
      </c>
    </row>
    <row r="10" ht="69.75" customHeight="1" s="23">
      <c r="A10" s="8" t="inlineStr">
        <is>
          <t>INT-04-SC2-TC1</t>
        </is>
      </c>
      <c r="B10" s="8" t="inlineStr">
        <is>
          <t>INT-04-SC2</t>
        </is>
      </c>
      <c r="C10" s="8" t="inlineStr">
        <is>
          <t>OMS - Tiếp nhận đơn hàng (Place Order)</t>
        </is>
      </c>
      <c r="D10" s="8" t="inlineStr">
        <is>
          <t>CO-10, BR-09</t>
        </is>
      </c>
      <c r="E10" s="8" t="inlineStr">
        <is>
          <t>Negative</t>
        </is>
      </c>
      <c r="F10" s="8" t="inlineStr">
        <is>
          <t>OMS từ chối đơn do hết hàng giữa lúc thanh toán đưa khách về Cart với dữ liệu đã cập nhật</t>
        </is>
      </c>
      <c r="G10" s="8" t="inlineStr">
        <is>
          <t>1 SKU trong đơn được giả lập hết hàng đúng lúc khách bấm Đặt hàng.</t>
        </is>
      </c>
      <c r="H10" s="8" t="inlineStr">
        <is>
          <t>1. Chuẩn bị đơn có SKU-Z sắp hết hàng (còn 1 đơn vị).
2. Giả lập 1 giao dịch khác mua hết SKU-Z ngay trước khi khách bấm Đặt hàng.
3. Khách bấm Đặt hàng.
4. Quan sát phản hồi từ OMS và màn hình kế tiếp.</t>
        </is>
      </c>
      <c r="I10" s="8" t="inlineStr">
        <is>
          <t>SKU-Z: còn 1 đơn vị, bị mua hết bởi giao dịch khác ngay trước đó.</t>
        </is>
      </c>
      <c r="J10" s="8" t="inlineStr">
        <is>
          <t>OMS từ chối xác nhận đơn, trả về lý do (SKU-Z hết hàng); app hiện thông báo rõ và đưa khách về Cart, SKU-Z đã được cập nhật trạng thái hết hàng, các SKU/coupon/điểm/phương thức thanh toán khác vẫn còn nguyên.</t>
        </is>
      </c>
      <c r="K10" s="8" t="inlineStr">
        <is>
          <t>High</t>
        </is>
      </c>
      <c r="L10" s="9" t="n"/>
      <c r="M10" s="9" t="inlineStr">
        <is>
          <t>Not Run</t>
        </is>
      </c>
      <c r="N10" s="9" t="n"/>
      <c r="O10" s="9" t="n"/>
      <c r="P10" s="8" t="n"/>
      <c r="Q10" s="8" t="n"/>
      <c r="R10" s="8" t="n"/>
    </row>
    <row r="11" ht="69.75" customHeight="1" s="23">
      <c r="A11" s="8" t="inlineStr">
        <is>
          <t>INT-05-SC1-TC1</t>
        </is>
      </c>
      <c r="B11" s="8" t="inlineStr">
        <is>
          <t>INT-05-SC1</t>
        </is>
      </c>
      <c r="C11" s="8" t="inlineStr">
        <is>
          <t>Dịch vụ cấu hình Store - Danh mục/Giá/Tồn kho</t>
        </is>
      </c>
      <c r="D11" s="8" t="inlineStr">
        <is>
          <t>BRL-01</t>
        </is>
      </c>
      <c r="E11" s="8" t="inlineStr">
        <is>
          <t>Functional</t>
        </is>
      </c>
      <c r="F11" s="8" t="inlineStr">
        <is>
          <t>Đổi store render lại đúng bộ 3 danh mục/giá/tồn kho, không sót dữ liệu store cũ</t>
        </is>
      </c>
      <c r="G11" s="8" t="inlineStr">
        <is>
          <t>Đang xem Homepage với Store A, có danh sách sản phẩm và giá riêng của Store A.</t>
        </is>
      </c>
      <c r="H11" s="8" t="inlineStr">
        <is>
          <t>1. Ghi nhận 3-5 SKU cùng giá của chúng tại Store A.
2. Đổi sang Store B (có giá/danh mục khác).
3. Kiểm tra lại chính 3-5 SKU đó: giá, tình trạng còn hàng, có còn xuất hiện không.</t>
        </is>
      </c>
      <c r="I11" s="8" t="inlineStr">
        <is>
          <t>Store A, Store B: cấu hình giá/danh mục khác nhau rõ rệt cho ít nhất 1 SKU chung và 1 SKU chỉ có ở Store A.</t>
        </is>
      </c>
      <c r="J11" s="8" t="inlineStr">
        <is>
          <t>Sau khi đổi sang Store B: giá hiển thị là giá CỦA STORE B (không còn là giá Store A); SKU chỉ có ở Store A không còn xuất hiện trong danh mục Store B.</t>
        </is>
      </c>
      <c r="K11" s="8" t="inlineStr">
        <is>
          <t>High</t>
        </is>
      </c>
      <c r="L11" s="9" t="n"/>
      <c r="M11" s="9" t="inlineStr">
        <is>
          <t>Not Run</t>
        </is>
      </c>
      <c r="N11" s="9" t="n"/>
      <c r="O11" s="9" t="n"/>
      <c r="P11" s="8" t="n"/>
      <c r="Q11" s="8" t="n"/>
      <c r="R11" s="8" t="n"/>
    </row>
    <row r="12" ht="69.75" customHeight="1" s="23">
      <c r="A12" s="25" t="inlineStr">
        <is>
          <t>INT-05-SC2-TC1</t>
        </is>
      </c>
      <c r="B12" s="25" t="inlineStr">
        <is>
          <t>INT-05-SC2</t>
        </is>
      </c>
      <c r="C12" s="25" t="inlineStr">
        <is>
          <t>Dịch vụ cấu hình Store - Danh mục/Giá/Tồn kho</t>
        </is>
      </c>
      <c r="D12" s="25" t="inlineStr">
        <is>
          <t>CT-07, BRL-24</t>
        </is>
      </c>
      <c r="E12" s="25" t="inlineStr">
        <is>
          <t>Functional</t>
        </is>
      </c>
      <c r="F12" s="25" t="inlineStr">
        <is>
          <t>Đổi store trong Cart trả về đúng danh sách SKU bị ảnh hưởng để gộp thành 1 cảnh báo</t>
        </is>
      </c>
      <c r="G12" s="25" t="inlineStr">
        <is>
          <t>Giỏ hàng có 5 SKU; đổi sang Store C: SKU-1 hết hàng, SKU-2 đổi giá, 3 SKU còn lại không đổi.</t>
        </is>
      </c>
      <c r="H12" s="25" t="inlineStr">
        <is>
          <t>1. Mở sheet đổi store trong Cart, chọn Store C.
2. Quan sát danh sách SKU được nêu trong cảnh báo.
3. Đối chiếu với dữ liệu đã chuẩn bị (SKU-1, SKU-2 phải có mặt; 3 SKU còn lại KHÔNG được liệt kê là ảnh hưởng).</t>
        </is>
      </c>
      <c r="I12" s="25" t="inlineStr">
        <is>
          <t>SKU-1: hết hàng tại Store C. SKU-2: giá khác tại Store C. SKU-3,4,5: không đổi.</t>
        </is>
      </c>
      <c r="J12" s="25" t="inlineStr">
        <is>
          <t>Cảnh báo CHỈ liệt kê đúng SKU-1 (hết hàng) và SKU-2 (đổi giá); không báo thiếu, không báo thừa SKU nào trong 5 SKU của giỏ hàng.</t>
        </is>
      </c>
      <c r="K12" s="25" t="inlineStr">
        <is>
          <t>High</t>
        </is>
      </c>
      <c r="L12" s="9" t="n"/>
      <c r="M12" s="9" t="inlineStr">
        <is>
          <t>Not Run</t>
        </is>
      </c>
      <c r="N12" s="9" t="n"/>
      <c r="O12" s="9" t="n"/>
      <c r="P12" s="25" t="inlineStr">
        <is>
          <t>QnA-25</t>
        </is>
      </c>
      <c r="Q12" s="25" t="n"/>
      <c r="R12" s="8" t="n"/>
    </row>
    <row r="13" ht="69.75" customHeight="1" s="23">
      <c r="A13" s="25" t="inlineStr">
        <is>
          <t>INT-06-SC1-TC1</t>
        </is>
      </c>
      <c r="B13" s="25" t="inlineStr">
        <is>
          <t>INT-06-SC1</t>
        </is>
      </c>
      <c r="C13" s="25" t="inlineStr">
        <is>
          <t>Biometric / Device Security Ticket</t>
        </is>
      </c>
      <c r="D13" s="25" t="inlineStr">
        <is>
          <t>NFR-02</t>
        </is>
      </c>
      <c r="E13" s="25" t="inlineStr">
        <is>
          <t>Security</t>
        </is>
      </c>
      <c r="F13" s="25" t="inlineStr">
        <is>
          <t>Đăng nhập sinh trắc học tài khoản thứ 2 trên cùng thiết bị cảnh báo trước khi ghi đè ticket</t>
        </is>
      </c>
      <c r="G13" s="25" t="inlineStr">
        <is>
          <t>Thiết bị test đã có bio ticket đang hoạt động của Tài khoản A.</t>
        </is>
      </c>
      <c r="H13" s="25" t="inlineStr">
        <is>
          <t>1. Đăng xuất Tài khoản A (không tắt sinh trắc học riêng).
2. Đăng nhập Tài khoản B bằng SĐT+PIN, đến bước lời mời bật sinh trắc học.
3. Bật sinh trắc học cho Tài khoản B trên cùng thiết bị.
4. Quan sát cảnh báo (nếu có) trước khi xác nhận.
5. Sau khi xác nhận, thử đăng nhập lại bằng Face ID/vân tay trên thiết bị - kiểm tra tài khoản nào được đăng nhập.</t>
        </is>
      </c>
      <c r="I13" s="25" t="inlineStr">
        <is>
          <t>Tài khoản A, Tài khoản B trên cùng 1 thiết bị vật lý.</t>
        </is>
      </c>
      <c r="J13" s="25" t="inlineStr">
        <is>
          <t>Bước 4: hệ thống PHẢI hiện cảnh báo rõ ràng ('thiết bị này đang liên kết sinh trắc học với 1 tài khoản khác, tiếp tục sẽ thay thế') trước khi ghi đè. Bước 5: sinh trắc học trên thiết bị giờ đăng nhập Tài khoản B, Tài khoản A không còn đăng nhập được bằng sinh trắc học trên thiết bị này.</t>
        </is>
      </c>
      <c r="K13" s="25" t="inlineStr">
        <is>
          <t>High</t>
        </is>
      </c>
      <c r="L13" s="9" t="n"/>
      <c r="M13" s="9" t="inlineStr">
        <is>
          <t>Not Run</t>
        </is>
      </c>
      <c r="N13" s="9" t="n"/>
      <c r="O13" s="9" t="n"/>
      <c r="P13" s="25" t="inlineStr">
        <is>
          <t>QnA-07, QnA-11</t>
        </is>
      </c>
      <c r="Q13" s="25" t="inlineStr">
        <is>
          <t>Xác nhận lại với Dev khi có kết luận chính thức cho OQ-07/OQ-11.</t>
        </is>
      </c>
      <c r="R13" s="8" t="n"/>
    </row>
    <row r="14" ht="69.75" customHeight="1" s="23">
      <c r="A14" s="25" t="inlineStr">
        <is>
          <t>INT-07-SC1-TC1</t>
        </is>
      </c>
      <c r="B14" s="25" t="inlineStr">
        <is>
          <t>INT-07-SC1</t>
        </is>
      </c>
      <c r="C14" s="25" t="inlineStr">
        <is>
          <t>Session / Auth Token</t>
        </is>
      </c>
      <c r="D14" s="25" t="inlineStr">
        <is>
          <t>HP-07</t>
        </is>
      </c>
      <c r="E14" s="25" t="inlineStr">
        <is>
          <t>Exception</t>
        </is>
      </c>
      <c r="F14" s="25" t="inlineStr">
        <is>
          <t>Token hết hạn giữa chừng chuyển về trạng thái Guest, không crash, yêu cầu đăng nhập lại đúng lúc</t>
        </is>
      </c>
      <c r="G14" s="25" t="inlineStr">
        <is>
          <t>Đang đăng nhập, đang duyệt Cart bình thường.</t>
        </is>
      </c>
      <c r="H14" s="25" t="inlineStr">
        <is>
          <t>1. Giả lập token phiên hết hạn (ví dụ sửa/xoá token lưu cục bộ hoặc chờ hết TTL trong môi trường test).
2. Thực hiện 1 hành động cần xác thực (ví dụ mở lại Cart hoặc Add to Cart).
3. Quan sát phản hồi của app.</t>
        </is>
      </c>
      <c r="I14" s="25" t="inlineStr">
        <is>
          <t>Token hết hạn được giả lập trong môi trường test/staging.</t>
        </is>
      </c>
      <c r="J14" s="25" t="inlineStr">
        <is>
          <t>App KHÔNG crash và KHÔNG lặp vô hạn lỗi; chuyển về trạng thái Guest, hiện lại login gate khi chạm vào hành động cần xác thực (Add to Cart/mở Cart), giống hệt hành vi của 1 Guest chưa từng đăng nhập.</t>
        </is>
      </c>
      <c r="K14" s="25" t="inlineStr">
        <is>
          <t>High</t>
        </is>
      </c>
      <c r="L14" s="9" t="n"/>
      <c r="M14" s="9" t="inlineStr">
        <is>
          <t>Not Run</t>
        </is>
      </c>
      <c r="N14" s="9" t="n"/>
      <c r="O14" s="9" t="n"/>
      <c r="P14" s="25" t="inlineStr">
        <is>
          <t>QnA-04</t>
        </is>
      </c>
      <c r="Q14" s="25" t="n"/>
      <c r="R14" s="8" t="n"/>
    </row>
    <row r="15" ht="69.75" customHeight="1" s="23">
      <c r="A15" s="25" t="inlineStr">
        <is>
          <t>INT-08-SC1-TC1</t>
        </is>
      </c>
      <c r="B15" s="25" t="inlineStr">
        <is>
          <t>INT-08-SC1</t>
        </is>
      </c>
      <c r="C15" s="25" t="inlineStr">
        <is>
          <t>Coupon &amp; Khuyến mãi Engine</t>
        </is>
      </c>
      <c r="D15" s="25" t="inlineStr">
        <is>
          <t>BRL-32</t>
        </is>
      </c>
      <c r="E15" s="25" t="inlineStr">
        <is>
          <t>Functional</t>
        </is>
      </c>
      <c r="F15" s="25" t="inlineStr">
        <is>
          <t>Engine tự động áp dụng cả coupon giao hàng và coupon sản phẩm, trả về đúng số tiền cho từng nhóm</t>
        </is>
      </c>
      <c r="G15" s="25" t="inlineStr">
        <is>
          <t>Ví có 1 coupon giao hàng (-15.000đ) và 1 coupon sản phẩm (-10% 1 SKU giá 200.000đ) đều hợp lệ cho đơn hàng hiện tại.</t>
        </is>
      </c>
      <c r="H15" s="25" t="inlineStr">
        <is>
          <t>1. Mở Cart với đơn hàng đủ điều kiện cả 2 coupon.
2. Quan sát coupon có được TỰ ĐỘNG áp dụng không (không cần khách chọn tay).
3. Kiểm tra số tiền giảm của từng nhóm (giao hàng / sản phẩm) hiện riêng biệt.</t>
        </is>
      </c>
      <c r="I15" s="25" t="inlineStr">
        <is>
          <t>Coupon giao hàng: -15.000đ. Coupon sản phẩm: -10% trên SKU 200.000đ (= -20.000đ).</t>
        </is>
      </c>
      <c r="J15" s="25" t="inlineStr">
        <is>
          <t>Cả 2 coupon được ÁP DỤNG TỰ ĐỘNG; nhóm giao hàng hiện đúng -15.000đ, nhóm sản phẩm hiện đúng -20.000đ, không bị trộn thành 1 dòng duy nhất và không bị áp dụng sai chiều.</t>
        </is>
      </c>
      <c r="K15" s="25" t="inlineStr">
        <is>
          <t>Medium</t>
        </is>
      </c>
      <c r="L15" s="9" t="n"/>
      <c r="M15" s="9" t="inlineStr">
        <is>
          <t>Not Run</t>
        </is>
      </c>
      <c r="N15" s="9" t="n"/>
      <c r="O15" s="9" t="n"/>
      <c r="P15" s="25" t="inlineStr">
        <is>
          <t>QnA-17</t>
        </is>
      </c>
      <c r="Q15" s="25" t="n"/>
      <c r="R15" s="8" t="n"/>
    </row>
    <row r="16" ht="69.75" customHeight="1" s="23">
      <c r="A16" s="8" t="inlineStr">
        <is>
          <t>INT-08-SC2-TC1</t>
        </is>
      </c>
      <c r="B16" s="8" t="inlineStr">
        <is>
          <t>INT-08-SC2</t>
        </is>
      </c>
      <c r="C16" s="8" t="inlineStr">
        <is>
          <t>Coupon &amp; Khuyến mãi Engine</t>
        </is>
      </c>
      <c r="D16" s="8" t="inlineStr">
        <is>
          <t>CT-03, BRL-19</t>
        </is>
      </c>
      <c r="E16" s="8" t="inlineStr">
        <is>
          <t>Boundary</t>
        </is>
      </c>
      <c r="F16" s="8" t="inlineStr">
        <is>
          <t>Freeship threshold 150.000đ được tính lại real-time ngay khi thêm sản phẩm đủ ngưỡng</t>
        </is>
      </c>
      <c r="G16" s="8" t="inlineStr">
        <is>
          <t>Giỏ hàng đang ở 130.000đ, dịch vụ Standard, chưa freeship.</t>
        </is>
      </c>
      <c r="H16" s="8" t="inlineStr">
        <is>
          <t>1. Quan sát phí giao hàng hiện tại (có giá trị, chưa 0đ).
2. Thêm 1 sản phẩm 20.000đ vào giỏ (đưa tổng = 150.000đ).
3. Quan sát lại phí giao hàng NGAY sau khi thêm, không thao tác gì khác.</t>
        </is>
      </c>
      <c r="I16" s="8" t="inlineStr">
        <is>
          <t>Giỏ hàng: 130.000đ -&gt; thêm SKU 20.000đ -&gt; 150.000đ.</t>
        </is>
      </c>
      <c r="J16" s="8" t="inlineStr">
        <is>
          <t>Ngay sau bước 2 (không cần F5 hay rời màn hình), phí giao hàng Standard TỰ ĐỘNG chuyển về 0đ và thanh tiến độ freeship báo đã đạt ngưỡng.</t>
        </is>
      </c>
      <c r="K16" s="8" t="inlineStr">
        <is>
          <t>Medium</t>
        </is>
      </c>
      <c r="L16" s="9" t="n"/>
      <c r="M16" s="9" t="inlineStr">
        <is>
          <t>Not Run</t>
        </is>
      </c>
      <c r="N16" s="9" t="n"/>
      <c r="O16" s="9" t="n"/>
      <c r="P16" s="8" t="n"/>
      <c r="Q16" s="8" t="n"/>
      <c r="R16" s="8" t="n"/>
    </row>
    <row r="17" ht="69.75" customHeight="1" s="23">
      <c r="A17" s="25" t="inlineStr">
        <is>
          <t>INT-09-SC1-TC1</t>
        </is>
      </c>
      <c r="B17" s="25" t="inlineStr">
        <is>
          <t>INT-09-SC1</t>
        </is>
      </c>
      <c r="C17" s="25" t="inlineStr">
        <is>
          <t>Loyalty &amp; Điểm thưởng Engine</t>
        </is>
      </c>
      <c r="D17" s="25" t="inlineStr">
        <is>
          <t>BRL-27</t>
        </is>
      </c>
      <c r="E17" s="25" t="inlineStr">
        <is>
          <t>Functional</t>
        </is>
      </c>
      <c r="F17" s="25" t="inlineStr">
        <is>
          <t>Điểm thưởng cho khung giờ point-earning được cộng đúng và khớp giữa client và engine</t>
        </is>
      </c>
      <c r="G17" s="25" t="inlineStr">
        <is>
          <t>Chọn khung giờ 18:00-20:00 (1 trong các khung point-earning theo BRL-27).</t>
        </is>
      </c>
      <c r="H17" s="25" t="inlineStr">
        <is>
          <t>1. Ở bước chọn slot, chọn khung 18:00-20:00.
2. Quan sát thông điệp/badge điểm thưởng hiện trên app (ví dụ '+X điểm').
3. Tiếp tục đến Checkout, kiểm tra 'điểm dự kiến' trong tóm tắt thanh toán có cộng đúng X điểm từ bước 2 không.</t>
        </is>
      </c>
      <c r="I17" s="25" t="inlineStr">
        <is>
          <t>Khung giờ point-earning: 18:00-20:00.</t>
        </is>
      </c>
      <c r="J17" s="25" t="inlineStr">
        <is>
          <t>Số điểm hiện ở Cart (bước 2) và số điểm dự kiến ở Checkout (bước 3) phải KHỚP NHAU và khớp với giá trị engine backend trả về (không phải số hard-code riêng trên client).</t>
        </is>
      </c>
      <c r="K17" s="25" t="inlineStr">
        <is>
          <t>Low</t>
        </is>
      </c>
      <c r="L17" s="9" t="n"/>
      <c r="M17" s="9" t="inlineStr">
        <is>
          <t>Not Run</t>
        </is>
      </c>
      <c r="N17" s="9" t="n"/>
      <c r="O17" s="9" t="n"/>
      <c r="P17" s="25" t="inlineStr">
        <is>
          <t>QnA-36</t>
        </is>
      </c>
      <c r="Q17" s="25" t="inlineStr">
        <is>
          <t>Con số cụ thể (ví dụ 10.000 điểm) cần đối chiếu với giá trị thật của engine, không lấy từ Figma làm chuẩn.</t>
        </is>
      </c>
      <c r="R17" s="8" t="n"/>
    </row>
    <row r="18" ht="69.75" customHeight="1" s="23">
      <c r="A18" s="8" t="inlineStr">
        <is>
          <t>INT-10-SC1-TC1</t>
        </is>
      </c>
      <c r="B18" s="8" t="inlineStr">
        <is>
          <t>INT-10-SC1</t>
        </is>
      </c>
      <c r="C18" s="8" t="inlineStr">
        <is>
          <t>GotIt / Gift Card Service</t>
        </is>
      </c>
      <c r="D18" s="8" t="inlineStr">
        <is>
          <t>CO-04</t>
        </is>
      </c>
      <c r="E18" s="8" t="inlineStr">
        <is>
          <t>Functional</t>
        </is>
      </c>
      <c r="F18" s="8" t="inlineStr">
        <is>
          <t>Mã gift card đã sử dụng bị từ chối rõ ràng, không trừ tiền</t>
        </is>
      </c>
      <c r="G18" s="8" t="inlineStr">
        <is>
          <t>1 mã gift card đã được dùng hết cho 1 đơn trước đó.</t>
        </is>
      </c>
      <c r="H18" s="8" t="inlineStr">
        <is>
          <t>1. Nhập mã gift card đã dùng trước đó vào ô mã quà tặng.
2. Bấm áp dụng.
3. Quan sát phản hồi.</t>
        </is>
      </c>
      <c r="I18" s="8" t="inlineStr">
        <is>
          <t>Mã test: GIFT-USED-01 (đã được dùng).</t>
        </is>
      </c>
      <c r="J18" s="8" t="inlineStr">
        <is>
          <t>Dịch vụ GotIt trả về lỗi 'mã đã được sử dụng', không có số tiền nào bị trừ khỏi tổng đơn hàng, khách có thể nhập mã khác.</t>
        </is>
      </c>
      <c r="K18" s="8" t="inlineStr">
        <is>
          <t>Medium</t>
        </is>
      </c>
      <c r="L18" s="9" t="n"/>
      <c r="M18" s="9" t="inlineStr">
        <is>
          <t>Not Run</t>
        </is>
      </c>
      <c r="N18" s="9" t="n"/>
      <c r="O18" s="9" t="n"/>
      <c r="P18" s="8" t="n"/>
      <c r="Q18" s="8" t="n"/>
      <c r="R18" s="8" t="n"/>
    </row>
    <row r="19" ht="69.75" customHeight="1" s="23">
      <c r="A19" s="25" t="inlineStr">
        <is>
          <t>INT-11-SC1-TC1</t>
        </is>
      </c>
      <c r="B19" s="25" t="inlineStr">
        <is>
          <t>INT-11-SC1</t>
        </is>
      </c>
      <c r="C19" s="25" t="inlineStr">
        <is>
          <t>Dịch vụ hoá đơn VAT</t>
        </is>
      </c>
      <c r="D19" s="25" t="inlineStr">
        <is>
          <t>CO-07</t>
        </is>
      </c>
      <c r="E19" s="25" t="inlineStr">
        <is>
          <t>Functional</t>
        </is>
      </c>
      <c r="F19" s="25" t="inlineStr">
        <is>
          <t>Thông tin xuất hoá đơn VAT được gửi đúng và gắn đúng với mã đơn hàng</t>
        </is>
      </c>
      <c r="G19" s="25" t="inlineStr">
        <is>
          <t>Bật yêu cầu xuất hoá đơn, nhập tên công ty + mã số thuế hợp lệ.</t>
        </is>
      </c>
      <c r="H19" s="25" t="inlineStr">
        <is>
          <t>1. Bật toggle 'Yêu cầu xuất hoá đơn VAT'.
2. Nhập tên công ty, mã số thuế, địa chỉ công ty.
3. Hoàn tất Đặt hàng.
4. Truy vấn (qua công cụ QC) bản ghi hoá đơn đã gửi sang VAT Invoice Service, đối chiếu với mã đơn hàng vừa tạo.</t>
        </is>
      </c>
      <c r="I19" s="25" t="inlineStr">
        <is>
          <t>Tên công ty: Công ty TNHH ABC. MST: 0312345678.</t>
        </is>
      </c>
      <c r="J19" s="25" t="inlineStr">
        <is>
          <t>Thông tin hoá đơn được dịch vụ VAT nhận đúng, gắn đúng mã đơn hàng tương ứng - không bị thất lạc hay gắn nhầm đơn khác.</t>
        </is>
      </c>
      <c r="K19" s="25" t="inlineStr">
        <is>
          <t>Medium</t>
        </is>
      </c>
      <c r="L19" s="9" t="n"/>
      <c r="M19" s="9" t="inlineStr">
        <is>
          <t>Not Run</t>
        </is>
      </c>
      <c r="N19" s="9" t="n"/>
      <c r="O19" s="9" t="n"/>
      <c r="P19" s="25" t="inlineStr">
        <is>
          <t>QnA-19</t>
        </is>
      </c>
      <c r="Q19" s="25" t="n"/>
      <c r="R19" s="8" t="n"/>
    </row>
    <row r="20" ht="69.75" customHeight="1" s="23">
      <c r="A20" s="25" t="inlineStr">
        <is>
          <t>INT-12-SC1-TC1</t>
        </is>
      </c>
      <c r="B20" s="25" t="inlineStr">
        <is>
          <t>INT-12-SC1</t>
        </is>
      </c>
      <c r="C20" s="25" t="inlineStr">
        <is>
          <t>Delivery Partner &amp; Locker Network</t>
        </is>
      </c>
      <c r="D20" s="25" t="inlineStr">
        <is>
          <t>CT-10</t>
        </is>
      </c>
      <c r="E20" s="25" t="inlineStr">
        <is>
          <t>Functional</t>
        </is>
      </c>
      <c r="F20" s="25" t="inlineStr">
        <is>
          <t>Trạng thái còn chỗ/hết chỗ của locker được phản ánh đúng từ Delivery Partner</t>
        </is>
      </c>
      <c r="G20" s="25" t="inlineStr">
        <is>
          <t>1 locker gần nhà còn 2 chỗ trống, 1 locker tại store đã hết chỗ.</t>
        </is>
      </c>
      <c r="H20" s="25" t="inlineStr">
        <is>
          <t>1. Mở màn chọn locker gần nhà, quan sát trạng thái.
2. Mở màn chọn locker tại store (đã hết chỗ), thử chọn.
3. Quan sát phản hồi.</t>
        </is>
      </c>
      <c r="I20" s="25" t="inlineStr">
        <is>
          <t>Locker A (gần nhà): còn 2 chỗ. Locker B (tại store): 0 chỗ còn.</t>
        </is>
      </c>
      <c r="J20" s="25" t="inlineStr">
        <is>
          <t>Locker A hiện 'còn chỗ', chọn được bình thường. Locker B hiện 'hết chỗ'/disabled, KHÔNG chọn được, tránh đặt trùng vào 1 locker đã đầy.</t>
        </is>
      </c>
      <c r="K20" s="25" t="inlineStr">
        <is>
          <t>Medium</t>
        </is>
      </c>
      <c r="L20" s="9" t="n"/>
      <c r="M20" s="9" t="inlineStr">
        <is>
          <t>Not Run</t>
        </is>
      </c>
      <c r="N20" s="9" t="n"/>
      <c r="O20" s="9" t="n"/>
      <c r="P20" s="25" t="inlineStr">
        <is>
          <t>QnA-23</t>
        </is>
      </c>
      <c r="Q20" s="25" t="n"/>
      <c r="R20" s="8" t="n"/>
    </row>
    <row r="21" ht="69.75" customHeight="1" s="23">
      <c r="A21" s="25" t="inlineStr">
        <is>
          <t>INT-13-SC1-TC1</t>
        </is>
      </c>
      <c r="B21" s="25" t="inlineStr">
        <is>
          <t>INT-13-SC1</t>
        </is>
      </c>
      <c r="C21" s="25" t="inlineStr">
        <is>
          <t>Dịch vụ phân giải địa chỉ &amp; vùng dịch vụ (Geo/Service-zone)</t>
        </is>
      </c>
      <c r="D21" s="25" t="inlineStr">
        <is>
          <t>HP-04</t>
        </is>
      </c>
      <c r="E21" s="25" t="inlineStr">
        <is>
          <t>Boundary</t>
        </is>
      </c>
      <c r="F21" s="25" t="inlineStr">
        <is>
          <t>Dịch vụ phân giải vùng dịch vụ trả về đúng 1 trong 4 trạng thái cho từng khoảng cách mẫu</t>
        </is>
      </c>
      <c r="G21" s="25" t="inlineStr">
        <is>
          <t>4 địa chỉ mẫu: 4km (60-Minute+Standard), 12km (Standard only), thuộc khu Next-day, ngoài mọi vùng cấu hình.</t>
        </is>
      </c>
      <c r="H21" s="25" t="inlineStr">
        <is>
          <t>1. Nhập lần lượt từng địa chỉ mẫu và quan sát kết quả trả về trên header/Homepage.
2. Đối chiếu với bán kính cấu hình của store đang chọn.</t>
        </is>
      </c>
      <c r="I21" s="25" t="inlineStr">
        <is>
          <t>4 địa chỉ mẫu khớp đúng 4 ngưỡng BRL-10/11/12 của store test.</t>
        </is>
      </c>
      <c r="J21" s="25" t="inlineStr">
        <is>
          <t>Đúng 4km -&gt; 60-Minute+Standard; 12km -&gt; chỉ Standard; khu Next-day -&gt; chỉ ngày giao; ngoài mọi vùng -&gt; không ngày/giờ, chỉ thông báo + CTA đổi địa chỉ. Không có trường hợp lẫn giữa 2 trạng thái.</t>
        </is>
      </c>
      <c r="K21" s="25" t="inlineStr">
        <is>
          <t>High</t>
        </is>
      </c>
      <c r="L21" s="9" t="n"/>
      <c r="M21" s="9" t="inlineStr">
        <is>
          <t>Not Run</t>
        </is>
      </c>
      <c r="N21" s="9" t="n"/>
      <c r="O21" s="9" t="n"/>
      <c r="P21" s="25" t="inlineStr">
        <is>
          <t>QnA-09</t>
        </is>
      </c>
      <c r="Q21" s="25" t="n"/>
      <c r="R21" s="8" t="n"/>
    </row>
    <row r="22" ht="69.75" customHeight="1" s="23">
      <c r="A22" s="25" t="inlineStr">
        <is>
          <t>INT-13-SC2-TC1</t>
        </is>
      </c>
      <c r="B22" s="25" t="inlineStr">
        <is>
          <t>INT-13-SC2</t>
        </is>
      </c>
      <c r="C22" s="25" t="inlineStr">
        <is>
          <t>Dịch vụ phân giải địa chỉ &amp; vùng dịch vụ (Geo/Service-zone)</t>
        </is>
      </c>
      <c r="D22" s="25" t="inlineStr">
        <is>
          <t>CT-07</t>
        </is>
      </c>
      <c r="E22" s="25" t="inlineStr">
        <is>
          <t>Integration</t>
        </is>
      </c>
      <c r="F22" s="25" t="inlineStr">
        <is>
          <t>Dữ liệu từ Catalog Service và Service-zone Service được tổng hợp đồng bộ trước khi hiện 1 cảnh báo gộp</t>
        </is>
      </c>
      <c r="G22" s="25" t="inlineStr">
        <is>
          <t>Đổi store trong Cart ảnh hưởng cả sản phẩm (từ Catalog) và dịch vụ/slot (từ Service-zone).</t>
        </is>
      </c>
      <c r="H22" s="25" t="inlineStr">
        <is>
          <t>1. Chọn store mới gây ảnh hưởng cả 2 nhóm.
2. Quan sát thời điểm dialog cảnh báo xuất hiện - phải là SAU KHI cả 2 nguồn dữ liệu đã trả về, không hiện dialog 'thiếu' trước rồi cập nhật thêm sau.
3. Kiểm tra nội dung dialog có đủ cả thông tin sản phẩm lẫn dịch vụ/slot ngay lần hiện đầu tiên.</t>
        </is>
      </c>
      <c r="I22" s="25" t="inlineStr">
        <is>
          <t>Store gây ảnh hưởng đồng thời cả 2 nhóm dữ liệu.</t>
        </is>
      </c>
      <c r="J22" s="25" t="inlineStr">
        <is>
          <t>Dialog cảnh báo CHỈ hiện 1 lần, ĐẦY ĐỦ thông tin cả 2 nhóm ngay từ đầu - không có hiện tượng dialog hiện thiếu dữ liệu rồi cập nhật/nháy lại.</t>
        </is>
      </c>
      <c r="K22" s="25" t="inlineStr">
        <is>
          <t>Medium</t>
        </is>
      </c>
      <c r="L22" s="9" t="n"/>
      <c r="M22" s="9" t="inlineStr">
        <is>
          <t>Not Run</t>
        </is>
      </c>
      <c r="N22" s="9" t="n"/>
      <c r="O22" s="9" t="n"/>
      <c r="P22" s="25" t="inlineStr">
        <is>
          <t>QnA-25</t>
        </is>
      </c>
      <c r="Q22" s="25" t="n"/>
      <c r="R22" s="8" t="n"/>
    </row>
    <row r="23" ht="69.75" customHeight="1" s="23">
      <c r="A23" s="25" t="inlineStr">
        <is>
          <t>INT-14-SC1-TC1</t>
        </is>
      </c>
      <c r="B23" s="25" t="inlineStr">
        <is>
          <t>INT-14-SC1</t>
        </is>
      </c>
      <c r="C23" s="25" t="inlineStr">
        <is>
          <t>Security - Giới hạn thử OTP/PIN</t>
        </is>
      </c>
      <c r="D23" s="25" t="inlineStr">
        <is>
          <t>NFR-01, LI-06</t>
        </is>
      </c>
      <c r="E23" s="25" t="inlineStr">
        <is>
          <t>Security</t>
        </is>
      </c>
      <c r="F23" s="25" t="inlineStr">
        <is>
          <t>Server từ chối request xác thực thêm ngay cả khi client bị can thiệp để bỏ qua giới hạn</t>
        </is>
      </c>
      <c r="G23" s="25" t="inlineStr">
        <is>
          <t>Đã vượt quá số lần thử sai PIN giới hạn (server-side) cho 1 tài khoản test.</t>
        </is>
      </c>
      <c r="H23" s="25" t="inlineStr">
        <is>
          <t>1. Thực hiện đủ số lần thử sai PIN tới giới hạn qua UI bình thường (tài khoản bị khoá tạm thời trên server).
2. Dùng công cụ QC (ví dụ Postman/API client được cấp quyền) gửi THẲNG 1 request xác thực PIN tới API backend, bỏ qua UI app.
3. Quan sát phản hồi của server.</t>
        </is>
      </c>
      <c r="I23" s="25" t="inlineStr">
        <is>
          <t>Tài khoản test đã bị khoá server-side sau khi vượt giới hạn.</t>
        </is>
      </c>
      <c r="J23" s="25" t="inlineStr">
        <is>
          <t>Server TỪ CHỐI request ở bước 2 (trả về lỗi khoá tài khoản/yêu cầu OTP) bất kể request đến từ UI chính thức hay gọi trực tiếp API - giới hạn không được thực thi CHỈ ở phía client.</t>
        </is>
      </c>
      <c r="K23" s="25" t="inlineStr">
        <is>
          <t>High</t>
        </is>
      </c>
      <c r="L23" s="9" t="n"/>
      <c r="M23" s="9" t="inlineStr">
        <is>
          <t>Not Run</t>
        </is>
      </c>
      <c r="N23" s="9" t="n"/>
      <c r="O23" s="9" t="n"/>
      <c r="P23" s="25" t="inlineStr">
        <is>
          <t>QnA-03</t>
        </is>
      </c>
      <c r="Q23" s="25" t="n"/>
      <c r="R23" s="8" t="n"/>
    </row>
    <row r="24" ht="135" customHeight="1" s="23">
      <c r="A24" s="25" t="inlineStr">
        <is>
          <t>INT-15-SC1-TC1</t>
        </is>
      </c>
      <c r="B24" s="25" t="inlineStr">
        <is>
          <t>INT-15-SC1</t>
        </is>
      </c>
      <c r="C24" s="25" t="inlineStr">
        <is>
          <t>Biometric / Device Security Ticket</t>
        </is>
      </c>
      <c r="D24" s="25" t="inlineStr">
        <is>
          <t>LI-07</t>
        </is>
      </c>
      <c r="E24" s="25" t="inlineStr">
        <is>
          <t>Functional</t>
        </is>
      </c>
      <c r="F24" s="25" t="inlineStr">
        <is>
          <t>Đăng nhập trên thiết bị mới không tự ý xoá âm thầm biometric ticket của thiết bị cũ - TBD chờ OQ-11</t>
        </is>
      </c>
      <c r="G24" s="25" t="inlineStr">
        <is>
          <t>Tài khoản Member đã bật Face ID/vân tay trên Thiết bị A (ticket đang active).</t>
        </is>
      </c>
      <c r="H24" s="25" t="inlineStr">
        <is>
          <t>1. Trên Thiết bị B (thiết bị mới, chưa từng đăng nhập tài khoản này), đăng nhập bằng SĐT + PIN.
2. Khi được mời bật sinh trắc học trên Thiết bị B, xác nhận Bật.
3. Quay lại Thiết bị A, thử đăng nhập lại bằng Face ID/vân tay.
4. GHI NHẬN hành vi thực tế: Thiết bị A còn đăng nhập được bằng sinh trắc học không, có cảnh báo gì xuất hiện ở bước 1-2 không.</t>
        </is>
      </c>
      <c r="I24" s="25" t="inlineStr">
        <is>
          <t>Tài khoản Member test đã bật sinh trắc học sẵn trên Thiết bị A (SĐT: 0912340099, PIN: 123456).</t>
        </is>
      </c>
      <c r="J24" s="25" t="inlineStr">
        <is>
          <t>TBD - NFR-02 nói 'một thiết bị chỉ giữ 1 ticket hoạt động' nhưng KHÔNG nói rõ điều gì xảy ra ở CHIỀU NGƯỢC LẠI (1 tài khoản có ticket ở nhiều thiết bị cùng lúc có được phép không, và có cảnh báo khi thêm thiết bị mới không). Người thực thi ghi nhận hành vi thực tế (bước 3-4), không tự ý chấm Pass/Fail cho đến khi OQ-11 có câu trả lời.</t>
        </is>
      </c>
      <c r="K24" s="25" t="inlineStr">
        <is>
          <t>High</t>
        </is>
      </c>
      <c r="L24" s="9" t="n"/>
      <c r="M24" s="9" t="inlineStr">
        <is>
          <t>Not Run</t>
        </is>
      </c>
      <c r="N24" s="9" t="n"/>
      <c r="O24" s="9" t="n"/>
      <c r="P24" s="25" t="inlineStr">
        <is>
          <t>QnA-07, QnA-11</t>
        </is>
      </c>
      <c r="Q24" s="25" t="inlineStr">
        <is>
          <t>Đối xứng với INT-06-SC1-TC1 (đổi tài khoản, cùng thiết bị). Bổ sung theo Review 26/08/2026.</t>
        </is>
      </c>
      <c r="R24" s="8" t="n"/>
    </row>
    <row r="25">
      <c r="A25" s="25" t="inlineStr">
        <is>
          <t>INT-16-SC1-TC1</t>
        </is>
      </c>
      <c r="B25" s="25" t="inlineStr">
        <is>
          <t>INT-16-SC1</t>
        </is>
      </c>
      <c r="C25" s="25" t="inlineStr">
        <is>
          <t>Hieu nang &amp; Chiu tai (Performance/NFR)</t>
        </is>
      </c>
      <c r="D25" s="25" t="inlineStr">
        <is>
          <t>NFR-01, NFR-02, NFR-03, NFR-04, NFR-05</t>
        </is>
      </c>
      <c r="E25" s="25" t="inlineStr">
        <is>
          <t>Functional</t>
        </is>
      </c>
      <c r="F25" s="25" t="inlineStr">
        <is>
          <t>Ghi nhận baseline giới hạn thử sai OTP/PIN và thời gian phản hồi hiện tại - TBD chờ QnA-41 (không thay thế test Performance/Load chính thức)</t>
        </is>
      </c>
      <c r="G25" s="25" t="inlineStr">
        <is>
          <t>Môi trường test ổn định (staging), không có tải đồng thời từ nguồn khác.</t>
        </is>
      </c>
      <c r="H25" s="25" t="inlineStr">
        <is>
          <t>1. Nhập sai OTP liên tiếp tại SCR-AUT-02 (Signup) hoặc SCR-AUT-05 (Login), đếm số lần thử được phép trước khi bị khoá/yêu cầu gửi lại mã. GHI NHẬN con số thực tế.
2. Nhập sai PIN liên tiếp tại màn đăng nhập bằng PIN, đếm số lần thử được phép trước khi bị khoá. GHI NHẬN con số thực tế và thời gian khoá (nếu có).
3. Đo thời gian phản hồi (từ lúc bấm đến lúc có kết quả) cho 3 thao tác chính: mở Homepage lần đầu, thêm sản phẩm vào giỏ, đặt hàng (Place Order) - dùng đồng hồ bấm giờ thủ công hoặc công cụ đo network, không cần công cụ đo tải chuyên dụng.
4. Ghi lại toàn bộ số liệu ở bước 1-3 làm baseline tham khảo.</t>
        </is>
      </c>
      <c r="I25" s="25" t="inlineStr">
        <is>
          <t>Tài khoản Member test bất kỳ; SĐT/PIN test dùng để cố ý nhập sai.</t>
        </is>
      </c>
      <c r="J25" s="25" t="inlineStr">
        <is>
          <t>TBD - NFR-01..05 chưa có con số mục tiêu chính thức (QnA-41, đang Open). Người thực thi KHÔNG tự ý chấm Pass/Fail - chỉ ghi nhận số liệu thực tế ở bước 1-4 làm baseline. Khi QnA-41 có câu trả lời (số lần thử tối đa, ngưỡng thời gian phản hồi...), đối chiếu số liệu baseline này với ngưỡng chính thức để xác định Pass/Fail. LƯU Ý: đây KHÔNG phải test Performance/Load đầy đủ (không đo concurrency/throughput) - test đó cần Test Plan riêng.</t>
        </is>
      </c>
      <c r="K25" s="25" t="inlineStr">
        <is>
          <t>Medium</t>
        </is>
      </c>
      <c r="L25" s="9" t="n"/>
      <c r="M25" s="9" t="inlineStr">
        <is>
          <t>Not Run</t>
        </is>
      </c>
      <c r="N25" s="9" t="n"/>
      <c r="O25" s="9" t="n"/>
      <c r="P25" s="25" t="inlineStr">
        <is>
          <t>QnA-41</t>
        </is>
      </c>
      <c r="Q25" s="25" t="inlineStr">
        <is>
          <t>Bổ sung theo yêu cầu review 26/08/2026 - đóng gap NFR-01..05 chưa có test case nào (#13 trong Review - Gaps &amp; Issues, sheet này đã được xoá sau khi xử lý xong toàn bộ 19 mục).</t>
        </is>
      </c>
      <c r="R25" s="8" t="n"/>
    </row>
  </sheetData>
  <mergeCells count="1">
    <mergeCell ref="A1:R1"/>
  </mergeCells>
  <dataValidations count="1">
    <dataValidation sqref="M3:M23" showDropDown="0" showInputMessage="0" showErrorMessage="0" allowBlank="1" type="list">
      <formula1>"Pass,Fail,Blocked,N/A,Not Run"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Q15"/>
  <sheetViews>
    <sheetView showGridLines="0" zoomScaleNormal="100" workbookViewId="0">
      <pane ySplit="3" topLeftCell="A4" activePane="bottomLeft" state="frozen"/>
      <selection pane="bottomLeft" activeCell="A1" sqref="A1"/>
    </sheetView>
  </sheetViews>
  <sheetFormatPr baseColWidth="8" defaultColWidth="8.7109375" defaultRowHeight="15"/>
  <cols>
    <col width="10" customWidth="1" style="23" min="1" max="1"/>
    <col width="42" customWidth="1" style="23" min="2" max="3"/>
    <col width="34" customWidth="1" style="23" min="4" max="4"/>
    <col width="26" customWidth="1" style="23" min="5" max="5"/>
    <col width="12" customWidth="1" style="23" min="6" max="6"/>
    <col width="40" customWidth="1" style="23" min="7" max="7"/>
    <col width="70" customWidth="1" style="23" min="8" max="8"/>
    <col width="40" customWidth="1" style="23" min="9" max="9"/>
    <col width="60" customWidth="1" style="23" min="10" max="10"/>
    <col width="14" customWidth="1" style="23" min="11" max="11"/>
    <col width="12" customWidth="1" style="23" min="12" max="12"/>
    <col width="10" customWidth="1" style="23" min="13" max="13"/>
    <col width="12" customWidth="1" style="23" min="14" max="15"/>
    <col width="46" customWidth="1" style="23" min="16" max="16"/>
    <col width="45" customWidth="1" style="23" min="17" max="17"/>
  </cols>
  <sheetData>
    <row r="1" ht="17.25" customHeight="1" s="23">
      <c r="A1" s="2" t="inlineStr">
        <is>
          <t>Simplify Checkout — Kịch bản Test XUYÊN SUỐT (từ lúc mở app đến lúc đặt hàng xong)</t>
        </is>
      </c>
    </row>
    <row r="2" ht="43.5" customHeight="1" s="23">
      <c r="A2" s="1" t="inlineStr">
        <is>
          <t>Các test case dưới đây mô phỏng ĐÚNG hành trình của 1 khách hàng thực tế, đi qua NHIỀU màn hình/nhiều bước liên tiếp - khác với 2 sheet Test Cases ở trên chỉ test TỪNG MÀN HÌNH riêng lẻ. Mục đích: bắt được những lỗi chỉ xuất hiện khi CHUYỂN TIẾP giữa các bước (ví dụ: mất dữ liệu khi đăng ký giữa chừng, mất giỏ hàng khi phiên đăng nhập hết hạn...).</t>
        </is>
      </c>
    </row>
    <row r="3" ht="27.75" customHeight="1" s="23">
      <c r="A3" s="7" t="inlineStr">
        <is>
          <t>E2E ID</t>
        </is>
      </c>
      <c r="B3" s="7" t="inlineStr">
        <is>
          <t>Tên hành trình (dễ hiểu)</t>
        </is>
      </c>
      <c r="C3" s="7" t="inlineStr">
        <is>
          <t>Người dùng / Tình huống</t>
        </is>
      </c>
      <c r="D3" s="7" t="inlineStr">
        <is>
          <t>Các màn hình / bước đi qua</t>
        </is>
      </c>
      <c r="E3" s="7" t="inlineStr">
        <is>
          <t>Loại test</t>
        </is>
      </c>
      <c r="F3" s="7" t="inlineStr">
        <is>
          <t>Độ ưu tiên</t>
        </is>
      </c>
      <c r="G3" s="7" t="inlineStr">
        <is>
          <t>Điều kiện trước khi bắt đầu</t>
        </is>
      </c>
      <c r="H3" s="7" t="inlineStr">
        <is>
          <t>Các bước thực hiện (chi tiết)</t>
        </is>
      </c>
      <c r="I3" s="7" t="inlineStr">
        <is>
          <t>Dữ liệu test</t>
        </is>
      </c>
      <c r="J3" s="7" t="inlineStr">
        <is>
          <t>Kết quả mong đợi</t>
        </is>
      </c>
      <c r="K3" s="7" t="inlineStr">
        <is>
          <t>Actual Result</t>
        </is>
      </c>
      <c r="L3" s="7" t="inlineStr">
        <is>
          <t>Pass/Fail Status</t>
        </is>
      </c>
      <c r="M3" s="7" t="inlineStr">
        <is>
          <t>Tester</t>
        </is>
      </c>
      <c r="N3" s="7" t="inlineStr">
        <is>
          <t>Ngày test</t>
        </is>
      </c>
      <c r="O3" s="7" t="inlineStr">
        <is>
          <t>QnA liên quan</t>
        </is>
      </c>
      <c r="P3" s="7" t="inlineStr">
        <is>
          <t>Ghi chú</t>
        </is>
      </c>
      <c r="Q3" s="7" t="inlineStr">
        <is>
          <t>Ghi chu Review (QC)</t>
        </is>
      </c>
    </row>
    <row r="4" ht="189.75" customHeight="1" s="23">
      <c r="A4" s="8" t="inlineStr">
        <is>
          <t>E2E-01</t>
        </is>
      </c>
      <c r="B4" s="8" t="inlineStr">
        <is>
          <t>Khách hàng mới mua lần đầu - từ lúc mở app đến lúc đặt hàng xong</t>
        </is>
      </c>
      <c r="C4" s="8" t="inlineStr">
        <is>
          <t>Khách chưa từng dùng app, chưa có tài khoản (Guest -&gt; tự tạo tài khoản mới giữa chừng)</t>
        </is>
      </c>
      <c r="D4" s="8" t="inlineStr">
        <is>
          <t>Onboarding -&gt; Homepage -&gt; Login gate -&gt; Đăng ký -&gt; Giỏ hàng -&gt; Thanh toán</t>
        </is>
      </c>
      <c r="E4" s="8" t="inlineStr">
        <is>
          <t>Luồng chính (phải chạy đúng từ đầu đến cuối)</t>
        </is>
      </c>
      <c r="F4" s="8" t="inlineStr">
        <is>
          <t>Cao nhất</t>
        </is>
      </c>
      <c r="G4" s="8" t="inlineStr">
        <is>
          <t>App vừa cài xong, chưa có dữ liệu gì (chưa chọn ngôn ngữ, chưa chọn store, chưa có tài khoản).</t>
        </is>
      </c>
      <c r="H4" s="8" t="inlineStr">
        <is>
          <t>1. Mở app lần đầu tiên, thấy màn chọn ngôn ngữ - chọn 'Tiếng Việt', bấm Tiếp tục.
2. App xin 3 quyền (theo dõi hoạt động, thông báo, vị trí) - bấm Đồng ý (Allow) cả 3 quyền.
3. Vì đã cho phép định vị, app tự chọn sẵn store gần nhất (LOTTE Mart Nam Sài Gòn) - bấm Tiếp tục để xác nhận đúng store này.
4. Xem qua 3 màn giới thiệu ngắn, bấm 'Start shopping' ở màn cuối cùng.
5. Vào đến Trang chủ - kiểm tra thấy đúng tên store đã chọn, chưa có địa chỉ giao hàng.
6. Bấm vào dòng 'Choose delivery address', nhập địa chỉ giao hàng (dùng định vị rồi bổ sung số nhà), lưu lại.
7. Kiểm tra ở đầu trang thấy đúng địa chỉ vừa lưu và có gợi ý thời gian giao hàng.
8. Chọn 1 sản phẩm bất kỳ, bấm 'Add to Cart'.
9. Vì chưa có tài khoản, app chặn lại và hiện màn hình yêu cầu Đăng ký/Đăng nhập - chọn 'Đăng ký khách hàng mới'.
10. Nhập số điện thoại, giữ kênh nhận mã là Zalo (mặc định), bấm Gửi mã.
11. Nhập đúng mã OTP nhận được.
12. Đặt mật khẩu PIN gồm 6 số, nhập lại lần 2 cho khớp.
13. Điền đầy đủ thông tin cá nhân (họ tên, giới tính, ngày sinh, quốc tịch, store đăng ký), tick đồng ý Điều khoản sử dụng, bấm 'Tạo tài khoản'.
14. Kiểm tra: tài khoản được tạo xong, app TỰ ĐỘNG đăng nhập luôn (không bắt đăng nhập lại lần nữa).
15. Kiểm tra: sản phẩm đã bấm Add to Cart ở bước 8 GIỜ ĐÃ CÓ SẴN trong giỏ hàng (không cần bấm Add to Cart lại từ đầu).
16. Kiểm tra: địa chỉ đã tạo lúc còn là khách vãng lai (bước 6) giờ đã xuất hiện trong tài khoản mới, đang được chọn làm địa chỉ giao hàng.
17. Mở giỏ hàng, chọn hình thức giao hàng Standard, chọn 1 khung giờ giao hàng bất kỳ.
18. Bấm 'Proceed to Checkout' để qua bước thanh toán.
19. Ở màn Thanh toán, kiểm tra địa chỉ/store/khung giờ/sản phẩm hiện đúng như đã chọn ở Giỏ hàng (không sửa trực tiếp được).
20. Chọn phương thức thanh toán (ví dụ MoMo).
21. Bấm 'Đặt hàng'.
22. Kiểm tra: đơn hàng được đặt thành công, có hiện mã đơn hàng/màn xác nhận.</t>
        </is>
      </c>
      <c r="I4" s="8" t="inlineStr">
        <is>
          <t>Số điện thoại mới (chưa đăng ký): 0912340001. Mã OTP hợp lệ từ môi trường test. PIN: 123456. Sản phẩm đặt mua: bất kỳ SKU còn hàng.</t>
        </is>
      </c>
      <c r="J4" s="8" t="inlineStr">
        <is>
          <t>Toàn bộ hành trình từ lúc mở app lần đầu đến khi đặt hàng xong phải chạy LIỀN MẠCH, không lỗi, không bị mất dữ liệu ở bất kỳ bước chuyển tiếp nào. Quan trọng nhất: (a) sản phẩm đã chọn trước khi đăng ký phải tự động nằm trong giỏ hàng sau khi đăng ký xong, (b) địa chỉ đã tạo lúc còn là khách vãng lai phải tự động chuyển qua tài khoản mới, (c) không phải đăng nhập lại sau khi tạo tài khoản.</t>
        </is>
      </c>
      <c r="K4" s="9" t="n"/>
      <c r="L4" s="9" t="inlineStr">
        <is>
          <t>Not Run</t>
        </is>
      </c>
      <c r="M4" s="9" t="n"/>
      <c r="N4" s="9" t="n"/>
      <c r="O4" s="8" t="n"/>
      <c r="P4" s="8" t="inlineStr">
        <is>
          <t>Đây là kịch bản quan trọng nhất trong toàn bộ bộ test - nếu kịch bản này fail ở bất kỳ bước nào, ưu tiên sửa trước tiên.</t>
        </is>
      </c>
      <c r="Q4" s="5" t="n"/>
    </row>
    <row r="5" ht="189.75" customHeight="1" s="23">
      <c r="A5" s="8" t="inlineStr">
        <is>
          <t>E2E-02</t>
        </is>
      </c>
      <c r="B5" s="8" t="inlineStr">
        <is>
          <t>Khách quen (đã có tài khoản) mua hàng, chọn giao 60 phút, thanh toán MoMo</t>
        </is>
      </c>
      <c r="C5" s="8" t="inlineStr">
        <is>
          <t>Khách đã từng đăng ký tài khoản từ trước, lần này chỉ cần Đăng nhập (không phải Đăng ký)</t>
        </is>
      </c>
      <c r="D5" s="8" t="inlineStr">
        <is>
          <t>Homepage -&gt; Login gate -&gt; Đăng nhập -&gt; Giỏ hàng (60-Minute) -&gt; Thanh toán</t>
        </is>
      </c>
      <c r="E5" s="8" t="inlineStr">
        <is>
          <t>Luồng chính (biến thể: khách cũ, giao nhanh)</t>
        </is>
      </c>
      <c r="F5" s="8" t="inlineStr">
        <is>
          <t>Cao</t>
        </is>
      </c>
      <c r="G5" s="8" t="inlineStr">
        <is>
          <t>Tài khoản Member đã có sẵn, đã từng mua hàng trước đó (có dữ liệu để hệ thống gợi ý khung giờ quen thuộc). Địa chỉ đã lưu nằm trong bán kính 60 phút của store.</t>
        </is>
      </c>
      <c r="H5" s="8" t="inlineStr">
        <is>
          <t>1. Mở app, vào thẳng Trang chủ (không phải lần đầu nên không qua màn chọn ngôn ngữ/quyền nữa).
2. Kiểm tra địa chỉ đã lưu từ trước vẫn hiện đúng, thấy có băng thông báo có thể giao trong 60 phút.
3. Chọn 1 sản phẩm, bấm 'Add to Cart'.
4. App chặn lại, hiện màn Đăng nhập/Đăng ký - lần này chọn 'Đăng nhập' (không Đăng ký).
5. Nhập số điện thoại đã đăng ký.
6. Nếu thiết bị có bật Face ID/vân tay thì xác thực bằng sinh trắc học; nếu không thì nhập PIN 6 số.
7. Kiểm tra: đăng nhập xong, sản phẩm ở bước 3 đã tự động nằm trong giỏ hàng.
8. Mở giỏ hàng, chuyển từ Standard sang chọn dịch vụ 'Giao trong 60 phút'.
9. Kiểm tra dòng phí giao hàng 60 phút hiện ra (phí riêng, khác Standard).
10. Chọn 1 khung giờ giao hàng còn trống.
11. Bấm 'Proceed to Checkout'.
12. Ở màn Thanh toán, chọn phương thức thanh toán là MoMo.
13. Bấm 'Đặt hàng'.
14. Kiểm tra đơn hàng đặt thành công, đúng phí giao 60 phút đã tính ở bước 9.</t>
        </is>
      </c>
      <c r="I5" s="8" t="inlineStr">
        <is>
          <t>Tài khoản Member có sẵn: SĐT 0911112222, PIN 123456. Địa chỉ đã lưu: cách store 4km (trong vùng 60-Minute).</t>
        </is>
      </c>
      <c r="J5" s="8" t="inlineStr">
        <is>
          <t>Toàn bộ luồng phải chạy xuyên suốt, đăng nhập (không phải đăng ký) cũng phải resume đúng sản phẩm đã chọn trước đó; phí giao 60 phút phải được tính đúng và giữ nguyên đến lúc đặt hàng xong.</t>
        </is>
      </c>
      <c r="K5" s="9" t="n"/>
      <c r="L5" s="9" t="inlineStr">
        <is>
          <t>Not Run</t>
        </is>
      </c>
      <c r="M5" s="9" t="n"/>
      <c r="N5" s="9" t="n"/>
      <c r="O5" s="8" t="n"/>
      <c r="P5" s="8" t="n"/>
      <c r="Q5" s="5" t="n"/>
    </row>
    <row r="6" ht="189.75" customHeight="1" s="23">
      <c r="A6" s="8" t="inlineStr">
        <is>
          <t>E2E-03</t>
        </is>
      </c>
      <c r="B6" s="8" t="inlineStr">
        <is>
          <t>Đang mua thì đổi store giữa chừng, giỏ hàng bị ảnh hưởng nhưng vẫn đặt hàng xong được</t>
        </is>
      </c>
      <c r="C6" s="8" t="inlineStr">
        <is>
          <t>Khách đã đăng nhập, đang ở Giỏ hàng thì đổi sang 1 store khác làm ảnh hưởng sản phẩm/dịch vụ</t>
        </is>
      </c>
      <c r="D6" s="8" t="inlineStr">
        <is>
          <t>Homepage -&gt; Giỏ hàng -&gt; Đổi store trong Cart -&gt; Thanh toán</t>
        </is>
      </c>
      <c r="E6" s="8" t="inlineStr">
        <is>
          <t>Luồng bất thường hay gặp (đổi ý giữa chừng)</t>
        </is>
      </c>
      <c r="F6" s="8" t="inlineStr">
        <is>
          <t>Cao</t>
        </is>
      </c>
      <c r="G6" s="8" t="inlineStr">
        <is>
          <t>Khách đã đăng nhập, giỏ hàng có sẵn 3 sản phẩm và đã chọn dịch vụ Standard.</t>
        </is>
      </c>
      <c r="H6" s="8" t="inlineStr">
        <is>
          <t>1. Mở giỏ hàng, kiểm tra có 3 sản phẩm và dịch vụ Standard như dự kiến.
2. Bấm vào tên store hiện tại để mở danh sách đổi store.
3. Chọn 1 store khác mà biết trước sẽ làm 1 sản phẩm hết hàng và làm mất dịch vụ 60-Minute (nếu đang có).
4. Kiểm tra: hệ thống hiện 1 hộp thông báo GỘP duy nhất, liệt kê rõ những gì sẽ bị ảnh hưởng (sản phẩm nào hết hàng/đổi giá, dịch vụ nào bị mất).
5. Bấm 'Continue' để đồng ý đổi store.
6. Kiểm tra: sản phẩm bị hết hàng được chuyển sang 1 nhóm riêng (không còn nằm chung với các sản phẩm khác), 2 sản phẩm còn lại vẫn còn nguyên và vẫn chọn được để mua tiếp.
7. Kiểm tra dịch vụ giao hàng đã được gợi ý lại cho phù hợp với store mới.
8. Bấm 'Proceed to Checkout'.
9. Ở màn Thanh toán, kiểm tra chỉ còn đúng 2 sản phẩm (sản phẩm hết hàng không tính vào đơn).
10. Chọn phương thức thanh toán, bấm 'Đặt hàng'.
11. Kiểm tra đơn hàng đặt thành công với đúng 2 sản phẩm và đúng store mới.</t>
        </is>
      </c>
      <c r="I6" s="8" t="inlineStr">
        <is>
          <t>Giỏ hàng ban đầu: SKU-1, SKU-2, SKU-3. Store mới làm SKU-3 hết hàng.</t>
        </is>
      </c>
      <c r="J6" s="8" t="inlineStr">
        <is>
          <t>Việc đổi store giữa chừng không được làm sập ứng dụng hay mất toàn bộ giỏ hàng - chỉ những gì thực sự bị ảnh hưởng mới thay đổi, phần còn lại vẫn mua được bình thường cho đến lúc đặt hàng xong.</t>
        </is>
      </c>
      <c r="K6" s="9" t="n"/>
      <c r="L6" s="9" t="inlineStr">
        <is>
          <t>Not Run</t>
        </is>
      </c>
      <c r="M6" s="9" t="n"/>
      <c r="N6" s="9" t="n"/>
      <c r="O6" s="8" t="inlineStr">
        <is>
          <t>QnA-25</t>
        </is>
      </c>
      <c r="P6" s="8" t="inlineStr">
        <is>
          <t>Bố cục chi tiết của hộp thông báo gộp vẫn đang chờ UX xác nhận (QnA-25) - test này tập trung vào KẾT QUẢ CUỐI CÙNG (đặt hàng được, đúng sản phẩm), không xét giao diện chi tiết của hộp thông báo.</t>
        </is>
      </c>
      <c r="Q6" s="5" t="n"/>
    </row>
    <row r="7" ht="189.75" customHeight="1" s="23">
      <c r="A7" s="8" t="inlineStr">
        <is>
          <t>E2E-04</t>
        </is>
      </c>
      <c r="B7" s="8" t="inlineStr">
        <is>
          <t>Mua đơn hàng nặng (cồng kềnh) phải giao ngày xa hơn (T+4) và có phụ phí</t>
        </is>
      </c>
      <c r="C7" s="8" t="inlineStr">
        <is>
          <t>Khách đã đăng nhập, giỏ hàng có 1 sản phẩm nặng được gắn nhãn 'cồng kềnh'</t>
        </is>
      </c>
      <c r="D7" s="8" t="inlineStr">
        <is>
          <t>Homepage -&gt; Giỏ hàng -&gt; Chọn ngày giao (Next-day/bulky) -&gt; Thanh toán</t>
        </is>
      </c>
      <c r="E7" s="8" t="inlineStr">
        <is>
          <t>Luồng bất thường hay gặp (đơn hàng đặc biệt)</t>
        </is>
      </c>
      <c r="F7" s="8" t="inlineStr">
        <is>
          <t>Cao</t>
        </is>
      </c>
      <c r="G7" s="8" t="inlineStr">
        <is>
          <t>Địa chỉ giao hàng nằm trong khu vực giao Next-day (ở xa, không còn Standard/60-Minute). Giỏ hàng có 1 sản phẩm nặng được đánh dấu là 'hàng cồng kềnh'.</t>
        </is>
      </c>
      <c r="H7" s="8" t="inlineStr">
        <is>
          <t>1. Mở giỏ hàng, kiểm tra địa chỉ đang dùng chỉ còn hiện dịch vụ Next-day (không còn Standard/60-Minute).
2. Mở bước chọn ngày giao hàng.
3. Kiểm tra: vì có sản phẩm cồng kềnh trong giỏ, các ngày gần (sớm hơn 4 ngày tới) đều bị mờ/không chọn được - ngày sớm nhất có thể chọn là 4 ngày sau.
4. Kiểm tra màn hình có ghi rõ sản phẩm nào là lý do khiến đơn hàng bị coi là cồng kềnh.
5. Chọn 1 ngày giao hợp lệ (từ ngày thứ 4 trở đi).
6. Kiểm tra trong phần tính tiền có xuất hiện 1 dòng phụ phí riêng cho 'hàng cồng kềnh' (cộng thêm vào phí giao hàng bình thường).
7. Bấm 'Proceed to Checkout'.
8. Ở màn Thanh toán, kiểm tra lại dòng phụ phí hàng cồng kềnh vẫn còn đầy đủ, đúng như đã thấy ở Giỏ hàng.
9. Chọn phương thức thanh toán, bấm 'Đặt hàng'.
10. Kiểm tra đơn hàng đặt thành công, tổng tiền có tính đúng phụ phí hàng cồng kềnh.</t>
        </is>
      </c>
      <c r="I7" s="8" t="inlineStr">
        <is>
          <t>Sản phẩm cồng kềnh: 1 SKU nặng hơn 15kg (hoặc được gắn nhãn 'bulky'). Địa chỉ: thuộc khu vực giao Next-day.</t>
        </is>
      </c>
      <c r="J7" s="8" t="inlineStr">
        <is>
          <t>Đơn hàng cồng kềnh phải bị đẩy ngày giao xa hơn (từ 2 ngày lên 4 ngày) và phải có phụ phí riêng, không được miễn phí dù giỏ hàng có đủ điều kiện miễn phí giao hàng thông thường. Thông tin này phải được giữ nguyên từ Giỏ hàng sang đến lúc Đặt hàng xong.</t>
        </is>
      </c>
      <c r="K7" s="9" t="n"/>
      <c r="L7" s="9" t="inlineStr">
        <is>
          <t>Not Run</t>
        </is>
      </c>
      <c r="M7" s="9" t="n"/>
      <c r="N7" s="9" t="n"/>
      <c r="O7" s="8" t="inlineStr">
        <is>
          <t>QnA-43</t>
        </is>
      </c>
      <c r="P7" s="8" t="n"/>
      <c r="Q7" s="5" t="inlineStr">
        <is>
          <t>Đã gửi câu hỏi QnA-43 (26/08/2026) về công thức T+2-&gt;T+4 áp dụng cho đơn bulky trong vùng Next-day, hiện đang Open. Expected Result của kịch bản này vẫn đang dùng giả định của QC, cần cập nhật khi có câu trả lời chính thức.</t>
        </is>
      </c>
    </row>
    <row r="8" ht="189.75" customHeight="1" s="23">
      <c r="A8" s="8" t="inlineStr">
        <is>
          <t>E2E-05</t>
        </is>
      </c>
      <c r="B8" s="8" t="inlineStr">
        <is>
          <t>Dùng cùng lúc: mã giảm giá + thẻ quà tặng + điểm thưởng + mua trước trả sau, kiểm tra tổng tiền cuối cùng tính đúng</t>
        </is>
      </c>
      <c r="C8" s="8" t="inlineStr">
        <is>
          <t>Khách đã đăng nhập, muốn dùng hết các loại ưu đãi cùng 1 lúc để xem tổng tiền có tính đúng không</t>
        </is>
      </c>
      <c r="D8" s="8" t="inlineStr">
        <is>
          <t>Giỏ hàng -&gt; Thanh toán (dùng nhiều loại giảm giá cùng lúc)</t>
        </is>
      </c>
      <c r="E8" s="8" t="inlineStr">
        <is>
          <t>Luồng dùng nhiều tính năng cùng lúc (để bắt lỗi tính tiền)</t>
        </is>
      </c>
      <c r="F8" s="8" t="inlineStr">
        <is>
          <t>Cao</t>
        </is>
      </c>
      <c r="G8" s="8" t="inlineStr">
        <is>
          <t>Giỏ hàng có sản phẩm tổng 500.000đ. Tài khoản có sẵn: 1 mã giảm giá vận chuyển, 1 mã giảm giá sản phẩm, còn đủ điểm thưởng, và có thể chọn Mua trước trả sau (BNPL).</t>
        </is>
      </c>
      <c r="H8" s="8" t="inlineStr">
        <is>
          <t>1. Mở giỏ hàng, kiểm tra cả 2 mã giảm giá (vận chuyển + sản phẩm) đã được TỰ ĐỘNG áp dụng sẵn.
2. Bấm 'Proceed to Checkout'.
3. Ở màn Thanh toán, kiểm tra lại cả 2 mã giảm giá vẫn còn nguyên, hiện thành 2 dòng riêng biệt (không bị gộp chung).
4. Nhập thêm 1 mã thẻ quà tặng (GotIt) hợp lệ, bấm áp dụng.
5. Kiểm tra tiền được trừ đúng số tiền của thẻ quà tặng.
6. Bấm 'Dùng toàn bộ điểm' để dùng hết điểm thưởng đang có.
7. Kiểm tra tiền tiếp tục được trừ đúng theo số điểm đã dùng.
8. Chọn phương thức thanh toán là 'Mua trước trả sau' (BNPL).
9. Cuộn xem bảng tổng kết cuối cùng - cộng lại TẤT CẢ các dòng (giá gốc, phí giao hàng, giảm giá vận chuyển, giảm giá sản phẩm, thẻ quà tặng, điểm đã dùng) bằng tay để kiểm tra số tiền cuối cùng có đúng không.
10. Bấm 'Đặt hàng'.
11. Kiểm tra đơn hàng đặt thành công với đúng số tiền đã tính ở bước 9 (không bị lệch dòng nào).</t>
        </is>
      </c>
      <c r="I8" s="8" t="inlineStr">
        <is>
          <t>Giỏ hàng: 500.000đ. Mã giảm giá vận chuyển: -15.000đ. Mã giảm giá sản phẩm: -20.000đ. Thẻ quà tặng: -50.000đ. Điểm thưởng dùng hết: -10.000đ (ví dụ).</t>
        </is>
      </c>
      <c r="J8" s="8" t="inlineStr">
        <is>
          <t>Khi dùng nhiều loại giảm giá cùng lúc, MỖI loại phải được trừ đúng, không bị tính trùng 2 lần hay bị mất 1 loại nào đó; số tiền cuối cùng trên màn xác nhận đặt hàng phải khớp chính xác với phép tính tay.</t>
        </is>
      </c>
      <c r="K8" s="9" t="n"/>
      <c r="L8" s="9" t="inlineStr">
        <is>
          <t>Not Run</t>
        </is>
      </c>
      <c r="M8" s="9" t="n"/>
      <c r="N8" s="9" t="n"/>
      <c r="O8" s="8" t="inlineStr">
        <is>
          <t>QnA-17</t>
        </is>
      </c>
      <c r="P8" s="8" t="inlineStr">
        <is>
          <t>Danh mục đầy đủ các loại khuyến mãi vẫn đang chờ BA xác nhận (QnA-17) - test này chỉ kiểm tra CÁCH TÍNH TOÁN cộng/trừ có đúng logic không, không xét hết mọi loại khuyến mãi có thể có trong tương lai.</t>
        </is>
      </c>
      <c r="Q8" s="5" t="n"/>
    </row>
    <row r="9" ht="189.75" customHeight="1" s="23">
      <c r="A9" s="8" t="inlineStr">
        <is>
          <t>E2E-06</t>
        </is>
      </c>
      <c r="B9" s="8" t="inlineStr">
        <is>
          <t>Khách đang xem hàng, bị chặn đăng nhập thì bấm Huỷ, xem tiếp, rồi quay lại đăng nhập và mua bình thường</t>
        </is>
      </c>
      <c r="C9" s="8" t="inlineStr">
        <is>
          <t>Khách vãng lai (Guest), lần đầu bấm Huỷ không đăng nhập, lần sau mới đăng nhập thật sự</t>
        </is>
      </c>
      <c r="D9" s="8" t="inlineStr">
        <is>
          <t>Homepage -&gt; Login gate (Huỷ) -&gt; Xem tiếp -&gt; Login gate (đăng nhập thật) -&gt; Giỏ hàng -&gt; Thanh toán</t>
        </is>
      </c>
      <c r="E9" s="8" t="inlineStr">
        <is>
          <t>Luồng bất thường hay gặp (đổi ý, huỷ rồi quay lại)</t>
        </is>
      </c>
      <c r="F9" s="8" t="inlineStr">
        <is>
          <t>Trung bình</t>
        </is>
      </c>
      <c r="G9" s="8" t="inlineStr">
        <is>
          <t>Khách vãng lai, chưa đăng nhập, đang xem sản phẩm trên Trang chủ.</t>
        </is>
      </c>
      <c r="H9" s="8" t="inlineStr">
        <is>
          <t>1. Chọn sản phẩm A, bấm 'Add to Cart'.
2. Màn hình yêu cầu đăng nhập hiện ra - lần này bấm 'Huỷ' (không đăng nhập).
3. Kiểm tra: quay lại đúng trang đang xem, sản phẩm A KHÔNG nằm trong giỏ hàng.
4. Tiếp tục xem vài sản phẩm khác bình thường (không bị ảnh hưởng gì).
5. Quay lại chọn sản phẩm A như cũ, bấm 'Add to Cart' lần nữa.
6. Lần này màn hình đăng nhập hiện ra, chọn 'Đăng nhập', nhập SĐT + PIN đúng.
7. Kiểm tra: đăng nhập thành công, sản phẩm A GIỜ ĐÃ CÓ trong giỏ hàng (vì lần này không huỷ nữa).
8. Mở giỏ hàng, chọn dịch vụ giao hàng và khung giờ.
9. Bấm 'Proceed to Checkout', chọn phương thức thanh toán, bấm 'Đặt hàng'.
10. Kiểm tra đơn hàng đặt thành công.</t>
        </is>
      </c>
      <c r="I9" s="8" t="inlineStr">
        <is>
          <t>Sản phẩm A: bất kỳ SKU còn hàng. Tài khoản Member đã có sẵn.</t>
        </is>
      </c>
      <c r="J9" s="8" t="inlineStr">
        <is>
          <t>Bấm Huỷ ở lần đầu không được làm mất dữ liệu đang xem hay gây lỗi gì; sau khi quay lại đăng nhập thật sự, mọi thứ phải chạy tiếp bình thường như chưa hề có lần Huỷ trước đó.</t>
        </is>
      </c>
      <c r="K9" s="9" t="n"/>
      <c r="L9" s="9" t="inlineStr">
        <is>
          <t>Not Run</t>
        </is>
      </c>
      <c r="M9" s="9" t="n"/>
      <c r="N9" s="9" t="n"/>
      <c r="O9" s="8" t="n"/>
      <c r="P9" s="8" t="n"/>
      <c r="Q9" s="5" t="n"/>
    </row>
    <row r="10" ht="189.75" customHeight="1" s="23">
      <c r="A10" s="8" t="inlineStr">
        <is>
          <t>E2E-07</t>
        </is>
      </c>
      <c r="B10" s="8" t="inlineStr">
        <is>
          <t>Quên mật khẩu PIN ngay giữa lúc đang mua hàng, phải đổi PIN mới rồi mua tiếp</t>
        </is>
      </c>
      <c r="C10" s="8" t="inlineStr">
        <is>
          <t>Khách đã có tài khoản nhưng quên PIN ngay lúc đang đăng nhập để mua hàng</t>
        </is>
      </c>
      <c r="D10" s="8" t="inlineStr">
        <is>
          <t>Login gate -&gt; Quên PIN -&gt; Đặt PIN mới -&gt; Giỏ hàng -&gt; Thanh toán</t>
        </is>
      </c>
      <c r="E10" s="8" t="inlineStr">
        <is>
          <t>Luồng bất thường hay gặp (quên mật khẩu)</t>
        </is>
      </c>
      <c r="F10" s="8" t="inlineStr">
        <is>
          <t>Trung bình</t>
        </is>
      </c>
      <c r="G10" s="8" t="inlineStr">
        <is>
          <t>Khách đã có tài khoản, đang ở bước đăng nhập (bị chặn bởi login gate khi bấm Add to Cart), nhưng KHÔNG NHỚ PIN.</t>
        </is>
      </c>
      <c r="H10" s="8" t="inlineStr">
        <is>
          <t>1. Bấm 'Add to Cart' trên 1 sản phẩm, bị chặn bởi màn đăng nhập.
2. Chọn 'Đăng nhập', nhập SĐT, rồi nhập SAI PIN (vì quên mật khẩu).
3. Bấm 'Quên PIN'.
4. Hệ thống gửi mã OTP để xác nhận - nhập đúng mã OTP.
5. Đặt PIN mới (nhập 2 lần cho khớp), bấm Lưu.
6. Kiểm tra: sau khi đổi PIN xong, TỰ ĐỘNG được đăng nhập luôn (không phải nhập PIN mới lại lần nữa).
7. Kiểm tra: sản phẩm đã bấm Add to Cart ở bước 1 GIỜ ĐÃ CÓ trong giỏ hàng (không bị mất vì quá trình quên PIN).
8. Mở giỏ hàng, chọn dịch vụ và khung giờ giao hàng.
9. Bấm 'Proceed to Checkout', chọn phương thức thanh toán, bấm 'Đặt hàng'.
10. Kiểm tra đơn hàng đặt thành công.</t>
        </is>
      </c>
      <c r="I10" s="8" t="inlineStr">
        <is>
          <t>Tài khoản test: SĐT 0911119999, PIN cũ (đã quên): 555555, PIN mới đặt lại: 777777.</t>
        </is>
      </c>
      <c r="J10" s="8" t="inlineStr">
        <is>
          <t>Việc quên PIN và phải đổi PIN mới KHÔNG được làm gián đoạn ý định mua hàng ban đầu - sau khi đổi PIN xong phải tự động quay lại đúng chỗ đang dở (sản phẩm đã chọn vẫn còn trong giỏ) rồi mới hoàn tất đơn hàng.</t>
        </is>
      </c>
      <c r="K10" s="9" t="n"/>
      <c r="L10" s="9" t="inlineStr">
        <is>
          <t>Not Run</t>
        </is>
      </c>
      <c r="M10" s="9" t="n"/>
      <c r="N10" s="9" t="n"/>
      <c r="O10" s="8" t="n"/>
      <c r="P10" s="8" t="n"/>
      <c r="Q10" s="5" t="n"/>
    </row>
    <row r="11" ht="189.75" customHeight="1" s="23">
      <c r="A11" s="8" t="inlineStr">
        <is>
          <t>E2E-08</t>
        </is>
      </c>
      <c r="B11" s="8" t="inlineStr">
        <is>
          <t>Chọn quá nhiều sản phẩm (hơn 30 món), phải bỏ bớt mới thanh toán được</t>
        </is>
      </c>
      <c r="C11" s="8" t="inlineStr">
        <is>
          <t>Khách đã đăng nhập, mua sắm nhiều, chọn vượt quá 30 sản phẩm trong 1 đơn</t>
        </is>
      </c>
      <c r="D11" s="8" t="inlineStr">
        <is>
          <t>Giỏ hàng (vượt giới hạn 30 sản phẩm) -&gt; Bỏ bớt -&gt; Thanh toán</t>
        </is>
      </c>
      <c r="E11" s="8" t="inlineStr">
        <is>
          <t>Luồng bất thường hay gặp (giỏ hàng quá nhiều món)</t>
        </is>
      </c>
      <c r="F11" s="8" t="inlineStr">
        <is>
          <t>Trung bình</t>
        </is>
      </c>
      <c r="G11" s="8" t="inlineStr">
        <is>
          <t>Giỏ hàng có sẵn 35 sản phẩm có thể chọn mua.</t>
        </is>
      </c>
      <c r="H11" s="8" t="inlineStr">
        <is>
          <t>1. Mở giỏ hàng, bấm 'Chọn tất cả' (chọn hết 35 sản phẩm).
2. Kiểm tra: hiện thông báo lỗi nói rõ chỉ được tối đa 30 sản phẩm cho 1 đơn, và nút 'Thanh toán' không bấm được.
3. Bỏ chọn bớt các sản phẩm cho đến khi còn đúng 30 sản phẩm.
4. Kiểm tra: thông báo lỗi biến mất, nút 'Thanh toán' bấm được bình thường.
5. Bấm 'Proceed to Checkout'.
6. Ở màn Thanh toán, đếm lại kiểm tra đúng 30 sản phẩm (không thiếu, không dư).
7. Chọn phương thức thanh toán, bấm 'Đặt hàng'.
8. Kiểm tra đơn hàng đặt thành công với đúng 30 sản phẩm.</t>
        </is>
      </c>
      <c r="I11" s="8" t="inlineStr">
        <is>
          <t>35 sản phẩm mẫu có sẵn trong giỏ hàng.</t>
        </is>
      </c>
      <c r="J11" s="8" t="inlineStr">
        <is>
          <t>Khách phải được hướng dẫn rõ ràng để tự bỏ bớt xuống đúng giới hạn cho phép, và sau khi đã đúng giới hạn thì mọi thứ phải hoạt động bình thường, đặt hàng thành công với đúng số lượng đã chọn.</t>
        </is>
      </c>
      <c r="K11" s="9" t="n"/>
      <c r="L11" s="9" t="inlineStr">
        <is>
          <t>Not Run</t>
        </is>
      </c>
      <c r="M11" s="9" t="n"/>
      <c r="N11" s="9" t="n"/>
      <c r="O11" s="8" t="n"/>
      <c r="P11" s="8" t="n"/>
      <c r="Q11" s="5" t="n"/>
    </row>
    <row r="12" ht="189.75" customHeight="1" s="23">
      <c r="A12" s="8" t="inlineStr">
        <is>
          <t>E2E-09</t>
        </is>
      </c>
      <c r="B12" s="8" t="inlineStr">
        <is>
          <t>Địa chỉ không giao được, đổi sang địa chỉ khác hoặc chuyển sang Tự đến lấy</t>
        </is>
      </c>
      <c r="C12" s="8" t="inlineStr">
        <is>
          <t>Khách đã đăng nhập, địa chỉ đang chọn nằm ngoài vùng giao hàng của mọi store</t>
        </is>
      </c>
      <c r="D12" s="8" t="inlineStr">
        <is>
          <t>Homepage (địa chỉ ngoài vùng) -&gt; Đổi địa chỉ hoặc chọn Tự đến lấy -&gt; Thanh toán</t>
        </is>
      </c>
      <c r="E12" s="8" t="inlineStr">
        <is>
          <t>Luồng bất thường hay gặp (địa chỉ không giao được)</t>
        </is>
      </c>
      <c r="F12" s="8" t="inlineStr">
        <is>
          <t>Trung bình</t>
        </is>
      </c>
      <c r="G12" s="8" t="inlineStr">
        <is>
          <t>Khách đã đăng nhập, đã chọn 1 địa chỉ nằm ngoài vùng phục vụ của mọi store (không có Standard, không có Next-day).</t>
        </is>
      </c>
      <c r="H12" s="8" t="inlineStr">
        <is>
          <t>1. Mở Trang chủ, kiểm tra thấy dòng thông báo 'không được phục vụ' thay vì giờ giao hàng, kèm nút đổi địa chỉ.
2. Thử bấm vào danh mục sản phẩm - xác nhận vẫn xem được bình thường (chỉ riêng giao hàng bị ảnh hưởng).
3. Bấm nút đổi địa chỉ, chọn 1 địa chỉ khác đã lưu mà có thể giao được.
4. Kiểm tra: giờ giao hàng xuất hiện lại bình thường cho địa chỉ mới.
5. Chọn sản phẩm, thêm vào giỏ hàng.
6. Mở giỏ hàng, xác nhận địa chỉ mới và dịch vụ giao hàng đúng như vừa chọn.
7. (Kiểm tra thêm một cách khác) Quay lại địa chỉ cũ (không giao được), lần này ở Giỏ hàng chuyển sang tab 'Tự đến lấy' thay vì giao hàng.
8. Chọn store và khung giờ đến lấy.
9. Bấm 'Proceed to Checkout', chọn phương thức thanh toán, bấm 'Đặt hàng'.
10. Kiểm tra đơn hàng đặt thành công (theo hướng đã chọn ở bước 6 hoặc bước 8).</t>
        </is>
      </c>
      <c r="I12" s="8" t="inlineStr">
        <is>
          <t>Địa chỉ không giao được: 1 địa chỉ ngoài mọi vùng cấu hình. Địa chỉ thay thế: 1 địa chỉ hợp lệ trong vùng Standard.</t>
        </is>
      </c>
      <c r="J12" s="8" t="inlineStr">
        <is>
          <t>Địa chỉ không giao được không được chặn toàn bộ trải nghiệm mua hàng - khách vẫn xem được sản phẩm và vẫn có ít nhất 2 cách để tiếp tục mua: đổi sang địa chỉ khác, hoặc chuyển sang tự đến lấy tại store.</t>
        </is>
      </c>
      <c r="K12" s="9" t="n"/>
      <c r="L12" s="9" t="inlineStr">
        <is>
          <t>Not Run</t>
        </is>
      </c>
      <c r="M12" s="9" t="n"/>
      <c r="N12" s="9" t="n"/>
      <c r="O12" s="8" t="n"/>
      <c r="P12" s="8" t="n"/>
      <c r="Q12" s="5" t="inlineStr">
        <is>
          <t>Kịch bản có nhắc tới việc chuyển sang địa chỉ khác HOẶC chuyển sang Tự đến lấy (Pickup) khi địa chỉ không giao được — đây là 2 nhánh khác nhau nhưng Test Steps hiện chỉ mô tả chung chung 'ít nhất 2 cách để tiếp tục mua' mà không tách rõ bước-by-bước cho từng nhánh. Nên tách thành 2 chuỗi bước rõ ràng (nhánh đổi địa chỉ và nhánh đổi Pickup) để người thực thi không tự diễn giải khác nhau.</t>
        </is>
      </c>
    </row>
    <row r="13" ht="189.75" customHeight="1" s="23">
      <c r="A13" s="8" t="inlineStr">
        <is>
          <t>E2E-10</t>
        </is>
      </c>
      <c r="B13" s="8" t="inlineStr">
        <is>
          <t>Đang thanh toán thì bị đăng xuất bất ngờ (phiên hết hạn), phải đăng nhập lại và tiếp tục đặt hàng</t>
        </is>
      </c>
      <c r="C13" s="8" t="inlineStr">
        <is>
          <t>Khách đã đăng nhập, đang ở bước Thanh toán thì phiên đăng nhập bị hết hạn giữa chừng</t>
        </is>
      </c>
      <c r="D13" s="8" t="inlineStr">
        <is>
          <t>Giỏ hàng -&gt; Thanh toán -&gt; (phiên hết hạn) -&gt; Đăng nhập lại -&gt; Hoàn tất Thanh toán</t>
        </is>
      </c>
      <c r="E13" s="8" t="inlineStr">
        <is>
          <t>Luồng lỗi hệ thống hay gặp (mất phiên đăng nhập)</t>
        </is>
      </c>
      <c r="F13" s="8" t="inlineStr">
        <is>
          <t>Cao</t>
        </is>
      </c>
      <c r="G13" s="8" t="inlineStr">
        <is>
          <t>Khách đã đăng nhập, đã chuẩn bị xong đơn hàng (địa chỉ, sản phẩm, dịch vụ, khuyến mãi) và đang ở màn Thanh toán. Giả lập phiên đăng nhập hết hạn ngay lúc này (ví dụ: chờ lâu không thao tác, hoặc giả lập từ môi trường test).</t>
        </is>
      </c>
      <c r="H13" s="8" t="inlineStr">
        <is>
          <t>1. Chuẩn bị đầy đủ 1 đơn hàng ở màn Thanh toán (chưa bấm Đặt hàng).
2. Giả lập phiên đăng nhập hết hạn (ví dụ: đổi/xoá token đăng nhập trong môi trường test).
3. Bấm 'Đặt hàng'.
4. Kiểm tra: hệ thống KHÔNG bị đứng/treo, mà yêu cầu đăng nhập lại (giống như 1 khách vãng lai).
5. Đăng nhập lại bằng đúng tài khoản cũ (SĐT + PIN hoặc sinh trắc học).
6. Kiểm tra sau khi đăng nhập lại: giỏ hàng và các lựa chọn (địa chỉ, sản phẩm, khuyến mãi) VẪN CÒN NGUYÊN, không phải làm lại từ đầu.
7. Bấm 'Đặt hàng' lại lần nữa.
8. Kiểm tra đơn hàng đặt thành công, và CHỈ CÓ 1 đơn được tạo (không bị tạo 2 đơn trùng nhau do bấm Đặt hàng 2 lần).</t>
        </is>
      </c>
      <c r="I13" s="8" t="inlineStr">
        <is>
          <t>Tài khoản test đã chuẩn bị đơn hàng đầy đủ trước khi giả lập hết phiên.</t>
        </is>
      </c>
      <c r="J13" s="8" t="inlineStr">
        <is>
          <t>Mất phiên đăng nhập giữa chừng không được làm mất giỏ hàng hay các lựa chọn đã chuẩn bị; khách chỉ cần đăng nhập lại là tiếp tục được ngay, và tuyệt đối không được tạo ra 2 đơn hàng trùng nhau.</t>
        </is>
      </c>
      <c r="K13" s="9" t="n"/>
      <c r="L13" s="9" t="inlineStr">
        <is>
          <t>Not Run</t>
        </is>
      </c>
      <c r="M13" s="9" t="n"/>
      <c r="N13" s="9" t="n"/>
      <c r="O13" s="8" t="inlineStr">
        <is>
          <t>QnA-04</t>
        </is>
      </c>
      <c r="P13" s="8" t="inlineStr">
        <is>
          <t>Giả định 'về phiên hết hạn thì coi như Guest' đang chờ Security/Dev xác nhận chính thức (QnA-04) - test này xác minh hành vi HIỆN TẠI có đúng như đề xuất không.</t>
        </is>
      </c>
      <c r="Q13" s="5" t="n"/>
    </row>
    <row r="14" ht="189.75" customHeight="1" s="23">
      <c r="A14" s="8" t="inlineStr">
        <is>
          <t>E2E-11</t>
        </is>
      </c>
      <c r="B14" s="8" t="inlineStr">
        <is>
          <t>Mua theo kiểu Tự đến lấy tại store, trả tiền mặt (dành cho khách hàng thân thiết)</t>
        </is>
      </c>
      <c r="C14" s="8" t="inlineStr">
        <is>
          <t>Khách đã đăng nhập, thuộc hạng thành viên cao (Platinum), chọn lấy hàng tại store và trả tiền mặt</t>
        </is>
      </c>
      <c r="D14" s="8" t="inlineStr">
        <is>
          <t>Giỏ hàng (Tự đến lấy) -&gt; Thanh toán -&gt; Trả tiền mặt tại store</t>
        </is>
      </c>
      <c r="E14" s="8" t="inlineStr">
        <is>
          <t>Luồng biến thể (Pickup + tiền mặt)</t>
        </is>
      </c>
      <c r="F14" s="8" t="inlineStr">
        <is>
          <t>Trung bình</t>
        </is>
      </c>
      <c r="G14" s="8" t="inlineStr">
        <is>
          <t>Tài khoản Member thuộc hạng Platinum. Giỏ hàng có sản phẩm có thể đến lấy tại store.</t>
        </is>
      </c>
      <c r="H14" s="8" t="inlineStr">
        <is>
          <t>1. Mở giỏ hàng, chuyển sang tab 'Tự đến lấy'.
2. Nhập tên và số điện thoại người sẽ đến lấy hàng (có thể khác với tài khoản đang đăng nhập).
3. Chọn store sẽ đến lấy và chọn khung giờ đến lấy.
4. Bấm 'Proceed to Checkout'.
5. Ở màn Thanh toán, kiểm tra không có dòng phí giao hàng nào (vì là tự đến lấy, không ai giao tận nơi).
6. Kiểm tra trong danh sách phương thức thanh toán CÓ xuất hiện tuỳ chọn 'Trả tiền mặt tại cửa hàng' (vì tài khoản là Platinum).
7. Chọn 'Trả tiền mặt tại cửa hàng'.
8. Bấm 'Đặt hàng'.
9. Kiểm tra đơn hàng đặt thành công, ghi rõ hình thức thanh toán là tiền mặt và thông tin người đến lấy hàng đúng như đã nhập ở bước 2.</t>
        </is>
      </c>
      <c r="I14" s="8" t="inlineStr">
        <is>
          <t>Tài khoản Platinum có sẵn. Người đến lấy: Nguyễn Văn C / 0933334444 (khác chủ tài khoản).</t>
        </is>
      </c>
      <c r="J14" s="8" t="inlineStr">
        <is>
          <t>Toàn bộ luồng tự đến lấy + trả tiền mặt phải chạy đúng, không bị tính nhầm phí giao hàng, và thông tin người đến lấy phải được giữ đúng như đã nhập (không bị thay bằng thông tin tài khoản).</t>
        </is>
      </c>
      <c r="K14" s="9" t="n"/>
      <c r="L14" s="9" t="inlineStr">
        <is>
          <t>Not Run</t>
        </is>
      </c>
      <c r="M14" s="9" t="n"/>
      <c r="N14" s="9" t="n"/>
      <c r="O14" s="8" t="n"/>
      <c r="P14" s="8" t="n"/>
      <c r="Q14" s="5" t="n"/>
    </row>
    <row r="15" ht="189.75" customHeight="1" s="23">
      <c r="A15" s="8" t="inlineStr">
        <is>
          <t>E2E-12</t>
        </is>
      </c>
      <c r="B15" s="8" t="inlineStr">
        <is>
          <t>Sản phẩm vừa hết hàng đúng lúc bấm Đặt hàng, phải được báo và cho sửa lại đơn trước khi đặt lại</t>
        </is>
      </c>
      <c r="C15" s="8" t="inlineStr">
        <is>
          <t>Khách đã chuẩn bị xong đơn hàng, nhưng đúng lúc bấm Đặt hàng thì 1 sản phẩm vừa bị người khác mua hết</t>
        </is>
      </c>
      <c r="D15" s="8" t="inlineStr">
        <is>
          <t>Giỏ hàng -&gt; Thanh toán -&gt; Đặt hàng (bị từ chối) -&gt; Sửa lại -&gt; Đặt hàng lại</t>
        </is>
      </c>
      <c r="E15" s="8" t="inlineStr">
        <is>
          <t>Luồng lỗi thường gặp lúc đông khách mua cùng lúc</t>
        </is>
      </c>
      <c r="F15" s="8" t="inlineStr">
        <is>
          <t>Cao</t>
        </is>
      </c>
      <c r="G15" s="8" t="inlineStr">
        <is>
          <t>Đơn hàng có 3 sản phẩm, trong đó 1 sản phẩm (SKU-Z) chỉ còn đúng 1 món trong kho. Giả lập có 1 người khác mua hết SKU-Z ngay trước khi khách này bấm Đặt hàng.</t>
        </is>
      </c>
      <c r="H15" s="8" t="inlineStr">
        <is>
          <t>1. Chuẩn bị xong đơn hàng với 3 sản phẩm (bao gồm SKU-Z) ở màn Thanh toán.
2. Giả lập: 1 người khác vừa mua hết SKU-Z (kho về 0) ngay TRƯỚC khi khách bấm Đặt hàng.
3. Khách bấm 'Đặt hàng'.
4. Kiểm tra: hệ thống TỪ CHỐI đặt đơn, báo rõ lý do (SKU-Z đã hết hàng), và đưa khách về lại Giỏ hàng.
5. Kiểm tra ở Giỏ hàng: SKU-Z đã được chuyển sang trạng thái hết hàng / nhóm riêng, 2 sản phẩm còn lại vẫn còn nguyên.
6. Xoá SKU-Z khỏi giỏ hàng (hoặc đổi sang sản phẩm thay thế nếu hệ thống có gợi ý).
7. Bấm 'Proceed to Checkout' lại.
8. Kiểm tra các lựa chọn trước đó (địa chỉ, dịch vụ, khuyến mãi) VẪN CÒN NGUYÊN, không phải chọn lại từ đầu.
9. Bấm 'Đặt hàng' lại lần nữa.
10. Kiểm tra lần này đặt hàng thành công với đúng 2 sản phẩm còn lại.</t>
        </is>
      </c>
      <c r="I15" s="8" t="inlineStr">
        <is>
          <t>Đơn hàng: SKU-X, SKU-Y (còn hàng), SKU-Z (hết hàng đúng lúc đặt hàng).</t>
        </is>
      </c>
      <c r="J15" s="8" t="inlineStr">
        <is>
          <t>Khi có sản phẩm hết hàng đúng lúc đặt hàng, khách phải được báo rõ ràng và đưa về sửa lại đơn (không được báo lỗi chung chung hay làm mất toàn bộ thông tin đã chuẩn bị); sau khi sửa xong phải đặt hàng lại được ngay mà không phải làm lại từ đầu.</t>
        </is>
      </c>
      <c r="K15" s="9" t="n"/>
      <c r="L15" s="9" t="inlineStr">
        <is>
          <t>Not Run</t>
        </is>
      </c>
      <c r="M15" s="9" t="n"/>
      <c r="N15" s="9" t="n"/>
      <c r="O15" s="8" t="n"/>
      <c r="P15" s="8" t="n"/>
      <c r="Q15" s="5" t="n"/>
    </row>
  </sheetData>
  <mergeCells count="2">
    <mergeCell ref="A1:P1"/>
    <mergeCell ref="A2:P2"/>
  </mergeCells>
  <dataValidations count="1">
    <dataValidation sqref="L4:L15" showDropDown="0" showInputMessage="0" showErrorMessage="0" allowBlank="1" type="list">
      <formula1>"Pass,Fail,Blocked,N/A,Not Run"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66"/>
  <sheetViews>
    <sheetView showGridLines="0" zoomScaleNormal="100" workbookViewId="0">
      <selection activeCell="A1" sqref="A1"/>
    </sheetView>
  </sheetViews>
  <sheetFormatPr baseColWidth="8" defaultColWidth="8.7109375" defaultRowHeight="15"/>
  <cols>
    <col width="46" customWidth="1" style="23" min="1" max="1"/>
    <col width="14" customWidth="1" style="23" min="2" max="2"/>
    <col width="4" customWidth="1" style="23" min="3" max="3"/>
    <col width="46" customWidth="1" style="23" min="4" max="4"/>
    <col width="14" customWidth="1" style="23" min="5" max="5"/>
  </cols>
  <sheetData>
    <row r="1" ht="17.25" customHeight="1" s="23">
      <c r="A1" s="2" t="inlineStr">
        <is>
          <t>Aggregate Summary — Combined Test Suite (Functional + Integration + E2E)</t>
        </is>
      </c>
    </row>
    <row r="2"/>
    <row r="3" ht="15" customHeight="1" s="23">
      <c r="A3" s="6" t="inlineStr">
        <is>
          <t>Overall Totals</t>
        </is>
      </c>
    </row>
    <row r="4" ht="15" customHeight="1" s="23">
      <c r="A4" t="inlineStr">
        <is>
          <t>Total Scenarios (Functional + Integration)</t>
        </is>
      </c>
      <c r="B4">
        <f>COUNTA('Functional Test Scenarios'!$B$3:$B$86)+COUNTA('Integration Test Scenarios'!$B$3:$B$25)</f>
        <v/>
      </c>
    </row>
    <row r="5" ht="15" customHeight="1" s="23">
      <c r="A5" t="inlineStr">
        <is>
          <t>Total Test Cases (Functional + Integration)</t>
        </is>
      </c>
      <c r="B5">
        <f>COUNTA('Functional Test Cases'!$A$3:$A$94)+COUNTA('Integration Test Cases'!$A$3:$A$25)</f>
        <v/>
      </c>
    </row>
    <row r="6" ht="15" customHeight="1" s="23">
      <c r="A6" t="inlineStr">
        <is>
          <t>Total E2E Test Cases (xuyen suot)</t>
        </is>
      </c>
      <c r="B6">
        <f>COUNTA('E2E Checkout Test Cases'!$A$4:$A$15)</f>
        <v/>
      </c>
    </row>
    <row r="7" ht="15" customHeight="1" s="23">
      <c r="A7" t="inlineStr">
        <is>
          <t>Tong cong TAT CA test case (Functional + Integration + E2E)</t>
        </is>
      </c>
      <c r="B7">
        <f>B5+B6</f>
        <v/>
      </c>
    </row>
    <row r="8"/>
    <row r="9"/>
    <row r="10" ht="15" customHeight="1" s="23">
      <c r="A10" s="4" t="inlineStr">
        <is>
          <t>Functional Test Cases — By Test Result</t>
        </is>
      </c>
      <c r="D10" s="4" t="inlineStr">
        <is>
          <t>Integration Test Cases — By Test Result</t>
        </is>
      </c>
    </row>
    <row r="11" ht="15" customHeight="1" s="23">
      <c r="A11" t="inlineStr">
        <is>
          <t>Pass</t>
        </is>
      </c>
      <c r="B11">
        <f>COUNTIF('Functional Test Cases'!$M$3:$M$94,"Pass")</f>
        <v/>
      </c>
      <c r="D11" t="inlineStr">
        <is>
          <t>Pass</t>
        </is>
      </c>
      <c r="E11">
        <f>COUNTIF('Integration Test Cases'!$M$3:$M$25,"Pass")</f>
        <v/>
      </c>
    </row>
    <row r="12" ht="15" customHeight="1" s="23">
      <c r="A12" t="inlineStr">
        <is>
          <t>Fail</t>
        </is>
      </c>
      <c r="B12">
        <f>COUNTIF('Functional Test Cases'!$M$3:$M$94,"Fail")</f>
        <v/>
      </c>
      <c r="D12" t="inlineStr">
        <is>
          <t>Fail</t>
        </is>
      </c>
      <c r="E12">
        <f>COUNTIF('Integration Test Cases'!$M$3:$M$25,"Fail")</f>
        <v/>
      </c>
    </row>
    <row r="13" ht="15" customHeight="1" s="23">
      <c r="A13" t="inlineStr">
        <is>
          <t>Blocked</t>
        </is>
      </c>
      <c r="B13">
        <f>COUNTIF('Functional Test Cases'!$M$3:$M$94,"Blocked")</f>
        <v/>
      </c>
      <c r="D13" t="inlineStr">
        <is>
          <t>Blocked</t>
        </is>
      </c>
      <c r="E13">
        <f>COUNTIF('Integration Test Cases'!$M$3:$M$25,"Blocked")</f>
        <v/>
      </c>
    </row>
    <row r="14" ht="15" customHeight="1" s="23">
      <c r="A14" t="inlineStr">
        <is>
          <t>N/A</t>
        </is>
      </c>
      <c r="B14">
        <f>COUNTIF('Functional Test Cases'!$M$3:$M$94,"N/A")</f>
        <v/>
      </c>
      <c r="D14" t="inlineStr">
        <is>
          <t>N/A</t>
        </is>
      </c>
      <c r="E14">
        <f>COUNTIF('Integration Test Cases'!$M$3:$M$25,"N/A")</f>
        <v/>
      </c>
    </row>
    <row r="15" ht="15" customHeight="1" s="23">
      <c r="A15" t="inlineStr">
        <is>
          <t>Not Run</t>
        </is>
      </c>
      <c r="B15">
        <f>COUNTIF('Functional Test Cases'!$M$3:$M$94,"Not Run")</f>
        <v/>
      </c>
      <c r="D15" t="inlineStr">
        <is>
          <t>Not Run</t>
        </is>
      </c>
      <c r="E15">
        <f>COUNTIF('Integration Test Cases'!$M$3:$M$25,"Not Run")</f>
        <v/>
      </c>
    </row>
    <row r="16" ht="15" customHeight="1" s="23">
      <c r="A16" t="inlineStr">
        <is>
          <t>Total</t>
        </is>
      </c>
      <c r="B16">
        <f>SUM(B11:B15)</f>
        <v/>
      </c>
      <c r="D16" t="inlineStr">
        <is>
          <t>Total</t>
        </is>
      </c>
      <c r="E16">
        <f>SUM(E11:E15)</f>
        <v/>
      </c>
    </row>
    <row r="17" ht="15" customHeight="1" s="23">
      <c r="A17" t="inlineStr">
        <is>
          <t>Total Scenarios</t>
        </is>
      </c>
      <c r="B17">
        <f>COUNTA('Functional Test Scenarios'!$B$3:$B$86)</f>
        <v/>
      </c>
      <c r="D17" t="inlineStr">
        <is>
          <t>Total Scenarios</t>
        </is>
      </c>
      <c r="E17">
        <f>COUNTA('Integration Test Scenarios'!$B$3:$B$25)</f>
        <v/>
      </c>
    </row>
    <row r="18" ht="15" customHeight="1" s="23">
      <c r="A18" t="inlineStr">
        <is>
          <t>Total Test Cases</t>
        </is>
      </c>
      <c r="B18">
        <f>COUNTA('Functional Test Cases'!$A$3:$A$94)</f>
        <v/>
      </c>
      <c r="D18" t="inlineStr">
        <is>
          <t>Total Test Cases</t>
        </is>
      </c>
      <c r="E18">
        <f>COUNTA('Integration Test Cases'!$A$3:$A$25)</f>
        <v/>
      </c>
    </row>
    <row r="19" ht="15" customHeight="1" s="23">
      <c r="A19" t="inlineStr">
        <is>
          <t>Co ghi chu Review (can luu y)</t>
        </is>
      </c>
      <c r="B19">
        <f>COUNTIF('Functional Test Cases'!$R$3:$R$94,"?*")</f>
        <v/>
      </c>
      <c r="D19" t="inlineStr">
        <is>
          <t>Co ghi chu Review (can luu y)</t>
        </is>
      </c>
      <c r="E19">
        <f>COUNTIF('Integration Test Cases'!$R$3:$R$25,"?*")</f>
        <v/>
      </c>
    </row>
    <row r="20" ht="15" customHeight="1" s="23">
      <c r="A20" t="inlineStr">
        <is>
          <t>Liên quan 1 QnA còn mở (Linked to Open QnA item)</t>
        </is>
      </c>
      <c r="B20">
        <f>COUNTIF('Functional Test Cases'!$P$3:$P$94,"QnA*")</f>
        <v/>
      </c>
      <c r="D20" t="inlineStr">
        <is>
          <t>Liên quan 1 QnA còn mở (Linked to Open QnA item)</t>
        </is>
      </c>
      <c r="E20">
        <f>COUNTIF('Integration Test Cases'!$P$3:$P$25,"QnA*")</f>
        <v/>
      </c>
    </row>
    <row r="21"/>
    <row r="22" ht="15" customHeight="1" s="23">
      <c r="A22" s="4" t="inlineStr">
        <is>
          <t>Functional — By Capability Area</t>
        </is>
      </c>
    </row>
    <row r="23" ht="15" customHeight="1" s="23">
      <c r="A23" t="inlineStr">
        <is>
          <t>ONB - Onboarding</t>
        </is>
      </c>
      <c r="B23">
        <f>COUNTIF('Functional Test Scenarios'!$D$3:$D$86,"ONB - Onboarding")</f>
        <v/>
      </c>
    </row>
    <row r="24" ht="15" customHeight="1" s="23">
      <c r="A24" t="inlineStr">
        <is>
          <t>HP - Homepage &amp; Login Gate</t>
        </is>
      </c>
      <c r="B24">
        <f>COUNTIF('Functional Test Scenarios'!$D$3:$D$86,"HP - Homepage &amp; Login Gate")</f>
        <v/>
      </c>
    </row>
    <row r="25" ht="15" customHeight="1" s="23">
      <c r="A25" t="inlineStr">
        <is>
          <t>SU - Signup</t>
        </is>
      </c>
      <c r="B25">
        <f>COUNTIF('Functional Test Scenarios'!$D$3:$D$86,"SU - Signup")</f>
        <v/>
      </c>
    </row>
    <row r="26" ht="15" customHeight="1" s="23">
      <c r="A26" t="inlineStr">
        <is>
          <t>LI - Login</t>
        </is>
      </c>
      <c r="B26">
        <f>COUNTIF('Functional Test Scenarios'!$D$3:$D$86,"LI - Login")</f>
        <v/>
      </c>
    </row>
    <row r="27" ht="15" customHeight="1" s="23">
      <c r="A27" t="inlineStr">
        <is>
          <t>CT - Cart</t>
        </is>
      </c>
      <c r="B27">
        <f>COUNTIF('Functional Test Scenarios'!$D$3:$D$86,"CT - Cart")</f>
        <v/>
      </c>
    </row>
    <row r="28" ht="15" customHeight="1" s="23">
      <c r="A28" t="inlineStr">
        <is>
          <t>CO - Checkout</t>
        </is>
      </c>
      <c r="B28">
        <f>COUNTIF('Functional Test Scenarios'!$D$3:$D$86,"CO - Checkout")</f>
        <v/>
      </c>
    </row>
    <row r="29" ht="15" customHeight="1" s="23">
      <c r="A29" t="inlineStr">
        <is>
          <t>Total</t>
        </is>
      </c>
      <c r="B29">
        <f>SUM(B23:B28)</f>
        <v/>
      </c>
    </row>
    <row r="30"/>
    <row r="31" ht="15" customHeight="1" s="23">
      <c r="A31" s="4" t="inlineStr">
        <is>
          <t>Integration — By Module</t>
        </is>
      </c>
    </row>
    <row r="32" ht="15" customHeight="1" s="23">
      <c r="A32" t="inlineStr">
        <is>
          <t>Cong OTP Zalo/SMS</t>
        </is>
      </c>
      <c r="B32">
        <f>COUNTIF('Integration Test Scenarios'!$C$3:$C$25,"Cong OTP Zalo/SMS")</f>
        <v/>
      </c>
    </row>
    <row r="33" ht="15" customHeight="1" s="23">
      <c r="A33" t="inlineStr">
        <is>
          <t>Cổng thanh toán &amp; BNPL</t>
        </is>
      </c>
      <c r="B33">
        <f>COUNTIF('Integration Test Scenarios'!$C$3:$C$25,"Cổng thanh toán &amp; BNPL")</f>
        <v/>
      </c>
    </row>
    <row r="34" ht="15" customHeight="1" s="23">
      <c r="A34" t="inlineStr">
        <is>
          <t>OMS/DMS - Slot Capacity &amp; Next-day</t>
        </is>
      </c>
      <c r="B34">
        <f>COUNTIF('Integration Test Scenarios'!$C$3:$C$25,"OMS/DMS - Slot Capacity &amp; Next-day")</f>
        <v/>
      </c>
    </row>
    <row r="35" ht="15" customHeight="1" s="23">
      <c r="A35" t="inlineStr">
        <is>
          <t>OMS - Tiếp nhận đơn hàng (Place Order)</t>
        </is>
      </c>
      <c r="B35">
        <f>COUNTIF('Integration Test Scenarios'!$C$3:$C$25,"OMS - Tiếp nhận đơn hàng (Place Order)")</f>
        <v/>
      </c>
    </row>
    <row r="36" ht="15" customHeight="1" s="23">
      <c r="A36" t="inlineStr">
        <is>
          <t>Dịch vụ cấu hình Store - Danh mục/Giá/Tồn kho</t>
        </is>
      </c>
      <c r="B36">
        <f>COUNTIF('Integration Test Scenarios'!$C$3:$C$25,"Dịch vụ cấu hình Store - Danh mục/Giá/Tồn kho")</f>
        <v/>
      </c>
    </row>
    <row r="37" ht="15" customHeight="1" s="23">
      <c r="A37" t="inlineStr">
        <is>
          <t>Biometric / Device Security Ticket</t>
        </is>
      </c>
      <c r="B37">
        <f>COUNTIF('Integration Test Scenarios'!$C$3:$C$25,"Biometric / Device Security Ticket")</f>
        <v/>
      </c>
    </row>
    <row r="38" ht="15" customHeight="1" s="23">
      <c r="A38" t="inlineStr">
        <is>
          <t>Session / Auth Token</t>
        </is>
      </c>
      <c r="B38">
        <f>COUNTIF('Integration Test Scenarios'!$C$3:$C$25,"Session / Auth Token")</f>
        <v/>
      </c>
    </row>
    <row r="39" ht="15" customHeight="1" s="23">
      <c r="A39" t="inlineStr">
        <is>
          <t>Coupon &amp; Khuyen mai Engine</t>
        </is>
      </c>
      <c r="B39">
        <f>COUNTIF('Integration Test Scenarios'!$C$3:$C$25,"Coupon &amp; Khuyen mai Engine")</f>
        <v/>
      </c>
    </row>
    <row r="40" ht="15" customHeight="1" s="23">
      <c r="A40" t="inlineStr">
        <is>
          <t>Loyalty &amp; Diem thuong Engine</t>
        </is>
      </c>
      <c r="B40">
        <f>COUNTIF('Integration Test Scenarios'!$C$3:$C$25,"Loyalty &amp; Diem thuong Engine")</f>
        <v/>
      </c>
    </row>
    <row r="41" ht="15" customHeight="1" s="23">
      <c r="A41" t="inlineStr">
        <is>
          <t>GotIt / Gift Card Service</t>
        </is>
      </c>
      <c r="B41">
        <f>COUNTIF('Integration Test Scenarios'!$C$3:$C$25,"GotIt / Gift Card Service")</f>
        <v/>
      </c>
    </row>
    <row r="42" ht="15" customHeight="1" s="23">
      <c r="A42" t="inlineStr">
        <is>
          <t>Dich vu hoa don VAT</t>
        </is>
      </c>
      <c r="B42">
        <f>COUNTIF('Integration Test Scenarios'!$C$3:$C$25,"Dich vu hoa don VAT")</f>
        <v/>
      </c>
    </row>
    <row r="43" ht="15" customHeight="1" s="23">
      <c r="A43" t="inlineStr">
        <is>
          <t>Delivery Partner &amp; Locker Network</t>
        </is>
      </c>
      <c r="B43">
        <f>COUNTIF('Integration Test Scenarios'!$C$3:$C$25,"Delivery Partner &amp; Locker Network")</f>
        <v/>
      </c>
    </row>
    <row r="44" ht="15" customHeight="1" s="23">
      <c r="A44" t="inlineStr">
        <is>
          <t>Dich vu phan giai dia chi &amp; vung dich vu (Geo/Service-zone)</t>
        </is>
      </c>
      <c r="B44">
        <f>COUNTIF('Integration Test Scenarios'!$C$3:$C$25,"Dich vu phan giai dia chi &amp; vung dich vu (Geo/Service-zone)")</f>
        <v/>
      </c>
    </row>
    <row r="45" ht="15" customHeight="1" s="23">
      <c r="A45" t="inlineStr">
        <is>
          <t>Security - Gioi han thu OTP/PIN</t>
        </is>
      </c>
      <c r="B45">
        <f>COUNTIF('Integration Test Scenarios'!$C$3:$C$25,"Security - Gioi han thu OTP/PIN")</f>
        <v/>
      </c>
    </row>
    <row r="46" ht="15" customHeight="1" s="23">
      <c r="A46" t="inlineStr">
        <is>
          <t>Total</t>
        </is>
      </c>
      <c r="B46">
        <f>SUM(B32:B45)</f>
        <v/>
      </c>
    </row>
    <row r="47"/>
    <row r="48" ht="15" customHeight="1" s="23">
      <c r="A48" s="4" t="inlineStr">
        <is>
          <t>Functional — By Test Case Type</t>
        </is>
      </c>
    </row>
    <row r="49" ht="15" customHeight="1" s="23">
      <c r="A49" t="inlineStr">
        <is>
          <t>Functional</t>
        </is>
      </c>
      <c r="B49">
        <f>COUNTIF('Functional Test Cases'!$E$3:$E$94,"Functional")</f>
        <v/>
      </c>
    </row>
    <row r="50" ht="15" customHeight="1" s="23">
      <c r="A50" t="inlineStr">
        <is>
          <t>Validation</t>
        </is>
      </c>
      <c r="B50">
        <f>COUNTIF('Functional Test Cases'!$E$3:$E$94,"Validation")</f>
        <v/>
      </c>
    </row>
    <row r="51" ht="15" customHeight="1" s="23">
      <c r="A51" t="inlineStr">
        <is>
          <t>Negative</t>
        </is>
      </c>
      <c r="B51">
        <f>COUNTIF('Functional Test Cases'!$E$3:$E$94,"Negative")</f>
        <v/>
      </c>
    </row>
    <row r="52" ht="15" customHeight="1" s="23">
      <c r="A52" t="inlineStr">
        <is>
          <t>Boundary</t>
        </is>
      </c>
      <c r="B52">
        <f>COUNTIF('Functional Test Cases'!$E$3:$E$94,"Boundary")</f>
        <v/>
      </c>
    </row>
    <row r="53" ht="15" customHeight="1" s="23">
      <c r="A53" t="inlineStr">
        <is>
          <t>Edge</t>
        </is>
      </c>
      <c r="B53">
        <f>COUNTIF('Functional Test Cases'!$E$3:$E$94,"Edge")</f>
        <v/>
      </c>
    </row>
    <row r="54" ht="15" customHeight="1" s="23">
      <c r="A54" t="inlineStr">
        <is>
          <t>Regression</t>
        </is>
      </c>
      <c r="B54">
        <f>COUNTIF('Functional Test Cases'!$E$3:$E$94,"Regression")</f>
        <v/>
      </c>
    </row>
    <row r="55" ht="15" customHeight="1" s="23">
      <c r="A55" t="inlineStr">
        <is>
          <t>Total</t>
        </is>
      </c>
      <c r="B55">
        <f>SUM(B49:B54)</f>
        <v/>
      </c>
    </row>
    <row r="56"/>
    <row r="57" ht="15" customHeight="1" s="23">
      <c r="A57" s="4" t="inlineStr">
        <is>
          <t>Integration — By Test Case Type</t>
        </is>
      </c>
    </row>
    <row r="58" ht="15" customHeight="1" s="23">
      <c r="A58" t="inlineStr">
        <is>
          <t>Functional</t>
        </is>
      </c>
      <c r="B58">
        <f>COUNTIF('Integration Test Cases'!$E$3:$E$25,"Functional")</f>
        <v/>
      </c>
    </row>
    <row r="59" ht="15" customHeight="1" s="23">
      <c r="A59" t="inlineStr">
        <is>
          <t>Boundary</t>
        </is>
      </c>
      <c r="B59">
        <f>COUNTIF('Integration Test Cases'!$E$3:$E$25,"Boundary")</f>
        <v/>
      </c>
    </row>
    <row r="60" ht="15" customHeight="1" s="23">
      <c r="A60" t="inlineStr">
        <is>
          <t>Negative</t>
        </is>
      </c>
      <c r="B60">
        <f>COUNTIF('Integration Test Cases'!$E$3:$E$25,"Negative")</f>
        <v/>
      </c>
    </row>
    <row r="61" ht="15" customHeight="1" s="23">
      <c r="A61" t="inlineStr">
        <is>
          <t>Exception</t>
        </is>
      </c>
      <c r="B61">
        <f>COUNTIF('Integration Test Cases'!$E$3:$E$25,"Exception")</f>
        <v/>
      </c>
    </row>
    <row r="62" ht="15" customHeight="1" s="23">
      <c r="A62" t="inlineStr">
        <is>
          <t>Security</t>
        </is>
      </c>
      <c r="B62">
        <f>COUNTIF('Integration Test Cases'!$E$3:$E$25,"Security")</f>
        <v/>
      </c>
    </row>
    <row r="63" ht="15" customHeight="1" s="23">
      <c r="A63" t="inlineStr">
        <is>
          <t>Integration</t>
        </is>
      </c>
      <c r="B63">
        <f>COUNTIF('Integration Test Cases'!$E$3:$E$25,"Integration")</f>
        <v/>
      </c>
    </row>
    <row r="64" ht="15" customHeight="1" s="23">
      <c r="A64" t="inlineStr">
        <is>
          <t>Total</t>
        </is>
      </c>
      <c r="B64">
        <f>SUM(B58:B63)</f>
        <v/>
      </c>
    </row>
    <row r="65"/>
    <row r="66" ht="15" customHeight="1" s="23">
      <c r="A66" s="4" t="n"/>
    </row>
  </sheetData>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C16"/>
  <sheetViews>
    <sheetView showGridLines="0" zoomScaleNormal="100" workbookViewId="0">
      <pane ySplit="2" topLeftCell="A3" activePane="bottomLeft" state="frozen"/>
      <selection pane="bottomLeft" activeCell="A1" sqref="A1"/>
    </sheetView>
  </sheetViews>
  <sheetFormatPr baseColWidth="8" defaultColWidth="8.7109375" defaultRowHeight="15"/>
  <cols>
    <col width="30" customWidth="1" style="23" min="1" max="1"/>
    <col width="60" customWidth="1" style="23" min="2" max="2"/>
    <col width="24" customWidth="1" style="23" min="3" max="3"/>
  </cols>
  <sheetData>
    <row r="1" ht="17.25" customHeight="1" s="23">
      <c r="A1" s="2" t="inlineStr">
        <is>
          <t>Integration Points Reference</t>
        </is>
      </c>
    </row>
    <row r="2" ht="15" customHeight="1" s="23">
      <c r="A2" s="7" t="inlineStr">
        <is>
          <t>System/Service</t>
        </is>
      </c>
      <c r="B2" s="7" t="inlineStr">
        <is>
          <t>Role in Simplify Checkout</t>
        </is>
      </c>
      <c r="C2" s="7" t="inlineStr">
        <is>
          <t>Modules Using It</t>
        </is>
      </c>
    </row>
    <row r="3" ht="39.75" customHeight="1" s="23">
      <c r="A3" s="8" t="inlineStr">
        <is>
          <t>Cong OTP Zalo/SMS</t>
        </is>
      </c>
      <c r="B3" s="8" t="inlineStr">
        <is>
          <t>Gửi và xác thực mã OTP cho Signup/Login/Quên PIN; Zalo là kênh mặc định, SMS là kênh dự phòng thủ công (không tự động fallback).</t>
        </is>
      </c>
      <c r="C3" s="8" t="inlineStr">
        <is>
          <t>SU, LI</t>
        </is>
      </c>
    </row>
    <row r="4" ht="39.75" customHeight="1" s="23">
      <c r="A4" s="8" t="inlineStr">
        <is>
          <t>Cổng thanh toán &amp; BNPL (MoMo/ZaloPay/Thẻ/BNPL)</t>
        </is>
      </c>
      <c r="B4" s="8" t="inlineStr">
        <is>
          <t>Xử lý thanh toán, trả về khuyến mãi riêng theo từng phương thức, xác nhận Đặt hàng.</t>
        </is>
      </c>
      <c r="C4" s="8" t="inlineStr">
        <is>
          <t>CO</t>
        </is>
      </c>
    </row>
    <row r="5" ht="39.75" customHeight="1" s="23">
      <c r="A5" s="8" t="inlineStr">
        <is>
          <t>OMS/DMS (slot capacity &amp; Next-day config)</t>
        </is>
      </c>
      <c r="B5" s="8" t="inlineStr">
        <is>
          <t>Sở hữu cấu hình slot 60-Minute/Standard/Next-day, cảnh báo sắp hết chỗ, giải phóng slot khi đơn sẵn sàng giao.</t>
        </is>
      </c>
      <c r="C5" s="8" t="inlineStr">
        <is>
          <t>CT</t>
        </is>
      </c>
    </row>
    <row r="6" ht="39.75" customHeight="1" s="23">
      <c r="A6" s="8" t="inlineStr">
        <is>
          <t>OMS (tiếp nhận đơn hàng)</t>
        </is>
      </c>
      <c r="B6" s="8" t="inlineStr">
        <is>
          <t>Nhận và lưu bản ghi đơn hàng cuối cùng, xác nhận/từ chối đơn (hết hàng giữa chừng).</t>
        </is>
      </c>
      <c r="C6" s="8" t="inlineStr">
        <is>
          <t>CO</t>
        </is>
      </c>
    </row>
    <row r="7" ht="39.75" customHeight="1" s="23">
      <c r="A7" s="8" t="inlineStr">
        <is>
          <t>Dịch vụ cấu hình Store (Danh mục/Giá/Tồn kho)</t>
        </is>
      </c>
      <c r="B7" s="8" t="inlineStr">
        <is>
          <t>Cung cấp danh mục, giá, tồn kho, bán kính dịch vụ theo từng store; nguồn dữ liệu chính cho cảnh báo đổi store.</t>
        </is>
      </c>
      <c r="C7" s="8" t="inlineStr">
        <is>
          <t>ONB, HP, CT</t>
        </is>
      </c>
    </row>
    <row r="8" ht="39.75" customHeight="1" s="23">
      <c r="A8" s="8" t="inlineStr">
        <is>
          <t>Biometric / Device Security Ticket</t>
        </is>
      </c>
      <c r="B8" s="8" t="inlineStr">
        <is>
          <t>Quản lý bio ticket Face ID/vân tay, giới hạn 1 ticket đang hoạt động/thiết bị.</t>
        </is>
      </c>
      <c r="C8" s="8" t="inlineStr">
        <is>
          <t>SU, LI</t>
        </is>
      </c>
    </row>
    <row r="9" ht="39.75" customHeight="1" s="23">
      <c r="A9" s="8" t="inlineStr">
        <is>
          <t>Session / Auth Token Service</t>
        </is>
      </c>
      <c r="B9" s="8" t="inlineStr">
        <is>
          <t>Cấp phát và xác thực token phiên đăng nhập; xử lý hết hạn giữa chừng.</t>
        </is>
      </c>
      <c r="C9" s="8" t="inlineStr">
        <is>
          <t>HP, LI</t>
        </is>
      </c>
    </row>
    <row r="10" ht="39.75" customHeight="1" s="23">
      <c r="A10" s="8" t="inlineStr">
        <is>
          <t>Coupon &amp; Khuyen mai Engine</t>
        </is>
      </c>
      <c r="B10" s="8" t="inlineStr">
        <is>
          <t>Tự động áp dụng coupon giao hàng/sản phẩm, tính tiến độ freeship real-time.</t>
        </is>
      </c>
      <c r="C10" s="8" t="inlineStr">
        <is>
          <t>CT, CO</t>
        </is>
      </c>
    </row>
    <row r="11" ht="39.75" customHeight="1" s="23">
      <c r="A11" s="8" t="inlineStr">
        <is>
          <t>Loyalty &amp; Diem thuong Engine</t>
        </is>
      </c>
      <c r="B11" s="8" t="inlineStr">
        <is>
          <t>Tính điểm dự kiến, điểm thưởng khung giờ point-earning, áp dụng điểm giảm giá.</t>
        </is>
      </c>
      <c r="C11" s="8" t="inlineStr">
        <is>
          <t>CT, CO</t>
        </is>
      </c>
    </row>
    <row r="12" ht="39.75" customHeight="1" s="23">
      <c r="A12" s="8" t="inlineStr">
        <is>
          <t>GotIt / Gift Card Service</t>
        </is>
      </c>
      <c r="B12" s="8" t="inlineStr">
        <is>
          <t>Xác thực và quy đổi mã quà tặng/GotIt vào tổng đơn hàng.</t>
        </is>
      </c>
      <c r="C12" s="8" t="inlineStr">
        <is>
          <t>CO</t>
        </is>
      </c>
    </row>
    <row r="13" ht="39.75" customHeight="1" s="23">
      <c r="A13" s="8" t="inlineStr">
        <is>
          <t>Dich vu hoa don VAT</t>
        </is>
      </c>
      <c r="B13" s="8" t="inlineStr">
        <is>
          <t>Nhận và lưu thông tin xuất hoá đơn VAT gắn với đơn hàng.</t>
        </is>
      </c>
      <c r="C13" s="8" t="inlineStr">
        <is>
          <t>CO</t>
        </is>
      </c>
    </row>
    <row r="14" ht="39.75" customHeight="1" s="23">
      <c r="A14" s="8" t="inlineStr">
        <is>
          <t>Delivery Partner &amp; Locker Network</t>
        </is>
      </c>
      <c r="B14" s="8" t="inlineStr">
        <is>
          <t>Thực thi giao hàng 60-Minute/Standard/Next-day và quản lý trạng thái locker gần nhà/tại store.</t>
        </is>
      </c>
      <c r="C14" s="8" t="inlineStr">
        <is>
          <t>CT, CO</t>
        </is>
      </c>
    </row>
    <row r="15" ht="39.75" customHeight="1" s="23">
      <c r="A15" s="8" t="inlineStr">
        <is>
          <t>Dich vu phan giai dia chi &amp; vung dich vu (Geo/Service-zone)</t>
        </is>
      </c>
      <c r="B15" s="8" t="inlineStr">
        <is>
          <t>Xác định 1 trong 4 trạng thái dịch vụ theo khoảng cách địa chỉ-store; nguồn dữ liệu cho ước tính giao hàng.</t>
        </is>
      </c>
      <c r="C15" s="8" t="inlineStr">
        <is>
          <t>HP, CT</t>
        </is>
      </c>
    </row>
    <row r="16" ht="39.75" customHeight="1" s="23">
      <c r="A16" s="8" t="inlineStr">
        <is>
          <t>Security Service - Gioi han thu OTP/PIN</t>
        </is>
      </c>
      <c r="B16" s="8" t="inlineStr">
        <is>
          <t>Thực thi phía server giới hạn số lần thử sai OTP/PIN, độc lập với client.</t>
        </is>
      </c>
      <c r="C16" s="8" t="inlineStr">
        <is>
          <t>SU, LI</t>
        </is>
      </c>
    </row>
  </sheetData>
  <mergeCells count="1">
    <mergeCell ref="A1:C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2026-08-25T08:39:39Z</dcterms:created>
  <dcterms:modified xmlns:dcterms="http://purl.org/dc/terms/" xmlns:xsi="http://www.w3.org/2001/XMLSchema-instance" xsi:type="dcterms:W3CDTF">2026-08-26T10:25:28Z</dcterms:modified>
  <cp:lastModifiedBy>License Lotte</cp:lastModifiedBy>
  <cp:revision>0</cp:revision>
</cp:coreProperties>
</file>