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Cover" sheetId="1" state="visible" r:id="rId1"/>
    <sheet xmlns:r="http://schemas.openxmlformats.org/officeDocument/2006/relationships" name="Functional Test Scenarios" sheetId="2" state="visible" r:id="rId2"/>
    <sheet xmlns:r="http://schemas.openxmlformats.org/officeDocument/2006/relationships" name="Functional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E2E Checkout Test Cases" sheetId="6" state="visible" r:id="rId6"/>
    <sheet xmlns:r="http://schemas.openxmlformats.org/officeDocument/2006/relationships" name="Summary" sheetId="7" state="visible" r:id="rId7"/>
    <sheet xmlns:r="http://schemas.openxmlformats.org/officeDocument/2006/relationships" name="Integration Points" sheetId="8" state="visible" r:id="rId8"/>
  </sheets>
  <definedNames>
    <definedName name="_xlnm._FilterDatabase" localSheetId="1" hidden="1">'Functional Test Scenarios'!$A$2:$M$95</definedName>
    <definedName name="_xlnm._FilterDatabase" localSheetId="2" hidden="1">'Functional Test Cases'!$A$2:$R$190</definedName>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Cambria"/>
      <charset val="1"/>
      <b val="1"/>
      <color rgb="FF1F4E78"/>
      <sz val="14"/>
    </font>
    <font>
      <name val="Cambria"/>
      <charset val="1"/>
      <b val="1"/>
      <sz val="13"/>
    </font>
    <font>
      <name val="Cambria"/>
      <charset val="1"/>
      <b val="1"/>
      <sz val="11"/>
    </font>
    <font>
      <name val="Cambria"/>
      <charset val="1"/>
      <b val="1"/>
      <sz val="12"/>
    </font>
    <font>
      <name val="Cambria"/>
      <charset val="1"/>
      <b val="1"/>
      <color rgb="FFFFFFFF"/>
      <sz val="11"/>
    </font>
    <font>
      <name val="Cambria"/>
      <charset val="1"/>
      <i val="1"/>
      <color rgb="FF666666"/>
      <sz val="9"/>
    </font>
  </fonts>
  <fills count="7">
    <fill>
      <patternFill/>
    </fill>
    <fill>
      <patternFill patternType="gray125"/>
    </fill>
    <fill>
      <patternFill patternType="solid">
        <fgColor rgb="FF1F4E78"/>
        <bgColor rgb="FF003366"/>
      </patternFill>
    </fill>
    <fill>
      <patternFill patternType="solid">
        <fgColor rgb="FFFFF2CC"/>
        <bgColor rgb="FFE2EFDA"/>
      </patternFill>
    </fill>
    <fill>
      <patternFill patternType="solid">
        <fgColor rgb="FFE2EFDA"/>
        <bgColor rgb="FFFFF2CC"/>
      </patternFill>
    </fill>
    <fill>
      <patternFill patternType="solid">
        <fgColor rgb="FFFCE4D6"/>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xf>
    <xf numFmtId="0" fontId="1" fillId="0" borderId="0" applyAlignment="1" pivotButton="0" quotePrefix="0" xfId="0">
      <alignment horizontal="left" vertical="top"/>
    </xf>
    <xf numFmtId="0" fontId="0"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xf>
    <xf numFmtId="15" fontId="0" fillId="0" borderId="0" applyAlignment="1" pivotButton="0" quotePrefix="0" xfId="0">
      <alignment horizontal="left"/>
    </xf>
    <xf numFmtId="0" fontId="0" fillId="0" borderId="0" applyAlignment="1" pivotButton="0" quotePrefix="1" xfId="0">
      <alignment vertical="top"/>
    </xf>
    <xf numFmtId="0" fontId="0" fillId="5" borderId="1" applyAlignment="1" pivotButton="0" quotePrefix="0" xfId="0">
      <alignment vertical="top" wrapText="1"/>
    </xf>
    <xf numFmtId="0" fontId="0" fillId="6" borderId="1" applyAlignment="1" pivotButton="0" quotePrefix="0" xfId="0">
      <alignment vertical="top" wrapText="1"/>
    </xf>
    <xf numFmtId="0" fontId="1" fillId="0" borderId="0" pivotButton="0" quotePrefix="0" xfId="0"/>
    <xf numFmtId="0" fontId="0" fillId="0" borderId="0" pivotButton="0" quotePrefix="0" xfId="0"/>
    <xf numFmtId="0" fontId="6"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2" applyAlignment="1" pivotButton="0" quotePrefix="0" xfId="0">
      <alignment vertical="top" wrapText="1"/>
    </xf>
    <xf numFmtId="0" fontId="0" fillId="6" borderId="2" applyAlignment="1" pivotButton="0" quotePrefix="0" xfId="0">
      <alignment vertical="top" wrapText="1"/>
    </xf>
    <xf numFmtId="0" fontId="0" fillId="5"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0" zoomScaleNormal="100" workbookViewId="0">
      <selection activeCell="C18" sqref="C18"/>
    </sheetView>
  </sheetViews>
  <sheetFormatPr baseColWidth="8" defaultColWidth="8.7109375" defaultRowHeight="15"/>
  <cols>
    <col width="37.85546875" customWidth="1" style="10" min="1" max="1"/>
    <col width="23.28515625" customWidth="1" style="19" min="2" max="2"/>
    <col width="17.140625" customWidth="1" style="19" min="3" max="3"/>
    <col width="100" customWidth="1" style="19" min="4" max="4"/>
  </cols>
  <sheetData>
    <row r="1" ht="17.25" customHeight="1" s="19">
      <c r="A1" s="9" t="inlineStr">
        <is>
          <t>MART VN ONLINE RENEWAL 2026 PROJECT</t>
        </is>
      </c>
    </row>
    <row r="2" ht="15" customHeight="1" s="19">
      <c r="A2" s="10" t="inlineStr">
        <is>
          <t xml:space="preserve">Simplify Checkout — Functional &amp; System Integration Test Suite </t>
        </is>
      </c>
    </row>
    <row r="3" ht="15.75" customHeight="1" s="19">
      <c r="A3" s="11" t="inlineStr">
        <is>
          <t xml:space="preserve">Simplify Checkout — Functional &amp; System Integration Test Suite </t>
        </is>
      </c>
    </row>
    <row r="6">
      <c r="A6" s="12" t="inlineStr">
        <is>
          <t>Document</t>
        </is>
      </c>
      <c r="B6" s="8" t="inlineStr">
        <is>
          <t xml:space="preserve">MART-SimplifyCheckout Combined Test Suite </t>
        </is>
      </c>
    </row>
    <row r="7">
      <c r="A7" s="12" t="inlineStr">
        <is>
          <t>Prepared for</t>
        </is>
      </c>
      <c r="B7" s="8" t="inlineStr">
        <is>
          <t>Mart Online Division</t>
        </is>
      </c>
    </row>
    <row r="8">
      <c r="A8" s="12" t="inlineStr">
        <is>
          <t>Prepared by</t>
        </is>
      </c>
      <c r="B8" s="8" t="inlineStr">
        <is>
          <t>Hien Nguyen</t>
        </is>
      </c>
    </row>
    <row r="9">
      <c r="A9" s="12" t="inlineStr">
        <is>
          <t>Date</t>
        </is>
      </c>
      <c r="B9" s="8" t="inlineStr">
        <is>
          <t>25 August 2026</t>
        </is>
      </c>
    </row>
    <row r="10">
      <c r="A10" s="12" t="inlineStr">
        <is>
          <t>Source - REQ</t>
        </is>
      </c>
      <c r="B10" s="15" t="inlineStr">
        <is>
          <t xml:space="preserve">- MART-AN02-SRS-Simplify User Flow-v0.1-20260814.pptx 
- Figma "Checkout Flow - Review" </t>
        </is>
      </c>
    </row>
    <row r="11">
      <c r="A11" s="12" t="n"/>
      <c r="B11" s="8" t="n"/>
    </row>
    <row r="12">
      <c r="A12" s="12" t="inlineStr">
        <is>
          <t>Structure</t>
        </is>
      </c>
      <c r="B12" s="8" t="inlineStr">
        <is>
          <t>Cover / Functional Test Scenarios / Functional Test Cases / Integration Test Scenarios / Integration Test Cases / E2E Checkout Test Cases / Summary / Integration Points.</t>
        </is>
      </c>
    </row>
    <row r="13">
      <c r="A13" s="12" t="inlineStr">
        <is>
          <t>File QnA</t>
        </is>
      </c>
      <c r="B13" s="8" t="inlineStr">
        <is>
          <t xml:space="preserve">MART_SimplifyCheckout_QnA_Log.xlsx </t>
        </is>
      </c>
    </row>
    <row r="15" ht="15" customHeight="1" s="19">
      <c r="A15" s="13" t="inlineStr">
        <is>
          <t>Legend</t>
        </is>
      </c>
    </row>
    <row r="16" ht="27.75" customHeight="1" s="19">
      <c r="A16" s="12" t="inlineStr">
        <is>
          <t>Functional Scenario/Test Case Type</t>
        </is>
      </c>
      <c r="B16" s="8" t="inlineStr">
        <is>
          <t>Normal, Functional, Validation, Negative, Boundary, Edge, Regression</t>
        </is>
      </c>
    </row>
    <row r="17" ht="27.75" customHeight="1" s="19">
      <c r="A17" s="12" t="inlineStr">
        <is>
          <t>Integration Test Case Type</t>
        </is>
      </c>
      <c r="B17" s="8" t="inlineStr">
        <is>
          <t>Functional, Boundary, Negative, Exception, Security, Integration</t>
        </is>
      </c>
    </row>
    <row r="18" ht="27.75" customHeight="1" s="19">
      <c r="A18" s="12" t="inlineStr">
        <is>
          <t>Test Result (Summary sheet)</t>
        </is>
      </c>
      <c r="B18" s="8" t="inlineStr">
        <is>
          <t>Pass / Fail / Blocked / N/A / Not Run</t>
        </is>
      </c>
    </row>
    <row r="19" ht="27.75" customHeight="1" s="19">
      <c r="A19" s="12" t="inlineStr">
        <is>
          <t>Cot mau vang</t>
        </is>
      </c>
      <c r="B19" s="8" t="inlineStr">
        <is>
          <t>Trường theo dõi thực thi để QC điền (Actual Result, Pass/Fail Status, Tester, Test Date)</t>
        </is>
      </c>
    </row>
    <row r="20" ht="27.75" customHeight="1" s="19">
      <c r="A20" s="12" t="inlineStr">
        <is>
          <t>Cot mau xanh la (Ghi chu Review)</t>
        </is>
      </c>
      <c r="B20" s="8" t="inlineStr">
        <is>
          <t xml:space="preserve">Nhận xét của người review </t>
        </is>
      </c>
    </row>
    <row r="21" ht="27.75" customHeight="1" s="19">
      <c r="A21" s="12" t="inlineStr">
        <is>
          <t>Cot QnA Ref</t>
        </is>
      </c>
      <c r="B21" s="8" t="inlineStr">
        <is>
          <t>Mã tham chiếu tới file QnA Log</t>
        </is>
      </c>
    </row>
    <row r="22">
      <c r="A22" s="12" t="inlineStr">
        <is>
          <t>Cot mau cam (QnA Ref co du lieu)</t>
        </is>
      </c>
      <c r="B22" s="8" t="inlineStr">
        <is>
          <t>Test case/scenario co tham chieu QnA Log (cot QnA Ref khong rong)</t>
        </is>
      </c>
    </row>
    <row r="23" ht="15" customHeight="1" s="19">
      <c r="A23" s="13" t="inlineStr">
        <is>
          <t>Change History</t>
        </is>
      </c>
    </row>
    <row r="24" ht="15" customHeight="1" s="19">
      <c r="A24" s="12" t="inlineStr">
        <is>
          <t>Version</t>
        </is>
      </c>
      <c r="B24" s="1" t="inlineStr">
        <is>
          <t>Date</t>
        </is>
      </c>
      <c r="C24" s="1" t="inlineStr">
        <is>
          <t>Author</t>
        </is>
      </c>
      <c r="D24" s="1" t="inlineStr">
        <is>
          <t>Change</t>
        </is>
      </c>
    </row>
    <row r="25" ht="15" customHeight="1" s="19">
      <c r="A25" s="10" t="inlineStr">
        <is>
          <t>v1.0</t>
        </is>
      </c>
      <c r="B25" s="14" t="n">
        <v>46260</v>
      </c>
      <c r="C25" t="inlineStr">
        <is>
          <t>Hien Nguyen</t>
        </is>
      </c>
      <c r="D25" t="inlineStr">
        <is>
          <t>Tạo lần đầu từ SRS v0.1 + đối chiếu Figma.</t>
        </is>
      </c>
    </row>
    <row r="26">
      <c r="A26" s="10" t="inlineStr">
        <is>
          <t>v1.1</t>
        </is>
      </c>
      <c r="B26" s="14" t="n">
        <v>46260</v>
      </c>
      <c r="C26" t="inlineStr">
        <is>
          <t>Hien Nguyen</t>
        </is>
      </c>
      <c r="D26" t="inlineStr">
        <is>
          <t>Bo sung QnA-44..48 (tracking backend ONB-02, GPS nearest/tie-break, dia gioi hanh chinh cu/moi, tat app giua Onboarding); bo sung 6 scenario/test case moi (SCR-ONB-02-SC4/SC5, SCR-ONB-03-SC5/SC6/SC7, SCR-ONB-04-SC3); sap xep lai scenario/test case theo dung nhom Screen ID; to mau cac dong co QnA Ref.</t>
        </is>
      </c>
    </row>
    <row r="27">
      <c r="A27" s="10" t="inlineStr">
        <is>
          <t>v1.2</t>
        </is>
      </c>
      <c r="B27" s="14" t="n">
        <v>46260</v>
      </c>
      <c r="C27" t="inlineStr">
        <is>
          <t>Hien Nguyen</t>
        </is>
      </c>
      <c r="D27" t="inlineStr">
        <is>
          <t>Doi chieu toan bo 19 muc trong sheet Review - Gaps &amp; Issues: 18/19 muc da co test case (TBD cho cac muc con cho QnA). Muc con lai (#13, NFR-01..05 Performance/Load) duoc bo sung INT-16-SC1 / INT-16-SC1-TC1 (baseline TBD, cho QnA-41). Da xoa sheet Review - Gaps &amp; Issues sau khi xu ly xong toan bo.</t>
        </is>
      </c>
    </row>
    <row r="28">
      <c r="A28" s="10" t="inlineStr">
        <is>
          <t>v1.4 (cap nhat)</t>
        </is>
      </c>
      <c r="B28" s="14" t="n">
        <v>46262</v>
      </c>
      <c r="C28" t="inlineStr">
        <is>
          <t>QC Team</t>
        </is>
      </c>
      <c r="D28" t="inlineStr">
        <is>
          <t>Bo sung QnA-58..64 (Edit/Delete dia chi, sort rule danh sach dia chi, dia chi ngoai vung phuc vu TAT CA store, dinh vi tat khi doi dia chi/doi store, badge dich vu khi chua co dia chi, tu dong nang dich vu khi doi store, xung dot rule Homepage vs Cart khi doi store luc dang co gio hang). Bo sung 13 scenario/test case moi cho SCR-HOM-02 (SC9, SC10), SCR-HOM-03 (SC2-TC2, SC3..SC7), SCR-HOM-04 (SC4..SC8). Cap nhat lai vung cong thuc Summary (truoc do dang thieu 9 dong scenario va 22 dong test case da bo sung tu 27/08/2026 tro di).</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M143"/>
  <sheetViews>
    <sheetView showGridLines="0" topLeftCell="C1" zoomScaleNormal="100" workbookViewId="0">
      <pane ySplit="2" topLeftCell="A3" activePane="bottomLeft" state="frozen"/>
      <selection pane="bottomLeft" activeCell="A5" sqref="A5:XFD5"/>
    </sheetView>
  </sheetViews>
  <sheetFormatPr baseColWidth="8" defaultColWidth="8.7109375" defaultRowHeight="15"/>
  <cols>
    <col width="6" customWidth="1" style="19" min="1" max="1"/>
    <col width="20" customWidth="1" style="19" min="2" max="2"/>
    <col width="14" customWidth="1" style="19" min="3" max="3"/>
    <col width="26" customWidth="1" style="19" min="4" max="4"/>
    <col width="20" customWidth="1" style="19" min="5" max="5"/>
    <col width="12" customWidth="1" style="19" min="6" max="6"/>
    <col width="40" customWidth="1" style="19" min="7" max="7"/>
    <col width="24" customWidth="1" style="19" min="8" max="8"/>
    <col width="34" customWidth="1" style="19" min="9" max="9"/>
    <col width="46" customWidth="1" style="19" min="10" max="10"/>
    <col width="34" customWidth="1" style="19" min="11" max="11"/>
    <col width="10" customWidth="1" style="19" min="12" max="12"/>
    <col width="40" customWidth="1" style="19" min="13" max="13"/>
  </cols>
  <sheetData>
    <row r="1" ht="17.25" customHeight="1" s="19">
      <c r="A1" s="18" t="inlineStr">
        <is>
          <t>Simplify Checkout — Functional Test Scenario Register</t>
        </is>
      </c>
    </row>
    <row r="2" ht="27.75" customHeight="1" s="19">
      <c r="A2" s="4" t="inlineStr">
        <is>
          <t>No</t>
        </is>
      </c>
      <c r="B2" s="4" t="inlineStr">
        <is>
          <t>Scenario ID</t>
        </is>
      </c>
      <c r="C2" s="4" t="inlineStr">
        <is>
          <t>Screen ID</t>
        </is>
      </c>
      <c r="D2" s="4" t="inlineStr">
        <is>
          <t>Capability Area</t>
        </is>
      </c>
      <c r="E2" s="4" t="inlineStr">
        <is>
          <t>REQ ID (SRS)</t>
        </is>
      </c>
      <c r="F2" s="4" t="inlineStr">
        <is>
          <t>Scenario Type</t>
        </is>
      </c>
      <c r="G2" s="4" t="inlineStr">
        <is>
          <t>User Action</t>
        </is>
      </c>
      <c r="H2" s="4" t="inlineStr">
        <is>
          <t>Input</t>
        </is>
      </c>
      <c r="I2" s="4" t="inlineStr">
        <is>
          <t>Preconditions</t>
        </is>
      </c>
      <c r="J2" s="4" t="inlineStr">
        <is>
          <t>Expected Output</t>
        </is>
      </c>
      <c r="K2" s="4" t="inlineStr">
        <is>
          <t>Acceptance Criteria</t>
        </is>
      </c>
      <c r="L2" s="4" t="inlineStr">
        <is>
          <t>QnA Ref</t>
        </is>
      </c>
      <c r="M2" s="4" t="inlineStr">
        <is>
          <t>Comments</t>
        </is>
      </c>
    </row>
    <row r="3" hidden="1" ht="45.75" customHeight="1" s="19">
      <c r="A3" s="5" t="n">
        <v>1</v>
      </c>
      <c r="B3" s="5" t="inlineStr">
        <is>
          <t>SCR-ONB-01-SC1</t>
        </is>
      </c>
      <c r="C3" s="5" t="inlineStr">
        <is>
          <t>SCR-ONB-01</t>
        </is>
      </c>
      <c r="D3" s="5" t="inlineStr">
        <is>
          <t>ONB - Onboarding</t>
        </is>
      </c>
      <c r="E3" s="5" t="inlineStr">
        <is>
          <t>ONB-01</t>
        </is>
      </c>
      <c r="F3" s="5" t="inlineStr">
        <is>
          <t>Normal</t>
        </is>
      </c>
      <c r="G3" s="5" t="inlineStr">
        <is>
          <t>Chọn 1 trong 3 ngôn ngữ (Tiếng Việt / English / 한국어) trên màn hình chọn ngôn ngữ đầu tiên.</t>
        </is>
      </c>
      <c r="H3" s="5" t="inlineStr">
        <is>
          <t>Chọn lần lượt: Tiếng Việt, English, 한국어</t>
        </is>
      </c>
      <c r="I3" s="5" t="inlineStr">
        <is>
          <t>Mở app lần đầu (chưa có dữ liệu app / vừa xoá data).</t>
        </is>
      </c>
      <c r="J3" s="5" t="inlineStr">
        <is>
          <t>Toàn bộ nhãn trên màn hình (nút Tiếp tục, dòng chú thích đổi ngôn ngữ sau) đổi ngay lập tức theo ngôn ngữ vừa chọn, trước khi bấm Tiếp tục. Luôn có đúng 1 lựa chọn được chọn (không có trạng thái trống).</t>
        </is>
      </c>
      <c r="K3" s="5" t="inlineStr">
        <is>
          <t>Cả 3 lựa chọn đều chọn được, giao diện re-render tức thì, nút Tiếp tục luôn ở trạng thái enabled.</t>
        </is>
      </c>
      <c r="L3" s="5" t="n"/>
      <c r="M3" s="5" t="inlineStr">
        <is>
          <t>ONB-01: mặc định suy ra từ locale thiết bị; nếu locale không khớp 3 ngôn ngữ thì mặc định Tiếng Việt.</t>
        </is>
      </c>
    </row>
    <row r="4" hidden="1" ht="45.75" customHeight="1" s="19">
      <c r="A4" s="5" t="n">
        <v>2</v>
      </c>
      <c r="B4" s="5" t="inlineStr">
        <is>
          <t>SCR-ONB-01-SC2</t>
        </is>
      </c>
      <c r="C4" s="5" t="inlineStr">
        <is>
          <t>SCR-ONB-01</t>
        </is>
      </c>
      <c r="D4" s="5" t="inlineStr">
        <is>
          <t>ONB - Onboarding</t>
        </is>
      </c>
      <c r="E4" s="5" t="inlineStr">
        <is>
          <t>ONB-01</t>
        </is>
      </c>
      <c r="F4" s="5" t="inlineStr">
        <is>
          <t>Edge</t>
        </is>
      </c>
      <c r="G4" s="5" t="inlineStr">
        <is>
          <t>Kiểm tra màn hình chọn ngôn ngữ KHÔNG hiện lại ở lần mở app tiếp theo, và ngôn ngữ đổi được trong Settings.</t>
        </is>
      </c>
      <c r="H4" s="5" t="inlineStr">
        <is>
          <t>Mở lại app sau khi đã hoàn tất Onboarding; sau đó vào Settings đổi ngôn ngữ.</t>
        </is>
      </c>
      <c r="I4" s="5" t="inlineStr">
        <is>
          <t>Đã hoàn tất onboarding ít nhất 1 lần trước đó (không xoá dữ liệu app).</t>
        </is>
      </c>
      <c r="J4" s="5" t="inlineStr">
        <is>
          <t>Màn hình SCR-ONB-01 không xuất hiện lại ở lần mở app kế tiếp; ngôn ngữ vẫn có thể đổi được từ Settings và ảnh hưởng toàn bộ định dạng số/tiền tệ/ngày tháng trong phiên.</t>
        </is>
      </c>
      <c r="K4" s="5" t="inlineStr">
        <is>
          <t>Màn hình chỉ hiện 1 lần duy nhất cho mỗi lần cài đặt/xoá dữ liệu app.</t>
        </is>
      </c>
      <c r="L4" s="5" t="n"/>
      <c r="M4" s="5" t="n"/>
    </row>
    <row r="5" ht="45.75" customHeight="1" s="19">
      <c r="A5" s="5" t="n">
        <v>3</v>
      </c>
      <c r="B5" s="5" t="inlineStr">
        <is>
          <t>SCR-ONB-02-SC1</t>
        </is>
      </c>
      <c r="C5" s="5" t="inlineStr">
        <is>
          <t>SCR-ONB-02</t>
        </is>
      </c>
      <c r="D5" s="5" t="inlineStr">
        <is>
          <t>ONB - Onboarding</t>
        </is>
      </c>
      <c r="E5" s="5" t="inlineStr">
        <is>
          <t>ONB-02, ONB-03, ONB-04</t>
        </is>
      </c>
      <c r="F5" s="5" t="inlineStr">
        <is>
          <t>Normal</t>
        </is>
      </c>
      <c r="G5" s="5" t="inlineStr">
        <is>
          <t>Lần lượt Allow cả 3 dialog quyền hệ thống: theo dõi hoạt động, thông báo, vị trí.</t>
        </is>
      </c>
      <c r="H5" s="5" t="inlineStr">
        <is>
          <t>Allow / Allow / Allow While Using App</t>
        </is>
      </c>
      <c r="I5" s="5" t="inlineStr">
        <is>
          <t>Đã chọn ngôn ngữ ở SCR-ONB-01.</t>
        </is>
      </c>
      <c r="J5" s="5" t="inlineStr">
        <is>
          <t>Cả 3 dialog là dialog của OS (LOTTE MART không đổi được nội dung/nút ngoài purpose string), hiển thị lần lượt và không chặn tiến trình dù Allow hay Deny. Sau khi qua cả 3, chuyển sang SCR-ONB-03 với vị trí = Allowed.</t>
        </is>
      </c>
      <c r="K5" s="5" t="inlineStr">
        <is>
          <t>Với vị trí = Allowed, SCR-ONB-03 sẽ pre-select store gần nhất theo GPS (BRL-02).</t>
        </is>
      </c>
      <c r="L5" s="5" t="n"/>
      <c r="M5" s="5" t="n"/>
    </row>
    <row r="6" ht="45.75" customHeight="1" s="19">
      <c r="A6" s="5" t="n">
        <v>4</v>
      </c>
      <c r="B6" s="5" t="inlineStr">
        <is>
          <t>SCR-ONB-02-SC2</t>
        </is>
      </c>
      <c r="C6" s="5" t="inlineStr">
        <is>
          <t>SCR-ONB-02</t>
        </is>
      </c>
      <c r="D6" s="5" t="inlineStr">
        <is>
          <t>ONB - Onboarding</t>
        </is>
      </c>
      <c r="E6" s="5" t="inlineStr">
        <is>
          <t>ONB-02, ONB-03, ONB-04</t>
        </is>
      </c>
      <c r="F6" s="5" t="inlineStr">
        <is>
          <t>Negative</t>
        </is>
      </c>
      <c r="G6" s="5" t="inlineStr">
        <is>
          <t>Lần lượt Deny cả 3 dialog quyền hệ thống.</t>
        </is>
      </c>
      <c r="H6" s="5" t="inlineStr">
        <is>
          <t>Don't Allow / Don't Allow / Don't Allow</t>
        </is>
      </c>
      <c r="I6" s="5" t="inlineStr">
        <is>
          <t>Đã chọn ngôn ngữ ở SCR-ONB-01.</t>
        </is>
      </c>
      <c r="J6" s="5" t="inlineStr">
        <is>
          <t>Từ chối cả 3 quyền KHÔNG chặn hành trình - khách vẫn tiếp tục sang SCR-ONB-03, nhưng không có store nào được pre-select (BRL-02) và thông báo đơn hàng sẽ fallback qua in-app/Zalo/SMS thay vì push notification.</t>
        </is>
      </c>
      <c r="K6" s="5" t="inlineStr">
        <is>
          <t>Từ chối bất kỳ quyền nào chỉ mất 1 tiện ích, không bao giờ mất 1 chức năng.</t>
        </is>
      </c>
      <c r="L6" s="5" t="n"/>
      <c r="M6" s="5" t="inlineStr">
        <is>
          <t>Đối với vị trí: Deny là trường hợp dẫn đến SCR-ONB-03 State B (chọn store thủ công, không có mặc định).</t>
        </is>
      </c>
    </row>
    <row r="7" hidden="1" ht="45.75" customHeight="1" s="19">
      <c r="A7" s="5" t="n">
        <v>5</v>
      </c>
      <c r="B7" s="5" t="inlineStr">
        <is>
          <t>SCR-ONB-02-SC3</t>
        </is>
      </c>
      <c r="C7" s="5" t="inlineStr">
        <is>
          <t>SCR-ONB-02</t>
        </is>
      </c>
      <c r="D7" s="5" t="inlineStr">
        <is>
          <t>ONB - Onboarding</t>
        </is>
      </c>
      <c r="E7" s="5" t="inlineStr">
        <is>
          <t>ONB-02, ONB-03, ONB-04</t>
        </is>
      </c>
      <c r="F7" s="5" t="inlineStr">
        <is>
          <t>Functional</t>
        </is>
      </c>
      <c r="G7" s="5" t="inlineStr">
        <is>
          <t>Chọn tổ hợp Allow/Deny KHÁC NHAU cho từng dialog quyền (không phải toàn Allow hoặc toàn Deny).</t>
        </is>
      </c>
      <c r="H7" s="5" t="inlineStr">
        <is>
          <t>Allow vị trí, nhưng Deny tracking và Deny notification.</t>
        </is>
      </c>
      <c r="I7" s="5" t="inlineStr">
        <is>
          <t>Đã chọn ngôn ngữ ở SCR-ONB-01.</t>
        </is>
      </c>
      <c r="J7" s="5" t="inlineStr">
        <is>
          <t>Chỉ riêng kết quả của quyền VỊ TRÍ ảnh hưởng bước kế tiếp (SCR-ONB-03 pre-select store theo GPS); Deny tracking/notification không chặn hay đổi hành vi bước tiếp theo.</t>
        </is>
      </c>
      <c r="K7" s="5" t="inlineStr">
        <is>
          <t>Tổ hợp hỗn hợp phải cho kết quả giống hệt việc chỉ xét riêng quyền vị trí, không phụ thuộc 2 quyền còn lại.</t>
        </is>
      </c>
      <c r="L7" s="5" t="n"/>
      <c r="M7" s="5" t="inlineStr">
        <is>
          <t>Bổ sung theo Review 26/08/2026 - trước đó chỉ có test toàn-Allow (SC1) và toàn-Deny (SC2), thiếu tổ hợp hỗn hợp.</t>
        </is>
      </c>
    </row>
    <row r="8" hidden="1" ht="45.75" customHeight="1" s="19">
      <c r="A8" s="16" t="n">
        <v>6</v>
      </c>
      <c r="B8" s="16" t="inlineStr">
        <is>
          <t>SCR-ONB-02-SC4</t>
        </is>
      </c>
      <c r="C8" s="16" t="inlineStr">
        <is>
          <t>SCR-ONB-02</t>
        </is>
      </c>
      <c r="D8" s="16" t="inlineStr">
        <is>
          <t>ONB - Onboarding</t>
        </is>
      </c>
      <c r="E8" s="16" t="inlineStr">
        <is>
          <t>ONB-02</t>
        </is>
      </c>
      <c r="F8" s="16" t="inlineStr">
        <is>
          <t>Functional</t>
        </is>
      </c>
      <c r="G8" s="16" t="inlineStr">
        <is>
          <t>Deny quyền tracking (Activity tracking / ATT), sau đó xác minh hệ thống tracking backend của LOTTE MART có ghi nhận sự kiện của khách hay không.</t>
        </is>
      </c>
      <c r="H8" s="16" t="inlineStr">
        <is>
          <t>Ask App Not to Track (Deny) trên dialog Activity tracking; Allow 2 dialog còn lại để không lẫn biến số.</t>
        </is>
      </c>
      <c r="I8" s="16" t="inlineStr">
        <is>
          <t>Đã chọn ngôn ngữ ở SCR-ONB-01; có công cụ quan sát sự kiện gửi lên hệ thống tracking (network log / debug console của SDK analytics).</t>
        </is>
      </c>
      <c r="J8" s="16" t="inlineStr">
        <is>
          <t>TBD - SRS (ONB-02) chỉ xác nhận Deny KHÔNG chặn luồng ứng dụng, nhưng CHƯA xác nhận hành vi ghi nhận dữ liệu ở hệ thống tracking backend (ví dụ sự kiện app-open, view-screen có còn được ghi nhận nội bộ hay không, hay chỉ riêng việc chia sẻ CHÉO sang app/web khác bị chặn theo đúng phạm vi ATT). Cần câu trả lời QnA-44 trước khi chốt Expected Output.</t>
        </is>
      </c>
      <c r="K8" s="16" t="inlineStr">
        <is>
          <t>TBD - chờ QnA-44 xác nhận phạm vi ảnh hưởng của việc Deny lên hệ thống tracking backend.</t>
        </is>
      </c>
      <c r="L8" s="16" t="inlineStr">
        <is>
          <t>QnA-44</t>
        </is>
      </c>
      <c r="M8" s="16" t="inlineStr">
        <is>
          <t>Bổ sung theo yêu cầu review 26/08/2026 - REQ ONB-02 hiện chỉ mô tả góc độ UX (không chặn luồng), chưa có REQ nào mô tả góc độ hệ thống tracking backend.</t>
        </is>
      </c>
    </row>
    <row r="9" hidden="1" ht="45.75" customHeight="1" s="19">
      <c r="A9" s="16" t="n">
        <v>7</v>
      </c>
      <c r="B9" s="16" t="inlineStr">
        <is>
          <t>SCR-ONB-02-SC5</t>
        </is>
      </c>
      <c r="C9" s="16" t="inlineStr">
        <is>
          <t>SCR-ONB-02</t>
        </is>
      </c>
      <c r="D9" s="16" t="inlineStr">
        <is>
          <t>ONB - Onboarding</t>
        </is>
      </c>
      <c r="E9" s="16" t="inlineStr">
        <is>
          <t>ONB-02, ONB-03, ONB-04</t>
        </is>
      </c>
      <c r="F9" s="16" t="inlineStr">
        <is>
          <t>Edge</t>
        </is>
      </c>
      <c r="G9" s="16" t="inlineStr">
        <is>
          <t>Tắt hẳn ứng dụng (kill app) ngay khi đang hiển thị 1 trong 3 dialog quyền hệ thống, sau đó mở lại app.</t>
        </is>
      </c>
      <c r="H9" s="16" t="inlineStr">
        <is>
          <t>Kill app khi dialog Location đang hiển thị (chưa bấm Allow/Deny); mở lại app từ icon.</t>
        </is>
      </c>
      <c r="I9" s="16" t="inlineStr">
        <is>
          <t>Đã chọn ngôn ngữ ở SCR-ONB-01, đang ở giữa chuỗi 3 dialog quyền (đã Allow tracking, đã Allow notification, dialog Location đang hiện).</t>
        </is>
      </c>
      <c r="J9" s="16" t="inlineStr">
        <is>
          <t>TBD - SRS không mô tả hành vi này. Cần ghi nhận hành vi thực tế: app tiếp tục đúng dialog dở dang, quay lại từ dialog đầu tiên, hay quay lại từ SCR-ONB-01. Đối chiếu với câu trả lời QnA-47 khi có.</t>
        </is>
      </c>
      <c r="K9" s="16" t="inlineStr">
        <is>
          <t>TBD - chờ QnA-47.</t>
        </is>
      </c>
      <c r="L9" s="16" t="inlineStr">
        <is>
          <t>QnA-47</t>
        </is>
      </c>
      <c r="M9" s="16" t="inlineStr">
        <is>
          <t>Bổ sung theo yêu cầu review 26/08/2026.</t>
        </is>
      </c>
    </row>
    <row r="10" hidden="1" ht="45.75" customHeight="1" s="19">
      <c r="A10" s="5" t="n">
        <v>8</v>
      </c>
      <c r="B10" s="5" t="inlineStr">
        <is>
          <t>SCR-ONB-03-SC1</t>
        </is>
      </c>
      <c r="C10" s="5" t="inlineStr">
        <is>
          <t>SCR-ONB-03</t>
        </is>
      </c>
      <c r="D10" s="5" t="inlineStr">
        <is>
          <t>ONB - Onboarding</t>
        </is>
      </c>
      <c r="E10" s="5" t="inlineStr">
        <is>
          <t>ONB-05</t>
        </is>
      </c>
      <c r="F10" s="5" t="inlineStr">
        <is>
          <t>Normal</t>
        </is>
      </c>
      <c r="G10" s="5" t="inlineStr">
        <is>
          <t>Vị trí đã Allow: xác nhận store gần nhất được pre-select và bấm Tiếp tục.</t>
        </is>
      </c>
      <c r="H10" s="5" t="inlineStr">
        <is>
          <t>Không thao tác gì thêm, dùng store đã được pre-select.</t>
        </is>
      </c>
      <c r="I10" s="5" t="inlineStr">
        <is>
          <t>Quyền vị trí = Allowed từ SCR-ONB-02.</t>
        </is>
      </c>
      <c r="J10" s="5" t="inlineStr">
        <is>
          <t>Store gần nhất theo GPS được pre-select và gắn nhãn 'Nearest'; nút Tiếp tục ở trạng thái enabled ngay; bấm Tiếp tục chuyển sang SCR-ONB-04.</t>
        </is>
      </c>
      <c r="K10" s="5" t="inlineStr">
        <is>
          <t>Store mặc định đúng theo khoảng cách GPS thực tế; nút Tiếp tục enabled từ đầu màn hình này.</t>
        </is>
      </c>
      <c r="L10" s="5" t="n"/>
      <c r="M10" s="5" t="n"/>
    </row>
    <row r="11" hidden="1" ht="45.75" customHeight="1" s="19">
      <c r="A11" s="5" t="n">
        <v>9</v>
      </c>
      <c r="B11" s="5" t="inlineStr">
        <is>
          <t>SCR-ONB-03-SC2</t>
        </is>
      </c>
      <c r="C11" s="5" t="inlineStr">
        <is>
          <t>SCR-ONB-03</t>
        </is>
      </c>
      <c r="D11" s="5" t="inlineStr">
        <is>
          <t>ONB - Onboarding</t>
        </is>
      </c>
      <c r="E11" s="5" t="inlineStr">
        <is>
          <t>ONB-05</t>
        </is>
      </c>
      <c r="F11" s="5" t="inlineStr">
        <is>
          <t>Boundary</t>
        </is>
      </c>
      <c r="G11" s="5" t="inlineStr">
        <is>
          <t>Vị trí đã Deny: không có store nào được pre-select, bấm Tiếp tục khi CHƯA chọn store nào.</t>
        </is>
      </c>
      <c r="H11" s="5" t="inlineStr">
        <is>
          <t>Không chọn store nào, bấm thẳng Tiếp tục.</t>
        </is>
      </c>
      <c r="I11" s="5" t="inlineStr">
        <is>
          <t>Quyền vị trí = Denied từ SCR-ONB-02.</t>
        </is>
      </c>
      <c r="J11" s="5" t="inlineStr">
        <is>
          <t>Không có store nào được đánh dấu mặc định, không hiện khoảng cách; banner màu vàng đề nghị bật vị trí; nút Tiếp tục DISABLED cho đến khi khách chọn 1 store cụ thể (enforcement của BRL-01).</t>
        </is>
      </c>
      <c r="K11" s="5" t="inlineStr">
        <is>
          <t>Nút Tiếp tục phải disabled khi chưa có store nào được chọn trong State B; không có Back/Skip nào bỏ qua được bước này.</t>
        </is>
      </c>
      <c r="L11" s="5" t="n"/>
      <c r="M11" s="5" t="inlineStr">
        <is>
          <t>BRL-01: việc chọn store là bước bắt buộc duy nhất trước Homepage, không có Back/Skip.</t>
        </is>
      </c>
    </row>
    <row r="12" hidden="1" ht="45.75" customHeight="1" s="19">
      <c r="A12" s="5" t="n">
        <v>10</v>
      </c>
      <c r="B12" s="5" t="inlineStr">
        <is>
          <t>SCR-ONB-03-SC3</t>
        </is>
      </c>
      <c r="C12" s="5" t="inlineStr">
        <is>
          <t>SCR-ONB-03</t>
        </is>
      </c>
      <c r="D12" s="5" t="inlineStr">
        <is>
          <t>ONB - Onboarding</t>
        </is>
      </c>
      <c r="E12" s="5" t="inlineStr">
        <is>
          <t>ONB-05</t>
        </is>
      </c>
      <c r="F12" s="5" t="inlineStr">
        <is>
          <t>Functional</t>
        </is>
      </c>
      <c r="G12" s="5" t="inlineStr">
        <is>
          <t>Dùng ô tìm kiếm store theo tên hoặc quận/thành phố để lọc danh sách.</t>
        </is>
      </c>
      <c r="H12" s="5" t="inlineStr">
        <is>
          <t>Nhập 'Tân Bình' vào ô tìm kiếm store.</t>
        </is>
      </c>
      <c r="I12" s="5" t="inlineStr">
        <is>
          <t>Đang ở màn hình chọn store (cả 2 state A/B).</t>
        </is>
      </c>
      <c r="J12" s="5" t="inlineStr">
        <is>
          <t>Danh sách store được lọc chỉ còn các store khớp tên/quận; không làm mất trạng thái bắt buộc của bước chọn store.</t>
        </is>
      </c>
      <c r="K12" s="5" t="inlineStr">
        <is>
          <t>Kết quả lọc đúng, không ảnh hưởng tính bắt buộc của bước chọn.</t>
        </is>
      </c>
      <c r="L12" s="5" t="n"/>
      <c r="M12" s="5" t="n"/>
    </row>
    <row r="13" hidden="1" ht="45.75" customHeight="1" s="19">
      <c r="A13" s="16" t="n">
        <v>11</v>
      </c>
      <c r="B13" s="16" t="inlineStr">
        <is>
          <t>SCR-ONB-03-SC4</t>
        </is>
      </c>
      <c r="C13" s="16" t="inlineStr">
        <is>
          <t>SCR-ONB-03</t>
        </is>
      </c>
      <c r="D13" s="16" t="inlineStr">
        <is>
          <t>ONB - Onboarding</t>
        </is>
      </c>
      <c r="E13" s="16" t="inlineStr">
        <is>
          <t>ONB-05</t>
        </is>
      </c>
      <c r="F13" s="16" t="inlineStr">
        <is>
          <t>Edge</t>
        </is>
      </c>
      <c r="G13" s="16" t="inlineStr">
        <is>
          <t>Gõ từ khoá tìm kiếm KHÔNG khớp store nào (0 kết quả).</t>
        </is>
      </c>
      <c r="H13" s="16" t="inlineStr">
        <is>
          <t>Nhập 'Vũng Tàu' (không có store LOTTE MART nào khớp) vào ô tìm kiếm.</t>
        </is>
      </c>
      <c r="I13" s="16" t="inlineStr">
        <is>
          <t>Đang ở màn hình chọn store (cả 2 state A/B).</t>
        </is>
      </c>
      <c r="J13" s="16" t="inlineStr">
        <is>
          <t>TBD - SRS chưa mô tả trạng thái 0 kết quả (màn hình trống trơn, hay có thông báo 'Không tìm thấy store phù hợp'?). Ghi nhận hành vi thực tế và đối chiếu với câu trả lời QnA-40 khi có.</t>
        </is>
      </c>
      <c r="K13" s="16" t="inlineStr">
        <is>
          <t>TBD - cần câu trả lời QnA-40 trước khi chốt Acceptance Criteria.</t>
        </is>
      </c>
      <c r="L13" s="16" t="inlineStr">
        <is>
          <t>QnA-40</t>
        </is>
      </c>
      <c r="M13" s="16" t="inlineStr">
        <is>
          <t>Bổ sung theo Review 26/08/2026 - đóng gap đã ghi nhận từ lần review trước (Ghi chu Review (QC) cũ trên SCR-ONB-03-SC3-TC1).</t>
        </is>
      </c>
    </row>
    <row r="14" hidden="1" ht="45.75" customHeight="1" s="19">
      <c r="A14" s="16" t="n">
        <v>12</v>
      </c>
      <c r="B14" s="16" t="inlineStr">
        <is>
          <t>SCR-ONB-03-SC5</t>
        </is>
      </c>
      <c r="C14" s="16" t="inlineStr">
        <is>
          <t>SCR-ONB-03</t>
        </is>
      </c>
      <c r="D14" s="16" t="inlineStr">
        <is>
          <t>ONB - Onboarding</t>
        </is>
      </c>
      <c r="E14" s="16" t="inlineStr">
        <is>
          <t>ONB-05</t>
        </is>
      </c>
      <c r="F14" s="16" t="inlineStr">
        <is>
          <t>Boundary</t>
        </is>
      </c>
      <c r="G14" s="16" t="inlineStr">
        <is>
          <t>Vị trí Allowed, GPS mô phỏng vị trí có 2 store cách đều (khoảng cách bằng nhau hoặc cùng làm tròn về 1 số).</t>
        </is>
      </c>
      <c r="H14" s="16" t="inlineStr">
        <is>
          <t>Toạ độ GPS giả lập cách đều LOTTE Mart Nam Sài Gòn và 1 store khác (ví dụ cùng 2.1 km).</t>
        </is>
      </c>
      <c r="I14" s="16" t="inlineStr">
        <is>
          <t>Quyền vị trí = Allowed; dữ liệu test có ít nhất 2 store cùng khoảng cách tới vị trí giả lập.</t>
        </is>
      </c>
      <c r="J14" s="16" t="inlineStr">
        <is>
          <t>TBD - SRS/BRL-02 chỉ nói "nearest store... pre-selected", không có quy tắc tie-break khi khoảng cách bằng nhau. Ghi nhận store nào thực tế được pre-select và đối chiếu với câu trả lời QnA-45.</t>
        </is>
      </c>
      <c r="K14" s="16" t="inlineStr">
        <is>
          <t>TBD - chờ QnA-45 xác nhận quy tắc tie-break chính thức.</t>
        </is>
      </c>
      <c r="L14" s="16" t="inlineStr">
        <is>
          <t>QnA-45</t>
        </is>
      </c>
      <c r="M14" s="16" t="inlineStr">
        <is>
          <t>Bổ sung theo yêu cầu review 26/08/2026 - làm rõ câu hỏi "GPS như thế nào được xác định là nearest, case khoảng cách bằng nhau ưu tiên store nào".</t>
        </is>
      </c>
    </row>
    <row r="15" hidden="1" ht="45.75" customHeight="1" s="19">
      <c r="A15" s="16" t="n">
        <v>13</v>
      </c>
      <c r="B15" s="16" t="inlineStr">
        <is>
          <t>SCR-ONB-03-SC6</t>
        </is>
      </c>
      <c r="C15" s="16" t="inlineStr">
        <is>
          <t>SCR-ONB-03</t>
        </is>
      </c>
      <c r="D15" s="16" t="inlineStr">
        <is>
          <t>ONB - Onboarding</t>
        </is>
      </c>
      <c r="E15" s="16" t="inlineStr">
        <is>
          <t>ONB-05</t>
        </is>
      </c>
      <c r="F15" s="16" t="inlineStr">
        <is>
          <t>Functional</t>
        </is>
      </c>
      <c r="G15" s="16" t="inlineStr">
        <is>
          <t>Dùng ô tìm kiếm store theo tên quận, và quan sát nhãn địa giới hiển thị trên danh sách store (kể cả store được pre-select theo GPS).</t>
        </is>
      </c>
      <c r="H15" s="16" t="inlineStr">
        <is>
          <t>Nhập tên quận theo địa giới CŨ (ví dụ 'Thủ Đức' hoặc tên quận đã sáp nhập) vào ô tìm kiếm.</t>
        </is>
      </c>
      <c r="I15" s="16" t="inlineStr">
        <is>
          <t>Đang ở màn hình chọn store (State A hoặc B); dữ liệu store backend đã được cấu hình sẵn (chưa rõ theo địa giới cũ hay mới).</t>
        </is>
      </c>
      <c r="J15" s="16" t="inlineStr">
        <is>
          <t>TBD - SRS/Figma hiện dùng nhãn địa giới kiểu cũ ("Q.7", "Q.11"...) làm demo, chưa xác nhận dữ liệu backend thực tế dùng địa giới hành chính CŨ hay MỚI (sau sáp nhập tỉnh/thành 2025). Ghi nhận hành vi thực tế của tìm kiếm/nhãn hiển thị, đối chiếu QnA-46.</t>
        </is>
      </c>
      <c r="K15" s="16" t="inlineStr">
        <is>
          <t>TBD - chờ QnA-46 xác nhận nguồn dữ liệu địa giới hành chính dùng cho GPS/tìm kiếm store.</t>
        </is>
      </c>
      <c r="L15" s="16" t="inlineStr">
        <is>
          <t>QnA-46</t>
        </is>
      </c>
      <c r="M15" s="16" t="inlineStr">
        <is>
          <t>Bổ sung theo yêu cầu review 26/08/2026.</t>
        </is>
      </c>
    </row>
    <row r="16" hidden="1" ht="45.75" customHeight="1" s="19">
      <c r="A16" s="16" t="n">
        <v>14</v>
      </c>
      <c r="B16" s="16" t="inlineStr">
        <is>
          <t>SCR-ONB-03-SC7</t>
        </is>
      </c>
      <c r="C16" s="16" t="inlineStr">
        <is>
          <t>SCR-ONB-03</t>
        </is>
      </c>
      <c r="D16" s="16" t="inlineStr">
        <is>
          <t>ONB - Onboarding</t>
        </is>
      </c>
      <c r="E16" s="16" t="inlineStr">
        <is>
          <t>ONB-05</t>
        </is>
      </c>
      <c r="F16" s="16" t="inlineStr">
        <is>
          <t>Edge</t>
        </is>
      </c>
      <c r="G16" s="16" t="inlineStr">
        <is>
          <t>Tắt hẳn ứng dụng khi đang ở màn chọn store bắt buộc nhưng CHƯA bấm Continue, sau đó mở lại app.</t>
        </is>
      </c>
      <c r="H16" s="16" t="inlineStr">
        <is>
          <t>Kill app khi đang ở SCR-ONB-03 (đã hoặc chưa chọn store thủ công); mở lại app từ icon.</t>
        </is>
      </c>
      <c r="I16" s="16" t="inlineStr">
        <is>
          <t>Đã qua bước xin quyền (SCR-ONB-02), đang ở SCR-ONB-03, chưa bấm Continue.</t>
        </is>
      </c>
      <c r="J16" s="16" t="inlineStr">
        <is>
          <t>TBD - SRS không mô tả. Cần ghi nhận: app có giữ lại lựa chọn store đã chọn (nếu có) khi mở lại, hay quay về từ đầu Onboarding, hay giữ nguyên đúng màn SCR-ONB-03 nhưng mất lựa chọn đã chọn. Đối chiếu QnA-47.</t>
        </is>
      </c>
      <c r="K16" s="16" t="inlineStr">
        <is>
          <t>TBD - chờ QnA-47.</t>
        </is>
      </c>
      <c r="L16" s="16" t="inlineStr">
        <is>
          <t>QnA-47</t>
        </is>
      </c>
      <c r="M16" s="16" t="inlineStr">
        <is>
          <t>Bổ sung theo yêu cầu review 26/08/2026 - cùng câu hỏi QnA-47 với SCR-ONB-02-SC5 (tắt app giữa Onboarding) nhưng ở bước chọn store.</t>
        </is>
      </c>
    </row>
    <row r="17" hidden="1" ht="45.75" customHeight="1" s="19">
      <c r="A17" s="16" t="n">
        <v>15</v>
      </c>
      <c r="B17" s="16" t="inlineStr">
        <is>
          <t>SCR-ONB-04-SC1</t>
        </is>
      </c>
      <c r="C17" s="16" t="inlineStr">
        <is>
          <t>SCR-ONB-04</t>
        </is>
      </c>
      <c r="D17" s="16" t="inlineStr">
        <is>
          <t>ONB - Onboarding</t>
        </is>
      </c>
      <c r="E17" s="16" t="inlineStr">
        <is>
          <t>ONB-06</t>
        </is>
      </c>
      <c r="F17" s="16" t="inlineStr">
        <is>
          <t>Normal</t>
        </is>
      </c>
      <c r="G17" s="16" t="inlineStr">
        <is>
          <t>Vượt qua 3 màn hình giới thiệu bằng vuốt (swipe) hoặc bấm Next, xem progress dot cập nhật đúng.</t>
        </is>
      </c>
      <c r="H17" s="16" t="inlineStr">
        <is>
          <t>Vuốt trái liên tiếp từ màn 1 sang màn 3.</t>
        </is>
      </c>
      <c r="I17" s="16" t="inlineStr">
        <is>
          <t>Đã hoàn tất chọn store bắt buộc ở SCR-ONB-03.</t>
        </is>
      </c>
      <c r="J17" s="16" t="inlineStr">
        <is>
          <t>3 chấm progress hiện đúng vị trí hiện tại (chấm active được kéo dài); vuốt trái/phải di chuyển cả 2 chiều; màn 3 đổi nút chính thành 'Start shopping'.</t>
        </is>
      </c>
      <c r="K17" s="16" t="inlineStr">
        <is>
          <t>Điều hướng carousel mượt, đúng thứ tự 3 màn.</t>
        </is>
      </c>
      <c r="L17" s="16" t="inlineStr">
        <is>
          <t>QnA-06</t>
        </is>
      </c>
      <c r="M17" s="16" t="inlineStr">
        <is>
          <t>Nội dung/artwork 3 màn hình đang là đề xuất của BA, chưa được LOTTE MART xác nhận (QnA-06).</t>
        </is>
      </c>
    </row>
    <row r="18" hidden="1" ht="45.75" customHeight="1" s="19">
      <c r="A18" s="5" t="n">
        <v>16</v>
      </c>
      <c r="B18" s="5" t="inlineStr">
        <is>
          <t>SCR-ONB-04-SC2</t>
        </is>
      </c>
      <c r="C18" s="5" t="inlineStr">
        <is>
          <t>SCR-ONB-04</t>
        </is>
      </c>
      <c r="D18" s="5" t="inlineStr">
        <is>
          <t>ONB - Onboarding</t>
        </is>
      </c>
      <c r="E18" s="5" t="inlineStr">
        <is>
          <t>ONB-06, ONB-07</t>
        </is>
      </c>
      <c r="F18" s="5" t="inlineStr">
        <is>
          <t>Normal</t>
        </is>
      </c>
      <c r="G18" s="5" t="inlineStr">
        <is>
          <t>Bấm Skip ngay từ màn giới thiệu đầu tiên.</t>
        </is>
      </c>
      <c r="H18" s="5" t="inlineStr">
        <is>
          <t>Bấm Skip tại màn 1/3.</t>
        </is>
      </c>
      <c r="I18" s="5" t="inlineStr">
        <is>
          <t>Đang ở SCR-ONB-04 màn 1.</t>
        </is>
      </c>
      <c r="J18" s="5" t="inlineStr">
        <is>
          <t>Hệ thống bỏ qua toàn bộ các màn còn lại và vào thẳng Homepage (SCR-HOM-01) ở trạng thái Guest, hiển thị theo đúng store đã chọn ở SCR-ONB-03 (ONB-07, BR-03).</t>
        </is>
      </c>
      <c r="K18" s="5" t="inlineStr">
        <is>
          <t>Skip luôn đưa thẳng về Homepage bất kể đang ở màn nào trong 3 màn.</t>
        </is>
      </c>
      <c r="L18" s="5" t="n"/>
      <c r="M18" s="5" t="inlineStr">
        <is>
          <t>Carousel không bao giờ là bước bắt buộc (khác với bước chọn store).</t>
        </is>
      </c>
    </row>
    <row r="19" hidden="1" ht="45.75" customHeight="1" s="19">
      <c r="A19" s="16" t="n">
        <v>17</v>
      </c>
      <c r="B19" s="16" t="inlineStr">
        <is>
          <t>SCR-ONB-04-SC3</t>
        </is>
      </c>
      <c r="C19" s="16" t="inlineStr">
        <is>
          <t>SCR-ONB-04</t>
        </is>
      </c>
      <c r="D19" s="16" t="inlineStr">
        <is>
          <t>ONB - Onboarding</t>
        </is>
      </c>
      <c r="E19" s="16" t="inlineStr">
        <is>
          <t>ONB-06</t>
        </is>
      </c>
      <c r="F19" s="16" t="inlineStr">
        <is>
          <t>Edge</t>
        </is>
      </c>
      <c r="G19" s="16" t="inlineStr">
        <is>
          <t>Tắt hẳn ứng dụng khi đang ở giữa carousel giới thiệu (màn 2/3), sau đó mở lại app.</t>
        </is>
      </c>
      <c r="H19" s="16" t="inlineStr">
        <is>
          <t>Kill app ở màn carousel 2/3; mở lại app từ icon.</t>
        </is>
      </c>
      <c r="I19" s="16" t="inlineStr">
        <is>
          <t>Đã hoàn tất chọn store bắt buộc ở SCR-ONB-03, đang ở carousel màn 2/3.</t>
        </is>
      </c>
      <c r="J19" s="16" t="inlineStr">
        <is>
          <t>TBD - SRS chỉ nói carousel "shown on first launch only", không định nghĩa rõ khi app bị tắt giữa chừng thì lần mở lại có tính là "first launch" tiếp theo hay không. Ghi nhận hành vi thực tế (tiếp tục carousel dở dang / vào thẳng Homepage / carousel lại từ đầu), đối chiếu QnA-48.</t>
        </is>
      </c>
      <c r="K19" s="16" t="inlineStr">
        <is>
          <t>TBD - chờ QnA-48.</t>
        </is>
      </c>
      <c r="L19" s="16" t="inlineStr">
        <is>
          <t>QnA-48</t>
        </is>
      </c>
      <c r="M19" s="16" t="inlineStr">
        <is>
          <t>Bổ sung theo yêu cầu review 26/08/2026.</t>
        </is>
      </c>
    </row>
    <row r="20" hidden="1" ht="45.75" customHeight="1" s="19">
      <c r="A20" s="5" t="n">
        <v>18</v>
      </c>
      <c r="B20" s="5" t="inlineStr">
        <is>
          <t>SCR-HOM-01-SC1</t>
        </is>
      </c>
      <c r="C20" s="5" t="inlineStr">
        <is>
          <t>SCR-HOM-01</t>
        </is>
      </c>
      <c r="D20" s="5" t="inlineStr">
        <is>
          <t>HP - Homepage &amp; Login Gate</t>
        </is>
      </c>
      <c r="E20" s="5" t="inlineStr">
        <is>
          <t>HP-01, HP-04</t>
        </is>
      </c>
      <c r="F20" s="5" t="inlineStr">
        <is>
          <t>Normal</t>
        </is>
      </c>
      <c r="G20" s="5" t="inlineStr">
        <is>
          <t>Xem Homepage khi Guest CHƯA có địa chỉ (State A).</t>
        </is>
      </c>
      <c r="H20" s="5" t="inlineStr">
        <is>
          <t>Không nhập địa chỉ.</t>
        </is>
      </c>
      <c r="I20" s="5" t="inlineStr">
        <is>
          <t>Guest vừa hoàn tất Onboarding, chưa tạo địa chỉ.</t>
        </is>
      </c>
      <c r="J20" s="5" t="inlineStr">
        <is>
          <t>Header hiện 'Choose delivery address', ước tính giao hàng hiện Standard + slot sớm nhất của store đã chọn (ước tính theo store, không phải theo địa chỉ); danh mục/giá/khuyến mãi hiện theo đúng store đã chọn ở Onboarding (BRL-01); không yêu cầu đăng nhập để duyệt (BR-04).</t>
        </is>
      </c>
      <c r="K20" s="5" t="inlineStr">
        <is>
          <t>Guest duyệt được toàn bộ Homepage không bị chặn bởi địa chỉ hay đăng nhập.</t>
        </is>
      </c>
      <c r="L20" s="5" t="n"/>
      <c r="M20" s="5" t="n"/>
    </row>
    <row r="21" hidden="1" ht="45.75" customHeight="1" s="19">
      <c r="A21" s="5" t="n">
        <v>19</v>
      </c>
      <c r="B21" s="5" t="inlineStr">
        <is>
          <t>SCR-HOM-01-SC2</t>
        </is>
      </c>
      <c r="C21" s="5" t="inlineStr">
        <is>
          <t>SCR-HOM-01</t>
        </is>
      </c>
      <c r="D21" s="5" t="inlineStr">
        <is>
          <t>HP - Homepage &amp; Login Gate</t>
        </is>
      </c>
      <c r="E21" s="5" t="inlineStr">
        <is>
          <t>HP-01, HP-04</t>
        </is>
      </c>
      <c r="F21" s="5" t="inlineStr">
        <is>
          <t>Normal</t>
        </is>
      </c>
      <c r="G21" s="5" t="inlineStr">
        <is>
          <t>Xem Homepage khi Guest ĐÃ có địa chỉ trong vùng 60-Minute (State B).</t>
        </is>
      </c>
      <c r="H21" s="5" t="inlineStr">
        <is>
          <t>Địa chỉ đã lưu nằm trong bán kính 3-5km của store.</t>
        </is>
      </c>
      <c r="I21" s="5" t="inlineStr">
        <is>
          <t>Guest đã tạo 1 địa chỉ qua SCR-HOM-02, địa chỉ nằm trong bán kính 60-Minute của store hiện tại.</t>
        </is>
      </c>
      <c r="J21" s="5" t="inlineStr">
        <is>
          <t>Header hiện đúng địa chỉ đã lưu, ước tính đổi thành 'Standard - hôm nay HH:MM-HH:MM' kèm banner '60-Minute delivery is available for this address'; Standard vẫn là lựa chọn mặc định, 60-Minute chỉ là đề xuất (BRL-10).</t>
        </is>
      </c>
      <c r="K21" s="5" t="inlineStr">
        <is>
          <t>Banner 60-Minute chỉ xuất hiện khi vùng phủ cho phép, không tự động chuyển sang 60-Minute.</t>
        </is>
      </c>
      <c r="L21" s="5" t="n"/>
      <c r="M21" s="5" t="n"/>
    </row>
    <row r="22" hidden="1" ht="45.75" customHeight="1" s="19">
      <c r="A22" s="5" t="n">
        <v>20</v>
      </c>
      <c r="B22" s="5" t="inlineStr">
        <is>
          <t>SCR-HOM-01-SC3</t>
        </is>
      </c>
      <c r="C22" s="5" t="inlineStr">
        <is>
          <t>SCR-HOM-01</t>
        </is>
      </c>
      <c r="D22" s="5" t="inlineStr">
        <is>
          <t>HP - Homepage &amp; Login Gate</t>
        </is>
      </c>
      <c r="E22" s="5" t="inlineStr">
        <is>
          <t>HP-01, BR-06</t>
        </is>
      </c>
      <c r="F22" s="5" t="inlineStr">
        <is>
          <t>Functional</t>
        </is>
      </c>
      <c r="G22" s="5" t="inlineStr">
        <is>
          <t>Kiểm tra hiển thị giá kép (dual pricing) Guest/Member trên sản phẩm nổi bật khi là Guest.</t>
        </is>
      </c>
      <c r="H22" s="5" t="inlineStr">
        <is>
          <t>Xem danh sách 'Best sellers at this store'.</t>
        </is>
      </c>
      <c r="I22" s="5" t="inlineStr">
        <is>
          <t>Đang ở Homepage, trạng thái Guest, có sản phẩm có cả 2 mức giá.</t>
        </is>
      </c>
      <c r="J22" s="5" t="inlineStr">
        <is>
          <t>Với SKU có cả 2 mức giá, cả giá Guest và giá Member đều hiển thị cùng lúc, thể hiện lợi ích của việc đăng nhập trước khi đăng ký (BR-06).</t>
        </is>
      </c>
      <c r="K22" s="5" t="inlineStr">
        <is>
          <t>Cả 2 mức giá hiển thị đồng thời, không bị ẩn giá nào.</t>
        </is>
      </c>
      <c r="L22" s="5" t="n"/>
      <c r="M22" s="5" t="n"/>
    </row>
    <row r="23" hidden="1" ht="45.75" customHeight="1" s="19">
      <c r="A23" s="5" t="n">
        <v>21</v>
      </c>
      <c r="B23" s="5" t="inlineStr">
        <is>
          <t>SCR-HOM-02-SC1</t>
        </is>
      </c>
      <c r="C23" s="5" t="inlineStr">
        <is>
          <t>SCR-HOM-02</t>
        </is>
      </c>
      <c r="D23" s="5" t="inlineStr">
        <is>
          <t>HP - Homepage &amp; Login Gate</t>
        </is>
      </c>
      <c r="E23" s="5" t="inlineStr">
        <is>
          <t>HP-02, HP-03</t>
        </is>
      </c>
      <c r="F23" s="5" t="inlineStr">
        <is>
          <t>Normal</t>
        </is>
      </c>
      <c r="G23" s="5" t="inlineStr">
        <is>
          <t>Guest tạo địa chỉ giao hàng mới bằng GPS pre-fill rồi tự bổ sung số nhà/tầng/toà.</t>
        </is>
      </c>
      <c r="H23" s="5" t="inlineStr">
        <is>
          <t>Chạm 'Use my location', bổ sung số nhà/tầng, lưu.</t>
        </is>
      </c>
      <c r="I23" s="5" t="inlineStr">
        <is>
          <t>Guest chưa có địa chỉ, đang ở SCR-HOM-02 (form không có trường người nhận).</t>
        </is>
      </c>
      <c r="J23" s="5" t="inlineStr">
        <is>
          <t>GPS chỉ pre-fill gợi ý địa chỉ; khách BẮT BUỘC phải xem lại và bổ sung chi tiết GPS không biết được (số nhà, tầng, block) rồi mới Save (HP-02, BRL-03). Form Guest KHÔNG có trường tên/SĐT người nhận.</t>
        </is>
      </c>
      <c r="K23" s="5" t="inlineStr">
        <is>
          <t>Địa chỉ không được tự động chấp nhận từ GPS mà phải qua xác nhận của khách.</t>
        </is>
      </c>
      <c r="L23" s="5" t="n"/>
      <c r="M23" s="5" t="n"/>
    </row>
    <row r="24" hidden="1" ht="45.75" customHeight="1" s="19">
      <c r="A24" s="5" t="n">
        <v>22</v>
      </c>
      <c r="B24" s="5" t="inlineStr">
        <is>
          <t>SCR-HOM-02-SC2</t>
        </is>
      </c>
      <c r="C24" s="5" t="inlineStr">
        <is>
          <t>SCR-HOM-02</t>
        </is>
      </c>
      <c r="D24" s="5" t="inlineStr">
        <is>
          <t>HP - Homepage &amp; Login Gate</t>
        </is>
      </c>
      <c r="E24" s="5" t="inlineStr">
        <is>
          <t>HP-03</t>
        </is>
      </c>
      <c r="F24" s="5" t="inlineStr">
        <is>
          <t>Validation</t>
        </is>
      </c>
      <c r="G24" s="5" t="inlineStr">
        <is>
          <t>Member tạo địa chỉ: trường tên và SĐT người nhận là bắt buộc, được mặc định từ tài khoản.</t>
        </is>
      </c>
      <c r="H24" s="5" t="inlineStr">
        <is>
          <t>Xoá trống trường tên người nhận, thử Save.</t>
        </is>
      </c>
      <c r="I24" s="5" t="inlineStr">
        <is>
          <t>Đã đăng nhập (Member), đang ở SCR-HOM-02 State B.</t>
        </is>
      </c>
      <c r="J24" s="5" t="inlineStr">
        <is>
          <t>Tên và SĐT người nhận được mặc định điền sẵn từ tài khoản nhưng có thể sửa; đây là trường bắt buộc đối với Member (khác Guest); Save bị chặn nếu để trống tên hoặc SĐT.</t>
        </is>
      </c>
      <c r="K24" s="5" t="inlineStr">
        <is>
          <t>Validation bắt buộc đúng cho trường tên/SĐT khi là Member; Guest không bị yêu cầu 2 trường này.</t>
        </is>
      </c>
      <c r="L24" s="5" t="n"/>
      <c r="M24" s="5" t="n"/>
    </row>
    <row r="25" hidden="1" ht="45.75" customHeight="1" s="19">
      <c r="A25" s="5" t="n">
        <v>23</v>
      </c>
      <c r="B25" s="5" t="inlineStr">
        <is>
          <t>SCR-HOM-02-SC3</t>
        </is>
      </c>
      <c r="C25" s="5" t="inlineStr">
        <is>
          <t>SCR-HOM-02</t>
        </is>
      </c>
      <c r="D25" s="5" t="inlineStr">
        <is>
          <t>HP - Homepage &amp; Login Gate</t>
        </is>
      </c>
      <c r="E25" s="5" t="inlineStr">
        <is>
          <t>HP-04, HP-05</t>
        </is>
      </c>
      <c r="F25" s="5" t="inlineStr">
        <is>
          <t>Functional</t>
        </is>
      </c>
      <c r="G25" s="5" t="inlineStr">
        <is>
          <t>Lưu địa chỉ xong, ước tính giao hàng trên header được tính lại ngay lập tức.</t>
        </is>
      </c>
      <c r="H25" s="5" t="inlineStr">
        <is>
          <t>Lưu 1 địa chỉ hợp lệ nằm ngoài mọi vùng phục vụ.</t>
        </is>
      </c>
      <c r="I25" s="5" t="inlineStr">
        <is>
          <t>Đang ở SCR-HOM-02, nhập địa chỉ nằm ngoài bán kính Standard và ngoài mọi khu vực Next-day.</t>
        </is>
      </c>
      <c r="J25" s="5" t="inlineStr">
        <is>
          <t>Sau Save, header chuyển sang trạng thái 'không được phục vụ': không hiện ngày/giờ giao, chỉ hiện thông báo + CTA 'Change address'; duyệt và Pickup vẫn hoạt động bình thường.</t>
        </is>
      </c>
      <c r="K25" s="5" t="inlineStr">
        <is>
          <t>Hệ thống phải phát hiện và hiện đúng trạng thái 'not served' ngay sau khi lưu địa chỉ (SCR-HOM-05 state D).</t>
        </is>
      </c>
      <c r="L25" s="5" t="n"/>
      <c r="M25" s="5" t="n"/>
    </row>
    <row r="26" hidden="1" ht="45.75" customHeight="1" s="19">
      <c r="A26" s="5" t="n">
        <v>24</v>
      </c>
      <c r="B26" s="5" t="inlineStr">
        <is>
          <t>SCR-HOM-03-SC1</t>
        </is>
      </c>
      <c r="C26" s="5" t="inlineStr">
        <is>
          <t>SCR-HOM-03</t>
        </is>
      </c>
      <c r="D26" s="5" t="inlineStr">
        <is>
          <t>HP - Homepage &amp; Login Gate</t>
        </is>
      </c>
      <c r="E26" s="5" t="inlineStr">
        <is>
          <t>HP-09</t>
        </is>
      </c>
      <c r="F26" s="5" t="inlineStr">
        <is>
          <t>Normal</t>
        </is>
      </c>
      <c r="G26" s="5" t="inlineStr">
        <is>
          <t>Chọn 1 địa chỉ đã lưu khác mà store hiện tại VẪN phục vụ được.</t>
        </is>
      </c>
      <c r="H26" s="5" t="inlineStr">
        <is>
          <t>Chọn địa chỉ 'Office' (vẫn do Nam Sài Gòn phục vụ).</t>
        </is>
      </c>
      <c r="I26" s="5" t="inlineStr">
        <is>
          <t>Tài khoản có &gt;=2 địa chỉ đã lưu, địa chỉ mới chọn vẫn thuộc vùng phục vụ của store hiện tại.</t>
        </is>
      </c>
      <c r="J26" s="5" t="inlineStr">
        <is>
          <t>Store được GIỮ NGUYÊN, chỉ địa chỉ và ước tính giao hàng được làm mới; KHÔNG có dialog xác nhận nào (thay đổi áp dụng ngay, BRL-09).</t>
        </is>
      </c>
      <c r="K26" s="5" t="inlineStr">
        <is>
          <t>Đổi địa chỉ cùng store luôn không cần xác nhận.</t>
        </is>
      </c>
      <c r="L26" s="5" t="n"/>
      <c r="M26" s="5" t="n"/>
    </row>
    <row r="27" hidden="1" ht="45.75" customHeight="1" s="19">
      <c r="A27" s="16" t="n">
        <v>25</v>
      </c>
      <c r="B27" s="16" t="inlineStr">
        <is>
          <t>SCR-HOM-03-SC2</t>
        </is>
      </c>
      <c r="C27" s="16" t="inlineStr">
        <is>
          <t>SCR-HOM-03</t>
        </is>
      </c>
      <c r="D27" s="16" t="inlineStr">
        <is>
          <t>HP - Homepage &amp; Login Gate</t>
        </is>
      </c>
      <c r="E27" s="16" t="inlineStr">
        <is>
          <t>HP-09</t>
        </is>
      </c>
      <c r="F27" s="16" t="inlineStr">
        <is>
          <t>Edge</t>
        </is>
      </c>
      <c r="G27" s="16" t="inlineStr">
        <is>
          <t>Chọn 1 địa chỉ đã lưu mà store hiện tại KHÔNG còn phục vụ được (ví dụ địa chỉ ở Hà Nội).</t>
        </is>
      </c>
      <c r="H27" s="16" t="inlineStr">
        <is>
          <t>Chọn địa chỉ 'Parents' (Hà Nội, thuộc vùng Next-day của store khác).</t>
        </is>
      </c>
      <c r="I27" s="16" t="inlineStr">
        <is>
          <t>Tài khoản có địa chỉ ở khu vực khác tỉnh/thành với store hiện tại.</t>
        </is>
      </c>
      <c r="J27" s="16" t="inlineStr">
        <is>
          <t>Hệ thống TỰ ĐỘNG chuyển sang store phục vụ được địa chỉ đó mà KHÔNG hỏi xác nhận (nếu chỉ 1 store phù hợp, chuyển thẳng; nếu nhiều store phù hợp, chọn store gần nhất); hiện toast báo 'Store changed to [tên store]'; ước tính giao hàng tính lại theo cặp store-địa chỉ mới.</t>
        </is>
      </c>
      <c r="K27" s="16" t="inlineStr">
        <is>
          <t>Chuyển store tự động trên Homepage không cần Confirm/Cancel (khác với trong Cart - SCR-CRT-06).</t>
        </is>
      </c>
      <c r="L27" s="16" t="inlineStr">
        <is>
          <t>QnA-01</t>
        </is>
      </c>
      <c r="M27" s="16" t="inlineStr">
        <is>
          <t>Nếu địa chỉ vừa chọn lại không còn hợp lệ (ví dụ bị xoá) sau khi đổi store khác, thứ tự ưu tiên chọn địa chỉ thay thế vẫn là OQ-01/QnA-01, hiện là đề xuất tạm thời của BA. | Lưu ý (bổ sung 28/08/2026): tier dịch vụ sau khi đổi store được TÍNH LẠI theo khoảng cách thực tế (BRL-10..12) của cặp store-địa chỉ MỚI, KHÔNG mặc định là Next-day - ví dụ trong test này chỉ vì địa chỉ mẫu rơi vào vùng Next-day. Xem thêm SCR-HOM-03-SC2-TC2 (địa chỉ khác tỉnh nhưng vẫn trong bán kính Standard).</t>
        </is>
      </c>
    </row>
    <row r="28" hidden="1" ht="45.75" customHeight="1" s="19">
      <c r="A28" s="5" t="n">
        <v>26</v>
      </c>
      <c r="B28" s="5" t="inlineStr">
        <is>
          <t>SCR-HOM-04-SC1</t>
        </is>
      </c>
      <c r="C28" s="5" t="inlineStr">
        <is>
          <t>SCR-HOM-04</t>
        </is>
      </c>
      <c r="D28" s="5" t="inlineStr">
        <is>
          <t>HP - Homepage &amp; Login Gate</t>
        </is>
      </c>
      <c r="E28" s="5" t="inlineStr">
        <is>
          <t>HP-08</t>
        </is>
      </c>
      <c r="F28" s="5" t="inlineStr">
        <is>
          <t>Normal</t>
        </is>
      </c>
      <c r="G28" s="5" t="inlineStr">
        <is>
          <t>Đổi store từ header Homepage, địa chỉ hiện tại vẫn còn trong vùng phục vụ của store mới.</t>
        </is>
      </c>
      <c r="H28" s="5" t="inlineStr">
        <is>
          <t>Chọn 'LOTTE Mart Tân Bình' trong khi địa chỉ vẫn trong Standard radius của store mới.</t>
        </is>
      </c>
      <c r="I28" s="5" t="inlineStr">
        <is>
          <t>Đang có địa chỉ 'Standard only' phù hợp cả 2 store.</t>
        </is>
      </c>
      <c r="J28" s="5" t="inlineStr">
        <is>
          <t>Store đổi ngay lập tức, KHÔNG có dialog xác nhận (khác hẳn vị trí trong Cart); danh mục/giá/tồn kho re-render theo store mới.</t>
        </is>
      </c>
      <c r="K28" s="5" t="inlineStr">
        <is>
          <t>Đổi store trên Homepage luôn áp dụng ngay không cần Confirm (BRL-08).</t>
        </is>
      </c>
      <c r="L28" s="5" t="n"/>
      <c r="M28" s="5" t="n"/>
    </row>
    <row r="29" hidden="1" ht="45.75" customHeight="1" s="19">
      <c r="A29" s="16" t="n">
        <v>27</v>
      </c>
      <c r="B29" s="16" t="inlineStr">
        <is>
          <t>SCR-HOM-04-SC2</t>
        </is>
      </c>
      <c r="C29" s="16" t="inlineStr">
        <is>
          <t>SCR-HOM-04</t>
        </is>
      </c>
      <c r="D29" s="16" t="inlineStr">
        <is>
          <t>HP - Homepage &amp; Login Gate</t>
        </is>
      </c>
      <c r="E29" s="16" t="inlineStr">
        <is>
          <t>HP-08</t>
        </is>
      </c>
      <c r="F29" s="16" t="inlineStr">
        <is>
          <t>Edge</t>
        </is>
      </c>
      <c r="G29" s="16" t="inlineStr">
        <is>
          <t>Đổi store từ header Homepage khiến dịch vụ bị rớt hạng (ví dụ mất 60-Minute, chỉ còn Standard).</t>
        </is>
      </c>
      <c r="H29" s="16" t="inlineStr">
        <is>
          <t>Chọn store mới mà địa chỉ hiện tại chỉ còn nằm trong Standard radius (mất 60-Minute).</t>
        </is>
      </c>
      <c r="I29" s="16" t="inlineStr">
        <is>
          <t>Địa chỉ hiện tại đang ở vùng 60-Minute của store cũ.</t>
        </is>
      </c>
      <c r="J29" s="16" t="inlineStr">
        <is>
          <t>Hệ thống tự động fallback dịch vụ (rớt từ 60-Minute+Standard xuống chỉ còn Standard) VÀ hiện thông báo rõ ràng cho khách biết dịch vụ nào bị mất/được thêm (BRL-08) - không được âm thầm đổi.</t>
        </is>
      </c>
      <c r="K29" s="16" t="inlineStr">
        <is>
          <t>Thông báo fallback dịch vụ là bắt buộc, không được để khách tự phát hiện.</t>
        </is>
      </c>
      <c r="L29" s="16" t="inlineStr">
        <is>
          <t>QnA-01</t>
        </is>
      </c>
      <c r="M29" s="16" t="n"/>
    </row>
    <row r="30" hidden="1" ht="45.75" customHeight="1" s="19">
      <c r="A30" s="5" t="n">
        <v>28</v>
      </c>
      <c r="B30" s="5" t="inlineStr">
        <is>
          <t>SCR-HOM-04-SC3</t>
        </is>
      </c>
      <c r="C30" s="5" t="inlineStr">
        <is>
          <t>SCR-HOM-04</t>
        </is>
      </c>
      <c r="D30" s="5" t="inlineStr">
        <is>
          <t>HP - Homepage &amp; Login Gate</t>
        </is>
      </c>
      <c r="E30" s="5" t="inlineStr">
        <is>
          <t>HP-08</t>
        </is>
      </c>
      <c r="F30" s="5" t="inlineStr">
        <is>
          <t>Edge</t>
        </is>
      </c>
      <c r="G30" s="5" t="inlineStr">
        <is>
          <t>Store không thể giao đến địa chỉ hiện tại vẫn chọn được để duyệt/Pickup.</t>
        </is>
      </c>
      <c r="H30" s="5" t="inlineStr">
        <is>
          <t>Chọn 'LOTTE Mart Long Biên' trong khi địa chỉ là ở TP.HCM.</t>
        </is>
      </c>
      <c r="I30" s="5" t="inlineStr">
        <is>
          <t>Địa chỉ hiện tại (TP.HCM) nằm ngoài vùng phục vụ của store Hà Nội.</t>
        </is>
      </c>
      <c r="J30" s="5" t="inlineStr">
        <is>
          <t>Store vẫn đổi được (không bị chặn chọn); chỉ riêng Delivery cho địa chỉ hiện tại chuyển sang trạng thái 'not served', còn duyệt và Pickup vẫn hợp lệ bình thường tại store mới.</t>
        </is>
      </c>
      <c r="K30" s="5" t="inlineStr">
        <is>
          <t>Store không phục vụ được vẫn là 1 lựa chọn hợp lệ trong danh sách - chỉ ảnh hưởng Delivery.</t>
        </is>
      </c>
      <c r="L30" s="5" t="n"/>
      <c r="M30" s="5" t="n"/>
    </row>
    <row r="31" hidden="1" ht="45.75" customHeight="1" s="19">
      <c r="A31" s="5" t="n">
        <v>29</v>
      </c>
      <c r="B31" s="5" t="inlineStr">
        <is>
          <t>SCR-HOM-05-SC1</t>
        </is>
      </c>
      <c r="C31" s="5" t="inlineStr">
        <is>
          <t>SCR-HOM-05</t>
        </is>
      </c>
      <c r="D31" s="5" t="inlineStr">
        <is>
          <t>HP - Homepage &amp; Login Gate</t>
        </is>
      </c>
      <c r="E31" s="5" t="inlineStr">
        <is>
          <t>HP-04</t>
        </is>
      </c>
      <c r="F31" s="5" t="inlineStr">
        <is>
          <t>Boundary</t>
        </is>
      </c>
      <c r="G31" s="5" t="inlineStr">
        <is>
          <t>Kiểm tra đủ 4 trạng thái loại trừ lẫn nhau của ước tính giao hàng theo khoảng cách địa chỉ-store.</t>
        </is>
      </c>
      <c r="H31" s="5" t="inlineStr">
        <is>
          <t>4 địa chỉ mẫu: trong 3-5km / 10-15km / thuộc Next-day / ngoài mọi vùng.</t>
        </is>
      </c>
      <c r="I31" s="5" t="inlineStr">
        <is>
          <t>4 địa chỉ test đã được chuẩn bị sẵn khớp đúng 4 ngưỡng khoảng cách BRL-10/11/12.</t>
        </is>
      </c>
      <c r="J31" s="5" t="inlineStr">
        <is>
          <t>Bán kính 60-Minute (3-5km): hiện 60-Minute+Standard. Trong Standard (10-15km): chỉ Standard. Trong Next-day: chỉ ngày giao, không có khung giờ. Ngoài mọi vùng: không ngày/giờ, chỉ thông báo + CTA đổi địa chỉ.</t>
        </is>
      </c>
      <c r="K31" s="5" t="inlineStr">
        <is>
          <t>Đúng 4 trạng thái, không chồng lấn nhau, đúng ngưỡng cấu hình của từng store.</t>
        </is>
      </c>
      <c r="L31" s="5" t="n"/>
      <c r="M31" s="5" t="n"/>
    </row>
    <row r="32" hidden="1" ht="45.75" customHeight="1" s="19">
      <c r="A32" s="5" t="n">
        <v>30</v>
      </c>
      <c r="B32" s="5" t="inlineStr">
        <is>
          <t>SCR-HOM-06-SC1</t>
        </is>
      </c>
      <c r="C32" s="5" t="inlineStr">
        <is>
          <t>SCR-HOM-06</t>
        </is>
      </c>
      <c r="D32" s="5" t="inlineStr">
        <is>
          <t>HP - Homepage &amp; Login Gate</t>
        </is>
      </c>
      <c r="E32" s="5" t="inlineStr">
        <is>
          <t>HP-01, BR-06</t>
        </is>
      </c>
      <c r="F32" s="5" t="inlineStr">
        <is>
          <t>Normal</t>
        </is>
      </c>
      <c r="G32" s="5" t="inlineStr">
        <is>
          <t>Đăng nhập thành công, giá Member trở thành giá chính (thay vì giá Guest).</t>
        </is>
      </c>
      <c r="H32" s="5" t="inlineStr">
        <is>
          <t>Đăng nhập 1 tài khoản Member có dữ liệu tier/điểm/coupon.</t>
        </is>
      </c>
      <c r="I32" s="5" t="inlineStr">
        <is>
          <t>Vừa đăng nhập thành công.</t>
        </is>
      </c>
      <c r="J32" s="5" t="inlineStr">
        <is>
          <t>Strip thông tin Member (tên, tier, điểm, coupon) xuất hiện; giá Member được hiện làm giá chính, giá Guest bị làm mờ/thu nhỏ (ngược lại với trạng thái Guest).</t>
        </is>
      </c>
      <c r="K32" s="5" t="inlineStr">
        <is>
          <t>Chuyển đổi Guest&lt;-&gt;Member phải đổi đúng thứ tự ưu tiên giá hiển thị.</t>
        </is>
      </c>
      <c r="L32" s="5" t="n"/>
      <c r="M32" s="5" t="n"/>
    </row>
    <row r="33" hidden="1" ht="45.75" customHeight="1" s="19">
      <c r="A33" s="16" t="n">
        <v>31</v>
      </c>
      <c r="B33" s="16" t="inlineStr">
        <is>
          <t>SCR-HOM-06-SC2</t>
        </is>
      </c>
      <c r="C33" s="16" t="inlineStr">
        <is>
          <t>SCR-HOM-06</t>
        </is>
      </c>
      <c r="D33" s="16" t="inlineStr">
        <is>
          <t>HP - Homepage &amp; Login Gate</t>
        </is>
      </c>
      <c r="E33" s="16" t="inlineStr">
        <is>
          <t>HP-10, NFR-03</t>
        </is>
      </c>
      <c r="F33" s="16" t="inlineStr">
        <is>
          <t>Normal</t>
        </is>
      </c>
      <c r="G33" s="16" t="inlineStr">
        <is>
          <t>Đăng xuất: store được giữ lại, địa chỉ bị xoá.</t>
        </is>
      </c>
      <c r="H33" s="16" t="inlineStr">
        <is>
          <t>Bấm Logout, xác nhận trong dialog.</t>
        </is>
      </c>
      <c r="I33" s="16" t="inlineStr">
        <is>
          <t>Đang đăng nhập, có địa chỉ đã lưu và đã chọn.</t>
        </is>
      </c>
      <c r="J33" s="16" t="inlineStr">
        <is>
          <t>Sau khi xác nhận logout: quay về SCR-HOM-01 State A - CÙNG STORE được giữ nguyên (không phải dữ liệu cá nhân, luôn cần để duyệt - NFR-03), địa chỉ bị XOÁ khỏi màn hình (để không lộ cho người dùng kế tiếp trên thiết bị dùng chung); Cart icon vẫn hiển thị.</t>
        </is>
      </c>
      <c r="K33" s="16" t="inlineStr">
        <is>
          <t>Logout phải giữ store và xoá địa chỉ - không được làm ngược lại.</t>
        </is>
      </c>
      <c r="L33" s="16" t="inlineStr">
        <is>
          <t>QnA-26</t>
        </is>
      </c>
      <c r="M33" s="16" t="inlineStr">
        <is>
          <t>Địa chỉ nào sẽ active khi đăng nhập lại (cùng tài khoản hoặc tài khoản khác) vẫn còn là OQ-26/QnA-26 - hiện tại đề xuất tạm thời là không active địa chỉ nào, để khách tự chọn.</t>
        </is>
      </c>
    </row>
    <row r="34" hidden="1" ht="45.75" customHeight="1" s="19">
      <c r="A34" s="5" t="n">
        <v>32</v>
      </c>
      <c r="B34" s="5" t="inlineStr">
        <is>
          <t>SCR-AUT-01-SC1</t>
        </is>
      </c>
      <c r="C34" s="5" t="inlineStr">
        <is>
          <t>SCR-AUT-01</t>
        </is>
      </c>
      <c r="D34" s="5" t="inlineStr">
        <is>
          <t>HP - Homepage &amp; Login Gate</t>
        </is>
      </c>
      <c r="E34" s="5" t="inlineStr">
        <is>
          <t>HP-06</t>
        </is>
      </c>
      <c r="F34" s="5" t="inlineStr">
        <is>
          <t>Normal</t>
        </is>
      </c>
      <c r="G34" s="5" t="inlineStr">
        <is>
          <t>Guest bấm 'Add to Cart', bị chặn bởi login gate; đăng nhập thành công thì sản phẩm được thêm tự động.</t>
        </is>
      </c>
      <c r="H34" s="5" t="inlineStr">
        <is>
          <t>Bấm Add to Cart trên 1 sản phẩm, đăng nhập thành công.</t>
        </is>
      </c>
      <c r="I34" s="5" t="inlineStr">
        <is>
          <t>Guest chưa đăng nhập, đang xem 1 sản phẩm có thể thêm vào giỏ.</t>
        </is>
      </c>
      <c r="J34" s="5" t="inlineStr">
        <is>
          <t>Hệ thống chặn thao tác Add to Cart TRƯỚC khi thêm, mở bottom sheet đăng nhập/đăng ký; sau xác thực thành công, sản phẩm được TỰ ĐỘNG thêm vào giỏ (không cần bấm lại Add to Cart), hiện toast xác nhận, địa chỉ Guest local (nếu có) được đồng bộ lên tài khoản.</t>
        </is>
      </c>
      <c r="K34" s="5" t="inlineStr">
        <is>
          <t>Resume đúng sản phẩm đã định thêm, không yêu cầu lặp lại thao tác (BRL-07).</t>
        </is>
      </c>
      <c r="L34" s="5" t="n"/>
      <c r="M34" s="5" t="n"/>
    </row>
    <row r="35" hidden="1" ht="45.75" customHeight="1" s="19">
      <c r="A35" s="5" t="n">
        <v>33</v>
      </c>
      <c r="B35" s="5" t="inlineStr">
        <is>
          <t>SCR-AUT-01-SC2</t>
        </is>
      </c>
      <c r="C35" s="5" t="inlineStr">
        <is>
          <t>SCR-AUT-01</t>
        </is>
      </c>
      <c r="D35" s="5" t="inlineStr">
        <is>
          <t>HP - Homepage &amp; Login Gate</t>
        </is>
      </c>
      <c r="E35" s="5" t="inlineStr">
        <is>
          <t>HP-07, CT-01</t>
        </is>
      </c>
      <c r="F35" s="5" t="inlineStr">
        <is>
          <t>Normal</t>
        </is>
      </c>
      <c r="G35" s="5" t="inlineStr">
        <is>
          <t>Guest bấm icon Cart, bị chặn bởi login gate; đăng nhập thành công thì Cart mở trực tiếp.</t>
        </is>
      </c>
      <c r="H35" s="5" t="inlineStr">
        <is>
          <t>Bấm Cart icon, đăng nhập thành công.</t>
        </is>
      </c>
      <c r="I35" s="5" t="inlineStr">
        <is>
          <t>Guest chưa đăng nhập.</t>
        </is>
      </c>
      <c r="J35" s="5" t="inlineStr">
        <is>
          <t>Hệ thống chặn và mở bottom sheet đăng nhập/đăng ký với nội dung riêng cho ngữ cảnh mở Cart; sau xác thực thành công, Cart MỞ TRỰC TIẾP (không phải thêm sản phẩm); địa chỉ, dịch vụ, khung giờ đã chọn ở Homepage được mang theo vào Cart.</t>
        </is>
      </c>
      <c r="K35" s="5" t="inlineStr">
        <is>
          <t>Cart icon KHÔNG BAO GIỜ bị ẩn/disable với Guest (BRL-06); tap vào luôn mở gate thay vì lỗi.</t>
        </is>
      </c>
      <c r="L35" s="5" t="n"/>
      <c r="M35" s="5" t="n"/>
    </row>
    <row r="36" hidden="1" ht="45.75" customHeight="1" s="19">
      <c r="A36" s="5" t="n">
        <v>34</v>
      </c>
      <c r="B36" s="5" t="inlineStr">
        <is>
          <t>SCR-AUT-01-SC3</t>
        </is>
      </c>
      <c r="C36" s="5" t="inlineStr">
        <is>
          <t>SCR-AUT-01</t>
        </is>
      </c>
      <c r="D36" s="5" t="inlineStr">
        <is>
          <t>HP - Homepage &amp; Login Gate</t>
        </is>
      </c>
      <c r="E36" s="5" t="inlineStr">
        <is>
          <t>HP-06, HP-07</t>
        </is>
      </c>
      <c r="F36" s="5" t="inlineStr">
        <is>
          <t>Negative</t>
        </is>
      </c>
      <c r="G36" s="5" t="inlineStr">
        <is>
          <t>Guest huỷ (Cancel) bottom sheet đăng nhập - không mất ngữ cảnh đang duyệt.</t>
        </is>
      </c>
      <c r="H36" s="5" t="inlineStr">
        <is>
          <t>Bấm Cancel/đóng sheet đăng nhập từ cả 2 lối vào (Add to Cart và Cart icon).</t>
        </is>
      </c>
      <c r="I36" s="5" t="inlineStr">
        <is>
          <t>Login gate đang mở từ 1 trong 2 trigger.</t>
        </is>
      </c>
      <c r="J36" s="5" t="inlineStr">
        <is>
          <t>Quay lại trang trước đó với ngữ cảnh duyệt nguyên vẹn; sản phẩm KHÔNG được thêm (trường hợp Add to Cart), Cart KHÔNG mở (trường hợp Cart icon); không mất dữ liệu đang xem.</t>
        </is>
      </c>
      <c r="K36" s="5" t="inlineStr">
        <is>
          <t>Huỷ đăng nhập không được phá huỷ (non-destructive) - BRL-08.</t>
        </is>
      </c>
      <c r="L36" s="5" t="n"/>
      <c r="M36" s="5" t="n"/>
    </row>
    <row r="37" hidden="1" ht="45.75" customHeight="1" s="19">
      <c r="A37" s="5" t="n">
        <v>35</v>
      </c>
      <c r="B37" s="5" t="inlineStr">
        <is>
          <t>SCR-AUT-02-SC1</t>
        </is>
      </c>
      <c r="C37" s="5" t="inlineStr">
        <is>
          <t>SCR-AUT-02</t>
        </is>
      </c>
      <c r="D37" s="5" t="inlineStr">
        <is>
          <t>SU - Signup</t>
        </is>
      </c>
      <c r="E37" s="5" t="inlineStr">
        <is>
          <t>SU-01, SU-02, SU-03</t>
        </is>
      </c>
      <c r="F37" s="5" t="inlineStr">
        <is>
          <t>Normal</t>
        </is>
      </c>
      <c r="G37" s="5" t="inlineStr">
        <is>
          <t>Nhập SĐT, chọn kênh OTP Zalo (mặc định), nhập đúng OTP.</t>
        </is>
      </c>
      <c r="H37" s="5" t="inlineStr">
        <is>
          <t>SĐT hợp lệ, giữ kênh Zalo mặc định, mã OTP đúng.</t>
        </is>
      </c>
      <c r="I37" s="5" t="inlineStr">
        <is>
          <t>Chọn 'New customer - Register' từ login gate.</t>
        </is>
      </c>
      <c r="J37" s="5" t="inlineStr">
        <is>
          <t>Zalo được đánh dấu 'Recommended' và chọn sẵn (BRL-13); sau khi gửi OTP, nút Resend bị disable trong thời gian đếm ngược (BRL-15); nhập đúng OTP chuyển sang SCR-AUT-03 (tạo PIN).</t>
        </is>
      </c>
      <c r="K37" s="5" t="inlineStr">
        <is>
          <t>Kênh mặc định là Zalo; luồng thành công dẫn đến màn tạo PIN.</t>
        </is>
      </c>
      <c r="L37" s="5" t="n"/>
      <c r="M37" s="5" t="n"/>
    </row>
    <row r="38" hidden="1" ht="45.75" customHeight="1" s="19">
      <c r="A38" s="16" t="n">
        <v>36</v>
      </c>
      <c r="B38" s="16" t="inlineStr">
        <is>
          <t>SCR-AUT-02-SC2</t>
        </is>
      </c>
      <c r="C38" s="16" t="inlineStr">
        <is>
          <t>SCR-AUT-02</t>
        </is>
      </c>
      <c r="D38" s="16" t="inlineStr">
        <is>
          <t>SU - Signup</t>
        </is>
      </c>
      <c r="E38" s="16" t="inlineStr">
        <is>
          <t>SU-03</t>
        </is>
      </c>
      <c r="F38" s="16" t="inlineStr">
        <is>
          <t>Boundary</t>
        </is>
      </c>
      <c r="G38" s="16" t="inlineStr">
        <is>
          <t>Hết thời gian đếm ngược Resend, chuyển kênh thủ công sang SMS.</t>
        </is>
      </c>
      <c r="H38" s="16" t="inlineStr">
        <is>
          <t>Chờ hết đếm ngược Resend, bấm 'đổi kênh' chọn SMS.</t>
        </is>
      </c>
      <c r="I38" s="16" t="inlineStr">
        <is>
          <t>Đã gửi OTP qua Zalo, đang trong màn nhập OTP.</t>
        </is>
      </c>
      <c r="J38" s="16" t="inlineStr">
        <is>
          <t>Nút Resend chỉ active lại SAU khi hết đếm ngược; hệ thống KHÔNG tự động fallback sang SMS - khách phải chủ động bấm Resend hoặc đổi kênh (BRL-14); sau khi đổi kênh, OTP mới được gửi qua SMS.</t>
        </is>
      </c>
      <c r="K38" s="16" t="inlineStr">
        <is>
          <t>Không có fallback tự động từ Zalo sang SMS trong bất kỳ trường hợp nào.</t>
        </is>
      </c>
      <c r="L38" s="16" t="inlineStr">
        <is>
          <t>QnA-08</t>
        </is>
      </c>
      <c r="M38" s="16" t="inlineStr">
        <is>
          <t>Xác nhận kỹ thuật về hành vi thật sự khi Zalo thất bại gửi tin vẫn đang mở - OQ-08/QnA-08.</t>
        </is>
      </c>
    </row>
    <row r="39" hidden="1" ht="45.75" customHeight="1" s="19">
      <c r="A39" s="5" t="n">
        <v>37</v>
      </c>
      <c r="B39" s="5" t="inlineStr">
        <is>
          <t>SCR-AUT-02-SC3</t>
        </is>
      </c>
      <c r="C39" s="5" t="inlineStr">
        <is>
          <t>SCR-AUT-02</t>
        </is>
      </c>
      <c r="D39" s="5" t="inlineStr">
        <is>
          <t>SU - Signup</t>
        </is>
      </c>
      <c r="E39" s="5" t="inlineStr">
        <is>
          <t>SU-09</t>
        </is>
      </c>
      <c r="F39" s="5" t="inlineStr">
        <is>
          <t>Negative</t>
        </is>
      </c>
      <c r="G39" s="5" t="inlineStr">
        <is>
          <t>Đăng ký bằng SĐT đã tồn tại trên hệ thống.</t>
        </is>
      </c>
      <c r="H39" s="5" t="inlineStr">
        <is>
          <t>Nhập 1 SĐT đã có tài khoản Member.</t>
        </is>
      </c>
      <c r="I39" s="5" t="inlineStr">
        <is>
          <t>Đang ở bước nhập SĐT của Signup.</t>
        </is>
      </c>
      <c r="J39" s="5" t="inlineStr">
        <is>
          <t>Hiện thông báo lỗi (số đã được đăng ký), SĐT VẪN được giữ nguyên trên ô nhập (không bị xoá trắng), CTA chính đổi thành 'Sign in' để khách không phải gõ lại số.</t>
        </is>
      </c>
      <c r="K39" s="5" t="inlineStr">
        <is>
          <t>SĐT không bị mất, CTA chuyển hướng đúng sang đăng nhập.</t>
        </is>
      </c>
      <c r="L39" s="5" t="n"/>
      <c r="M39" s="5" t="n"/>
    </row>
    <row r="40" hidden="1" ht="45.75" customHeight="1" s="19">
      <c r="A40" s="5" t="n">
        <v>38</v>
      </c>
      <c r="B40" s="5" t="inlineStr">
        <is>
          <t>SCR-AUT-03-SC1</t>
        </is>
      </c>
      <c r="C40" s="5" t="inlineStr">
        <is>
          <t>SCR-AUT-03</t>
        </is>
      </c>
      <c r="D40" s="5" t="inlineStr">
        <is>
          <t>SU - Signup</t>
        </is>
      </c>
      <c r="E40" s="5" t="inlineStr">
        <is>
          <t>SU-04</t>
        </is>
      </c>
      <c r="F40" s="5" t="inlineStr">
        <is>
          <t>Normal</t>
        </is>
      </c>
      <c r="G40" s="5" t="inlineStr">
        <is>
          <t>Tạo PIN 6 số và xác nhận lại khớp.</t>
        </is>
      </c>
      <c r="H40" s="5" t="inlineStr">
        <is>
          <t>Nhập PIN '123456' 2 lần giống nhau.</t>
        </is>
      </c>
      <c r="I40" s="5" t="inlineStr">
        <is>
          <t>Vừa xác thực OTP thành công.</t>
        </is>
      </c>
      <c r="J40" s="5" t="inlineStr">
        <is>
          <t>Bàn phím số riêng của app (không dùng bàn phím hệ thống) được dùng để nhập; sau khi nhập khớp 2 lần, chuyển sang SCR-AUT-04 (hồ sơ).</t>
        </is>
      </c>
      <c r="K40" s="5" t="inlineStr">
        <is>
          <t>PIN chỉ được tạo sau khi OTP đã xác thực, không bao giờ tạo PIN trên số chưa xác minh.</t>
        </is>
      </c>
      <c r="L40" s="5" t="n"/>
      <c r="M40" s="5" t="n"/>
    </row>
    <row r="41" hidden="1" ht="45.75" customHeight="1" s="19">
      <c r="A41" s="5" t="n">
        <v>39</v>
      </c>
      <c r="B41" s="5" t="inlineStr">
        <is>
          <t>SCR-AUT-03-SC2</t>
        </is>
      </c>
      <c r="C41" s="5" t="inlineStr">
        <is>
          <t>SCR-AUT-03</t>
        </is>
      </c>
      <c r="D41" s="5" t="inlineStr">
        <is>
          <t>SU - Signup</t>
        </is>
      </c>
      <c r="E41" s="5" t="inlineStr">
        <is>
          <t>SU-04</t>
        </is>
      </c>
      <c r="F41" s="5" t="inlineStr">
        <is>
          <t>Negative</t>
        </is>
      </c>
      <c r="G41" s="5" t="inlineStr">
        <is>
          <t>Nhập PIN xác nhận KHÔNG khớp PIN đã tạo lần đầu.</t>
        </is>
      </c>
      <c r="H41" s="5" t="inlineStr">
        <is>
          <t>Lần 1: '123456'. Lần 2 (xác nhận): '654321'.</t>
        </is>
      </c>
      <c r="I41" s="5" t="inlineStr">
        <is>
          <t>Đang ở bước nhập lại PIN để xác nhận.</t>
        </is>
      </c>
      <c r="J41" s="5" t="inlineStr">
        <is>
          <t>Hệ thống báo mismatch và CHỈ xoá ô xác nhận (không xoá ô PIN đã nhập lần đầu) để khách không phải gõ lại từ đầu.</t>
        </is>
      </c>
      <c r="K41" s="5" t="inlineStr">
        <is>
          <t>Chỉ reset ô xác nhận khi không khớp, không reset cả 2 ô.</t>
        </is>
      </c>
      <c r="L41" s="5" t="n"/>
      <c r="M41" s="5" t="inlineStr">
        <is>
          <t>QnA-03: số lần thử sai PIN cho phép trước khi khoá/restart bước vẫn đang chờ Security/Dev xác nhận (OQ-03).</t>
        </is>
      </c>
    </row>
    <row r="42" hidden="1" ht="45.75" customHeight="1" s="19">
      <c r="A42" s="5" t="n">
        <v>40</v>
      </c>
      <c r="B42" s="5" t="inlineStr">
        <is>
          <t>SCR-AUT-04-SC1</t>
        </is>
      </c>
      <c r="C42" s="5" t="inlineStr">
        <is>
          <t>SCR-AUT-04</t>
        </is>
      </c>
      <c r="D42" s="5" t="inlineStr">
        <is>
          <t>SU - Signup</t>
        </is>
      </c>
      <c r="E42" s="5" t="inlineStr">
        <is>
          <t>SU-05</t>
        </is>
      </c>
      <c r="F42" s="5" t="inlineStr">
        <is>
          <t>Validation</t>
        </is>
      </c>
      <c r="G42" s="5" t="inlineStr">
        <is>
          <t>Điền hồ sơ bắt buộc, checkbox Điều khoản là điều kiện chặn Submit.</t>
        </is>
      </c>
      <c r="H42" s="5" t="inlineStr">
        <is>
          <t>Điền đủ tên/giới tính/ngày sinh/quốc tịch/store, mà KHÔNG tick Điều khoản sử dụng.</t>
        </is>
      </c>
      <c r="I42" s="5" t="inlineStr">
        <is>
          <t>Vừa tạo PIN thành công ở SCR-AUT-03.</t>
        </is>
      </c>
      <c r="J42" s="5" t="inlineStr">
        <is>
          <t>Nút Tạo tài khoản bị CHẶN (disabled hoặc báo lỗi) khi checkbox Điều khoản &amp; Chính sách chưa được tick; checkbox Marketing là tuỳ chọn, mặc định KHÔNG tick và không chặn submit.</t>
        </is>
      </c>
      <c r="K42" s="5" t="inlineStr">
        <is>
          <t>Điều khoản là điều kiện bắt buộc duy nhất trong số các checkbox.</t>
        </is>
      </c>
      <c r="L42" s="5" t="n"/>
      <c r="M42" s="5" t="n"/>
    </row>
    <row r="43" hidden="1" ht="45.75" customHeight="1" s="19">
      <c r="A43" s="16" t="n">
        <v>41</v>
      </c>
      <c r="B43" s="16" t="inlineStr">
        <is>
          <t>SCR-AUT-04-SC2</t>
        </is>
      </c>
      <c r="C43" s="16" t="inlineStr">
        <is>
          <t>SCR-AUT-04</t>
        </is>
      </c>
      <c r="D43" s="16" t="inlineStr">
        <is>
          <t>SU - Signup</t>
        </is>
      </c>
      <c r="E43" s="16" t="inlineStr">
        <is>
          <t>SU-05</t>
        </is>
      </c>
      <c r="F43" s="16" t="inlineStr">
        <is>
          <t>Functional</t>
        </is>
      </c>
      <c r="G43" s="16" t="inlineStr">
        <is>
          <t>Kiểm tra giới tính mặc định chọn sẵn 'Chị' và store đăng ký được pre-fill từ Onboarding.</t>
        </is>
      </c>
      <c r="H43" s="16" t="inlineStr">
        <is>
          <t>Không đổi giá trị mặc định, quan sát 2 trường này.</t>
        </is>
      </c>
      <c r="I43" s="16" t="inlineStr">
        <is>
          <t>Đã chọn store 'LOTTE Mart Nam Sài Gòn' ở Onboarding, đang ở bước hồ sơ.</t>
        </is>
      </c>
      <c r="J43" s="16" t="inlineStr">
        <is>
          <t>Giới tính mặc định là 'Chị' (có thể đổi 1 chạm - QnA-02 đã chốt giữ mặc định này); store đăng ký được điền sẵn = store đã chọn ở Onboarding nhưng vẫn sửa được.</t>
        </is>
      </c>
      <c r="K43" s="16" t="inlineStr">
        <is>
          <t>Cả 2 giá trị mặc định phải đúng như SRS đã chốt (QnA-02).</t>
        </is>
      </c>
      <c r="L43" s="16" t="inlineStr">
        <is>
          <t>QnA-02</t>
        </is>
      </c>
      <c r="M43" s="16" t="n"/>
    </row>
    <row r="44" hidden="1" ht="45.75" customHeight="1" s="19">
      <c r="A44" s="5" t="n">
        <v>42</v>
      </c>
      <c r="B44" s="5" t="inlineStr">
        <is>
          <t>SCR-AUT-04-SC3</t>
        </is>
      </c>
      <c r="C44" s="5" t="inlineStr">
        <is>
          <t>SCR-AUT-04</t>
        </is>
      </c>
      <c r="D44" s="5" t="inlineStr">
        <is>
          <t>SU - Signup</t>
        </is>
      </c>
      <c r="E44" s="5" t="inlineStr">
        <is>
          <t>SU-06, SU-08</t>
        </is>
      </c>
      <c r="F44" s="5" t="inlineStr">
        <is>
          <t>Normal</t>
        </is>
      </c>
      <c r="G44" s="5" t="inlineStr">
        <is>
          <t>Submit tạo tài khoản thành công, tự động đăng nhập và resume thao tác Add to Cart ban đầu.</t>
        </is>
      </c>
      <c r="H44" s="5" t="inlineStr">
        <is>
          <t>Điền đủ hồ sơ hợp lệ, tick Điều khoản, bấm Tạo tài khoản.</t>
        </is>
      </c>
      <c r="I44" s="5" t="inlineStr">
        <is>
          <t>Luồng Signup này được kích hoạt từ 1 thao tác 'Add to Cart' bị chặn bởi login gate.</t>
        </is>
      </c>
      <c r="J44" s="5" t="inlineStr">
        <is>
          <t>Tài khoản được tạo và TỰ ĐỘNG đăng nhập (không có bước đăng nhập riêng); sản phẩm đã định thêm trước đó được thêm tự động vào giỏ; địa chỉ Guest cục bộ (nếu có) được đồng bộ lên tài khoản mới.</t>
        </is>
      </c>
      <c r="K44" s="5" t="inlineStr">
        <is>
          <t>Toàn bộ chuỗi resume (tạo tài khoản -&gt; đăng nhập -&gt; thêm sản phẩm -&gt; đồng bộ địa chỉ) phải xảy ra không cần thao tác thêm từ khách.</t>
        </is>
      </c>
      <c r="L44" s="5" t="n"/>
      <c r="M44" s="5" t="n"/>
    </row>
    <row r="45" hidden="1" ht="45.75" customHeight="1" s="19">
      <c r="A45" s="5" t="n">
        <v>43</v>
      </c>
      <c r="B45" s="5" t="inlineStr">
        <is>
          <t>SCR-AUT-04-SC4</t>
        </is>
      </c>
      <c r="C45" s="5" t="inlineStr">
        <is>
          <t>SCR-AUT-04</t>
        </is>
      </c>
      <c r="D45" s="5" t="inlineStr">
        <is>
          <t>SU - Signup</t>
        </is>
      </c>
      <c r="E45" s="5" t="inlineStr">
        <is>
          <t>SU-07</t>
        </is>
      </c>
      <c r="F45" s="5" t="inlineStr">
        <is>
          <t>Functional</t>
        </is>
      </c>
      <c r="G45" s="5" t="inlineStr">
        <is>
          <t>Lời mời bật Face ID/vân tay là tuỳ chọn, từ chối không ảnh hưởng PIN.</t>
        </is>
      </c>
      <c r="H45" s="5" t="inlineStr">
        <is>
          <t>Bấm 'Bỏ qua'/'Không, cảm ơn' ở lời mời sinh trắc học.</t>
        </is>
      </c>
      <c r="I45" s="5" t="inlineStr">
        <is>
          <t>Vừa tạo tài khoản thành công.</t>
        </is>
      </c>
      <c r="J45" s="5" t="inlineStr">
        <is>
          <t>Lời mời chỉ xuất hiện SAU khi tài khoản đã được tạo (không trước); từ chối không mất gì cả - PIN vẫn là phương thức chính; mỗi thiết bị chỉ giữ 1 bio ticket đang hoạt động (NFR-02).</t>
        </is>
      </c>
      <c r="K45" s="5" t="inlineStr">
        <is>
          <t>Từ chối bật Face ID/vân tay không làm gián đoạn luồng resume thao tác.</t>
        </is>
      </c>
      <c r="L45" s="5" t="n"/>
      <c r="M45" s="5" t="n"/>
    </row>
    <row r="46" hidden="1" ht="45.75" customHeight="1" s="19">
      <c r="A46" s="5" t="n">
        <v>44</v>
      </c>
      <c r="B46" s="5" t="inlineStr">
        <is>
          <t>SCR-AUT-05-SC1</t>
        </is>
      </c>
      <c r="C46" s="5" t="inlineStr">
        <is>
          <t>SCR-AUT-05</t>
        </is>
      </c>
      <c r="D46" s="5" t="inlineStr">
        <is>
          <t>LI - Login</t>
        </is>
      </c>
      <c r="E46" s="5" t="inlineStr">
        <is>
          <t>LI-02</t>
        </is>
      </c>
      <c r="F46" s="5" t="inlineStr">
        <is>
          <t>Normal</t>
        </is>
      </c>
      <c r="G46" s="5" t="inlineStr">
        <is>
          <t>Đăng nhập bằng Face ID/vân tay khi thiết bị đã bật sinh trắc học.</t>
        </is>
      </c>
      <c r="H46" s="5" t="inlineStr">
        <is>
          <t>Xác thực Face ID/vân tay thành công.</t>
        </is>
      </c>
      <c r="I46" s="5" t="inlineStr">
        <is>
          <t>Tài khoản đã bật sinh trắc học trên thiết bị này, đang ở màn đăng nhập.</t>
        </is>
      </c>
      <c r="J46" s="5" t="inlineStr">
        <is>
          <t>Hệ thống tự động dùng Face ID/vân tay TRƯỚC (không yêu cầu nhập SĐT/PIN); thành công thì đăng nhập ngay và resume thao tác ban đầu (LI-03).</t>
        </is>
      </c>
      <c r="K46" s="5" t="inlineStr">
        <is>
          <t>Sinh trắc học là ưu tiên cao nhất trong thứ tự xác thực (LI-02).</t>
        </is>
      </c>
      <c r="L46" s="5" t="n"/>
      <c r="M46" s="5" t="n"/>
    </row>
    <row r="47" hidden="1" ht="45.75" customHeight="1" s="19">
      <c r="A47" s="5" t="n">
        <v>45</v>
      </c>
      <c r="B47" s="5" t="inlineStr">
        <is>
          <t>SCR-AUT-05-SC2</t>
        </is>
      </c>
      <c r="C47" s="5" t="inlineStr">
        <is>
          <t>SCR-AUT-05</t>
        </is>
      </c>
      <c r="D47" s="5" t="inlineStr">
        <is>
          <t>LI - Login</t>
        </is>
      </c>
      <c r="E47" s="5" t="inlineStr">
        <is>
          <t>LI-01, LI-02</t>
        </is>
      </c>
      <c r="F47" s="5" t="inlineStr">
        <is>
          <t>Normal</t>
        </is>
      </c>
      <c r="G47" s="5" t="inlineStr">
        <is>
          <t>Đăng nhập bằng SĐT + PIN khi sinh trắc học không khả dụng.</t>
        </is>
      </c>
      <c r="H47" s="5" t="inlineStr">
        <is>
          <t>Nhập SĐT, nhập đúng PIN 6 số.</t>
        </is>
      </c>
      <c r="I47" s="5" t="inlineStr">
        <is>
          <t>Thiết bị không hỗ trợ/không bật sinh trắc học.</t>
        </is>
      </c>
      <c r="J47" s="5" t="inlineStr">
        <is>
          <t>PIN là fallback khi không có sinh trắc học; nhập đúng PIN thì đăng nhập thành công và resume thao tác ban đầu.</t>
        </is>
      </c>
      <c r="K47" s="5" t="inlineStr">
        <is>
          <t>PIN là phương thức thứ 2 trong thứ tự ưu tiên.</t>
        </is>
      </c>
      <c r="L47" s="5" t="n"/>
      <c r="M47" s="5" t="n"/>
    </row>
    <row r="48" hidden="1" ht="45.75" customHeight="1" s="19">
      <c r="A48" s="5" t="n">
        <v>46</v>
      </c>
      <c r="B48" s="5" t="inlineStr">
        <is>
          <t>SCR-AUT-05-SC3</t>
        </is>
      </c>
      <c r="C48" s="5" t="inlineStr">
        <is>
          <t>SCR-AUT-05</t>
        </is>
      </c>
      <c r="D48" s="5" t="inlineStr">
        <is>
          <t>LI - Login</t>
        </is>
      </c>
      <c r="E48" s="5" t="inlineStr">
        <is>
          <t>LI-04</t>
        </is>
      </c>
      <c r="F48" s="5" t="inlineStr">
        <is>
          <t>Negative</t>
        </is>
      </c>
      <c r="G48" s="5" t="inlineStr">
        <is>
          <t>Đăng nhập bằng SĐT chưa từng đăng ký.</t>
        </is>
      </c>
      <c r="H48" s="5" t="inlineStr">
        <is>
          <t>Nhập 1 SĐT chưa có tài khoản.</t>
        </is>
      </c>
      <c r="I48" s="5" t="inlineStr">
        <is>
          <t>Đang ở màn nhập SĐT đăng nhập.</t>
        </is>
      </c>
      <c r="J48" s="5" t="inlineStr">
        <is>
          <t>Báo lỗi 'số chưa được đăng ký', SĐT vẫn được giữ nguyên trên ô nhập, CTA chính đổi thành 'Đăng ký' (đối xứng với SU-09).</t>
        </is>
      </c>
      <c r="K48" s="5" t="inlineStr">
        <is>
          <t>Deviation đối xứng với luồng Signup (SU-09).</t>
        </is>
      </c>
      <c r="L48" s="5" t="n"/>
      <c r="M48" s="5" t="n"/>
    </row>
    <row r="49" hidden="1" ht="45.75" customHeight="1" s="19">
      <c r="A49" s="16" t="n">
        <v>47</v>
      </c>
      <c r="B49" s="16" t="inlineStr">
        <is>
          <t>SCR-AUT-05-SC4</t>
        </is>
      </c>
      <c r="C49" s="16" t="inlineStr">
        <is>
          <t>SCR-AUT-05</t>
        </is>
      </c>
      <c r="D49" s="16" t="inlineStr">
        <is>
          <t>LI - Login</t>
        </is>
      </c>
      <c r="E49" s="16" t="inlineStr">
        <is>
          <t>LI-06</t>
        </is>
      </c>
      <c r="F49" s="16" t="inlineStr">
        <is>
          <t>Boundary</t>
        </is>
      </c>
      <c r="G49" s="16" t="inlineStr">
        <is>
          <t>Nhập sai PIN nhiều lần liên tiếp - kích hoạt giới hạn thử (attempt limit).</t>
        </is>
      </c>
      <c r="H49" s="16" t="inlineStr">
        <is>
          <t>Nhập sai PIN N+1 lần liên tiếp (N = giới hạn, đang chờ xác nhận).</t>
        </is>
      </c>
      <c r="I49" s="16" t="inlineStr">
        <is>
          <t>Đang ở bước nhập PIN đăng nhập.</t>
        </is>
      </c>
      <c r="J49" s="16" t="inlineStr">
        <is>
          <t>Sau khi vượt qua ngưỡng giới hạn, tài khoản/thiết bị bị khoá tạm thời và bắt buộc xác thực lại bằng OTP (BRL-16, NFR-01); thông báo rõ cho khách lý do khoá và cách mở khoá.</t>
        </is>
      </c>
      <c r="K49" s="16" t="inlineStr">
        <is>
          <t>Giới hạn thử sai phải được thực thi trên cả OTP và PIN (BR-11).</t>
        </is>
      </c>
      <c r="L49" s="16" t="inlineStr">
        <is>
          <t>QnA-03</t>
        </is>
      </c>
      <c r="M49" s="16" t="inlineStr">
        <is>
          <t>Con số chính xác N và thời gian khoá vẫn đang chờ Security/Dev (OQ-03/QnA-03) - test này dùng placeholder N và sẽ cập nhật lại khi có giá trị chính thức.</t>
        </is>
      </c>
    </row>
    <row r="50" hidden="1" ht="45.75" customHeight="1" s="19">
      <c r="A50" s="5" t="n">
        <v>48</v>
      </c>
      <c r="B50" s="5" t="inlineStr">
        <is>
          <t>SCR-AUT-06-SC1</t>
        </is>
      </c>
      <c r="C50" s="5" t="inlineStr">
        <is>
          <t>SCR-AUT-06</t>
        </is>
      </c>
      <c r="D50" s="5" t="inlineStr">
        <is>
          <t>LI - Login</t>
        </is>
      </c>
      <c r="E50" s="5" t="inlineStr">
        <is>
          <t>LI-05</t>
        </is>
      </c>
      <c r="F50" s="5" t="inlineStr">
        <is>
          <t>Normal</t>
        </is>
      </c>
      <c r="G50" s="5" t="inlineStr">
        <is>
          <t>Quên PIN: xác thực lại bằng OTP rồi đặt PIN mới.</t>
        </is>
      </c>
      <c r="H50" s="5" t="inlineStr">
        <is>
          <t>Bấm 'Quên PIN', xác thực OTP đúng, đặt PIN mới khác PIN cũ.</t>
        </is>
      </c>
      <c r="I50" s="5" t="inlineStr">
        <is>
          <t>Đang ở màn đăng nhập, chọn 'Quên PIN'.</t>
        </is>
      </c>
      <c r="J50" s="5" t="inlineStr">
        <is>
          <t>SĐT hiển thị dạng che (mask) vì đã được định danh từ bước trước; xác thực OTP đúng là điều kiện bắt buộc TRƯỚC khi cho đặt PIN mới (một thay đổi thông tin xác thực không được phép từ thiết bị chưa xác minh); đặt PIN mới thành công thay thế hoàn toàn PIN cũ.</t>
        </is>
      </c>
      <c r="K50" s="5" t="inlineStr">
        <is>
          <t>Đổi PIN bắt buộc phải qua xác thực OTP, không có đường tắt nào khác.</t>
        </is>
      </c>
      <c r="L50" s="5" t="n"/>
      <c r="M50" s="5" t="n"/>
    </row>
    <row r="51" hidden="1" ht="45.75" customHeight="1" s="19">
      <c r="A51" s="5" t="n">
        <v>49</v>
      </c>
      <c r="B51" s="5" t="inlineStr">
        <is>
          <t>SCR-AUT-06-SC2</t>
        </is>
      </c>
      <c r="C51" s="5" t="inlineStr">
        <is>
          <t>SCR-AUT-06</t>
        </is>
      </c>
      <c r="D51" s="5" t="inlineStr">
        <is>
          <t>LI - Login</t>
        </is>
      </c>
      <c r="E51" s="5" t="inlineStr">
        <is>
          <t>LI-03, LI-05</t>
        </is>
      </c>
      <c r="F51" s="5" t="inlineStr">
        <is>
          <t>Functional</t>
        </is>
      </c>
      <c r="G51" s="5" t="inlineStr">
        <is>
          <t>Sau khi đặt lại PIN thành công, tự động đăng nhập và resume thao tác; bio ticket không bị ảnh hưởng.</t>
        </is>
      </c>
      <c r="H51" s="5" t="inlineStr">
        <is>
          <t>Hoàn tất đặt PIN mới, kiểm tra trạng thái đăng nhập và sinh trắc học.</t>
        </is>
      </c>
      <c r="I51" s="5" t="inlineStr">
        <is>
          <t>Đã hoàn tất xác thực OTP và đặt PIN mới.</t>
        </is>
      </c>
      <c r="J51" s="5" t="inlineStr">
        <is>
          <t>Khách được đăng nhập ngay không cần bước thêm; thao tác ban đầu (thêm sản phẩm/mở Cart) được resume tự động; sinh trắc học đã bật trước đó (nếu có) KHÔNG bị thu hồi bởi việc đổi PIN.</t>
        </is>
      </c>
      <c r="K51" s="5" t="inlineStr">
        <is>
          <t>Reset PIN không làm mất trạng thái bio ticket đã thiết lập.</t>
        </is>
      </c>
      <c r="L51" s="5" t="n"/>
      <c r="M51" s="5" t="n"/>
    </row>
    <row r="52" hidden="1" ht="45.75" customHeight="1" s="19">
      <c r="A52" s="16" t="n">
        <v>50</v>
      </c>
      <c r="B52" s="16" t="inlineStr">
        <is>
          <t>SCR-CRT-01-SC1</t>
        </is>
      </c>
      <c r="C52" s="16" t="inlineStr">
        <is>
          <t>SCR-CRT-01</t>
        </is>
      </c>
      <c r="D52" s="16" t="inlineStr">
        <is>
          <t>CT - Cart</t>
        </is>
      </c>
      <c r="E52" s="16" t="inlineStr">
        <is>
          <t>CT-03</t>
        </is>
      </c>
      <c r="F52" s="16" t="inlineStr">
        <is>
          <t>Functional</t>
        </is>
      </c>
      <c r="G52" s="16" t="inlineStr">
        <is>
          <t>Xem tiến độ Freeship (Standard) và thêm sản phẩm để đạt ngưỡng.</t>
        </is>
      </c>
      <c r="H52" s="16" t="inlineStr">
        <is>
          <t>Giỏ hàng đang ở 117.000đ, thiếu 33.000đ để đạt 150.000đ.</t>
        </is>
      </c>
      <c r="I52" s="16" t="inlineStr">
        <is>
          <t>Đang ở Cart, tab Delivery/Standard, giỏ hàng chưa đạt ngưỡng freeship.</t>
        </is>
      </c>
      <c r="J52" s="16" t="inlineStr">
        <is>
          <t>Thanh tiến độ hiện rõ số tiền còn thiếu ('Còn 33.000đ để được miễn phí giao hàng' - BRL-19); danh sách sản phẩm gợi ý để mua thêm được hiển thị.</t>
        </is>
      </c>
      <c r="K52" s="16" t="inlineStr">
        <is>
          <t>Tiến độ freeship tính đúng theo BRL-19 (ngưỡng 150.000đ).</t>
        </is>
      </c>
      <c r="L52" s="16" t="inlineStr">
        <is>
          <t>QnA-15</t>
        </is>
      </c>
      <c r="M52" s="16" t="inlineStr">
        <is>
          <t>Logic chọn sản phẩm nào để gợi ý (suggestion logic) vẫn là OQ-15/QnA-15, chưa có quy tắc chính thức.</t>
        </is>
      </c>
    </row>
    <row r="53" hidden="1" ht="45.75" customHeight="1" s="19">
      <c r="A53" s="5" t="n">
        <v>51</v>
      </c>
      <c r="B53" s="5" t="inlineStr">
        <is>
          <t>SCR-CRT-01-SC2</t>
        </is>
      </c>
      <c r="C53" s="5" t="inlineStr">
        <is>
          <t>SCR-CRT-01</t>
        </is>
      </c>
      <c r="D53" s="5" t="inlineStr">
        <is>
          <t>CT - Cart</t>
        </is>
      </c>
      <c r="E53" s="5" t="inlineStr">
        <is>
          <t>CT-04</t>
        </is>
      </c>
      <c r="F53" s="5" t="inlineStr">
        <is>
          <t>Functional</t>
        </is>
      </c>
      <c r="G53" s="5" t="inlineStr">
        <is>
          <t>Lọc danh sách sản phẩm trong Cart theo 2 bộ lọc độc lập: 60-Minute eligible và BNPL eligible.</t>
        </is>
      </c>
      <c r="H53" s="5" t="inlineStr">
        <is>
          <t>Bật riêng lọc 60-Minute, rồi bật thêm cả lọc BNPL.</t>
        </is>
      </c>
      <c r="I53" s="5" t="inlineStr">
        <is>
          <t>Giỏ hàng có cả sản phẩm chỉ hợp lệ 60-Minute, chỉ hợp lệ BNPL, và cả hai.</t>
        </is>
      </c>
      <c r="J53" s="5" t="inlineStr">
        <is>
          <t>2 bộ lọc hoạt động độc lập và KẾT HỢP được với nhau (AND); danh sách cập nhật đúng theo từng tổ hợp bật/tắt.</t>
        </is>
      </c>
      <c r="K53" s="5" t="inlineStr">
        <is>
          <t>Kết quả lọc đúng với cả 4 tổ hợp (không bật, chỉ 60-Minute, chỉ BNPL, cả hai).</t>
        </is>
      </c>
      <c r="L53" s="5" t="n"/>
      <c r="M53" s="5" t="n"/>
    </row>
    <row r="54" hidden="1" ht="45.75" customHeight="1" s="19">
      <c r="A54" s="16" t="n">
        <v>52</v>
      </c>
      <c r="B54" s="16" t="inlineStr">
        <is>
          <t>SCR-CRT-01-SC3</t>
        </is>
      </c>
      <c r="C54" s="16" t="inlineStr">
        <is>
          <t>SCR-CRT-01</t>
        </is>
      </c>
      <c r="D54" s="16" t="inlineStr">
        <is>
          <t>CT - Cart</t>
        </is>
      </c>
      <c r="E54" s="16" t="inlineStr">
        <is>
          <t>CT-06</t>
        </is>
      </c>
      <c r="F54" s="16" t="inlineStr">
        <is>
          <t>Edge</t>
        </is>
      </c>
      <c r="G54" s="16" t="inlineStr">
        <is>
          <t>Sản phẩm hết hàng được tách riêng vào nhóm 'không khả dụng', phần còn lại vẫn thanh toán được.</t>
        </is>
      </c>
      <c r="H54" s="16" t="inlineStr">
        <is>
          <t>1 trong 3 sản phẩm trong giỏ bị hết hàng.</t>
        </is>
      </c>
      <c r="I54" s="16" t="inlineStr">
        <is>
          <t>Giỏ hàng có ít nhất 1 SKU chuyển sang hết hàng giữa chừng.</t>
        </is>
      </c>
      <c r="J54" s="16" t="inlineStr">
        <is>
          <t>SKU hết hàng được CHUYỂN sang nhóm riêng (không còn nằm chung với các sản phẩm còn lại), có đề xuất sản phẩm thay thế hoặc đăng ký báo khi có hàng; các sản phẩm còn lại VẪN thanh toán được bình thường.</t>
        </is>
      </c>
      <c r="K54" s="16" t="inlineStr">
        <is>
          <t>Tách nhóm không làm gián đoạn checkout của phần còn lại.</t>
        </is>
      </c>
      <c r="L54" s="16" t="inlineStr">
        <is>
          <t>QnA-05</t>
        </is>
      </c>
      <c r="M54" s="16" t="inlineStr">
        <is>
          <t>Thời gian giữ SKU hết hàng trong nhóm riêng trước khi bị loại hẳn vẫn là OQ-05/QnA-05.</t>
        </is>
      </c>
    </row>
    <row r="55" hidden="1" ht="45.75" customHeight="1" s="19">
      <c r="A55" s="16" t="n">
        <v>53</v>
      </c>
      <c r="B55" s="16" t="inlineStr">
        <is>
          <t>SCR-CRT-01-SC4</t>
        </is>
      </c>
      <c r="C55" s="16" t="inlineStr">
        <is>
          <t>SCR-CRT-01</t>
        </is>
      </c>
      <c r="D55" s="16" t="inlineStr">
        <is>
          <t>CT - Cart</t>
        </is>
      </c>
      <c r="E55" s="16" t="inlineStr">
        <is>
          <t>CT-06</t>
        </is>
      </c>
      <c r="F55" s="16" t="inlineStr">
        <is>
          <t>Boundary</t>
        </is>
      </c>
      <c r="G55" s="16" t="inlineStr">
        <is>
          <t>Ưu đãi PwP ('Mua Kèm Deal Sốc') hết hạn sau thời gian đếm ngược hiện trên Figma.</t>
        </is>
      </c>
      <c r="H55" s="16" t="inlineStr">
        <is>
          <t>Chờ đồng hồ đếm ngược của 1 ô PwP chạy về 0.</t>
        </is>
      </c>
      <c r="I55" s="16" t="inlineStr">
        <is>
          <t>Giỏ hàng đang hiện 1 ô PwP với đồng hồ đếm ngược (ví dụ còn 30 phút).</t>
        </is>
      </c>
      <c r="J55" s="16" t="inlineStr">
        <is>
          <t>Sau khi đếm ngược về 0, ưu đãi PwP đó KHÔNG còn áp dụng được/biến mất khỏi Cart (hành vi cụ thể đang chờ BA xác nhận - QnA-28, hiện SRS CT-06/BRL-32 chưa mô tả cơ chế đếm ngược này).</t>
        </is>
      </c>
      <c r="K55" s="16" t="inlineStr">
        <is>
          <t>TBD - cần BA xác nhận hành vi chính xác khi hết đếm ngược trước khi chốt Expected Result.</t>
        </is>
      </c>
      <c r="L55" s="16" t="inlineStr">
        <is>
          <t>QnA-28</t>
        </is>
      </c>
      <c r="M55" s="16" t="inlineStr">
        <is>
          <t>Toàn bộ cơ chế đếm ngược của PwP CHƯA có trong SRS - test case này đánh dấu TBD cho đến khi QnA-28 được trả lời.</t>
        </is>
      </c>
    </row>
    <row r="56" hidden="1" ht="45.75" customHeight="1" s="19">
      <c r="A56" s="16" t="n">
        <v>54</v>
      </c>
      <c r="B56" s="16" t="inlineStr">
        <is>
          <t>SCR-CRT-01-SC5</t>
        </is>
      </c>
      <c r="C56" s="16" t="inlineStr">
        <is>
          <t>SCR-CRT-01</t>
        </is>
      </c>
      <c r="D56" s="16" t="inlineStr">
        <is>
          <t>CT - Cart</t>
        </is>
      </c>
      <c r="E56" s="16" t="inlineStr">
        <is>
          <t>CT-06</t>
        </is>
      </c>
      <c r="F56" s="16" t="inlineStr">
        <is>
          <t>Boundary</t>
        </is>
      </c>
      <c r="G56" s="16" t="inlineStr">
        <is>
          <t>Quà tặng (gift item) đi kèm khuyến mãi bị hết hàng.</t>
        </is>
      </c>
      <c r="H56" s="16" t="inlineStr">
        <is>
          <t>1 gift item gắn với 1 CTKM trong giỏ hàng chuyển sang hết hàng.</t>
        </is>
      </c>
      <c r="I56" s="16" t="inlineStr">
        <is>
          <t>Giỏ hàng có 1 sản phẩm chính kèm 1 gift item (quà tặng) do khuyến mãi, gift item hết hàng giữa chừng.</t>
        </is>
      </c>
      <c r="J56" s="16" t="inlineStr">
        <is>
          <t>TBD - SRS/BRL-34 không nêu rõ quy tắc khi quà tặng hết hàng (huỷ cả khuyến mãi? bỏ quà tặng nhưng giữ khuyến mãi khác? báo lỗi chặn checkout?). Ghi nhận hành vi thực tế, đối chiếu QnA-22 khi có câu trả lời.</t>
        </is>
      </c>
      <c r="K56" s="16" t="inlineStr">
        <is>
          <t>TBD - cần câu trả lời QnA-22 trước khi chốt Acceptance Criteria.</t>
        </is>
      </c>
      <c r="L56" s="16" t="inlineStr">
        <is>
          <t>QnA-22</t>
        </is>
      </c>
      <c r="M56" s="16" t="inlineStr">
        <is>
          <t>Bổ sung theo Review 26/08/2026 - phát hiện từ Review - Gaps &amp; Issues (QnA-22 chưa gắn test case nào).</t>
        </is>
      </c>
    </row>
    <row r="57" hidden="1" ht="45.75" customHeight="1" s="19">
      <c r="A57" s="16" t="n">
        <v>55</v>
      </c>
      <c r="B57" s="16" t="inlineStr">
        <is>
          <t>SCR-CRT-01-SC6</t>
        </is>
      </c>
      <c r="C57" s="16" t="inlineStr">
        <is>
          <t>SCR-CRT-01</t>
        </is>
      </c>
      <c r="D57" s="16" t="inlineStr">
        <is>
          <t>CT - Cart</t>
        </is>
      </c>
      <c r="E57" s="16" t="inlineStr">
        <is>
          <t>CT-02</t>
        </is>
      </c>
      <c r="F57" s="16" t="inlineStr">
        <is>
          <t>Edge</t>
        </is>
      </c>
      <c r="G57" s="16" t="inlineStr">
        <is>
          <t>SKU chỉ hỗ trợ 1 trong 2 hình thức (chỉ Delivery HOẶC chỉ Pickup) xuất hiện trong giỏ khi khách đang ở hình thức còn lại.</t>
        </is>
      </c>
      <c r="H57" s="16" t="inlineStr">
        <is>
          <t>SKU-DeliveryOnly được thêm vào giỏ, sau đó khách chuyển sang tab Pickup.</t>
        </is>
      </c>
      <c r="I57" s="16" t="inlineStr">
        <is>
          <t>Giỏ hàng có ít nhất 1 SKU được cấu hình chỉ hỗ trợ 1 hình thức (theo giả định QnA-14).</t>
        </is>
      </c>
      <c r="J57" s="16" t="inlineStr">
        <is>
          <t>TBD - SRS không xác nhận có tồn tại SKU giới hạn hình thức hay không (QnA-14 đang Open). Nếu có, ghi nhận hành vi: SKU bị ẩn/disable/báo lỗi khi ở tab không được hỗ trợ. Đối chiếu lại khi QnA-14 có câu trả lời.</t>
        </is>
      </c>
      <c r="K57" s="16" t="inlineStr">
        <is>
          <t>TBD - cần câu trả lời QnA-14 trước khi chốt Acceptance Criteria; nếu câu trả lời là 'không có SKU nào bị giới hạn', test case này có thể đóng/loại bỏ.</t>
        </is>
      </c>
      <c r="L57" s="16" t="inlineStr">
        <is>
          <t>QnA-14</t>
        </is>
      </c>
      <c r="M57" s="16" t="inlineStr">
        <is>
          <t>Bổ sung theo Review 26/08/2026 - phát hiện từ Review - Gaps &amp; Issues.</t>
        </is>
      </c>
    </row>
    <row r="58" hidden="1" ht="45.75" customHeight="1" s="19">
      <c r="A58" s="16" t="n">
        <v>56</v>
      </c>
      <c r="B58" s="16" t="inlineStr">
        <is>
          <t>SCR-CRT-02-SC1</t>
        </is>
      </c>
      <c r="C58" s="16" t="inlineStr">
        <is>
          <t>SCR-CRT-02</t>
        </is>
      </c>
      <c r="D58" s="16" t="inlineStr">
        <is>
          <t>CT - Cart</t>
        </is>
      </c>
      <c r="E58" s="16" t="inlineStr">
        <is>
          <t>CT-08</t>
        </is>
      </c>
      <c r="F58" s="16" t="inlineStr">
        <is>
          <t>Boundary</t>
        </is>
      </c>
      <c r="G58" s="16" t="inlineStr">
        <is>
          <t>Phí 60-Minute là phí cố định, KHÔNG được miễn theo giá trị đơn hàng.</t>
        </is>
      </c>
      <c r="H58" s="16" t="inlineStr">
        <is>
          <t>Giỏ hàng đạt &gt;=150.000đ nhưng chọn dịch vụ 60-Minute.</t>
        </is>
      </c>
      <c r="I58" s="16" t="inlineStr">
        <is>
          <t>Địa chỉ trong bán kính 60-Minute (3-5km), giỏ hàng &gt;=150.000đ.</t>
        </is>
      </c>
      <c r="J58" s="16" t="inlineStr">
        <is>
          <t>Phí 60-Minute VẪN được thu dù đơn hàng đã vượt ngưỡng freeship Standard (150.000đ chỉ miễn phí cho Standard - BRL-18/19); chỉ coupon giao hàng phủ hết toàn bộ phí mới miễn được.</t>
        </is>
      </c>
      <c r="K58" s="16" t="inlineStr">
        <is>
          <t>Freeship threshold của Standard KHÔNG áp dụng cho 60-Minute.</t>
        </is>
      </c>
      <c r="L58" s="16" t="inlineStr">
        <is>
          <t>QnA-33</t>
        </is>
      </c>
      <c r="M58" s="16" t="inlineStr">
        <is>
          <t>Các màn hình chọn khung giờ trên Figma cho thấy phí giao hàng có thể khác nhau theo từng khung giờ Standard, mâu thuẫn tiềm ẩn với BRL-19 - xem QnA-33.</t>
        </is>
      </c>
    </row>
    <row r="59" hidden="1" ht="45.75" customHeight="1" s="19">
      <c r="A59" s="5" t="n">
        <v>57</v>
      </c>
      <c r="B59" s="5" t="inlineStr">
        <is>
          <t>SCR-CRT-02-SC2</t>
        </is>
      </c>
      <c r="C59" s="5" t="inlineStr">
        <is>
          <t>SCR-CRT-02</t>
        </is>
      </c>
      <c r="D59" s="5" t="inlineStr">
        <is>
          <t>CT - Cart</t>
        </is>
      </c>
      <c r="E59" s="5" t="inlineStr">
        <is>
          <t>CT-08</t>
        </is>
      </c>
      <c r="F59" s="5" t="inlineStr">
        <is>
          <t>Boundary</t>
        </is>
      </c>
      <c r="G59" s="5" t="inlineStr">
        <is>
          <t>Cảnh báo khi số slot 60-Minute còn lại chạm ngưỡng cấu hình (hiện tại là 1).</t>
        </is>
      </c>
      <c r="H59" s="5" t="inlineStr">
        <is>
          <t>Slot 60-Minute còn lại = 1 (bằng ngưỡng).</t>
        </is>
      </c>
      <c r="I59" s="5" t="inlineStr">
        <is>
          <t>Store còn đúng 1 slot 60-Minute cho khung giờ đang chọn.</t>
        </is>
      </c>
      <c r="J59" s="5" t="inlineStr">
        <is>
          <t>Cảnh báo hiện NGAY trong Cart khi còn lại &lt;= ngưỡng (hiện là 1 - BRL-20), nói rõ hệ quả (ví dụ 'chỉ còn 1 chỗ'); ngưỡng này là tham số cấu hình, có thể tăng lên (ví dụ 5) mà không đổi flow.</t>
        </is>
      </c>
      <c r="K59" s="5" t="inlineStr">
        <is>
          <t>Cảnh báo phải xuất hiện đúng thời điểm chạm ngưỡng, không sớm hơn không muộn hơn.</t>
        </is>
      </c>
      <c r="L59" s="5" t="n"/>
      <c r="M59" s="5" t="n"/>
    </row>
    <row r="60" hidden="1" ht="45.75" customHeight="1" s="19">
      <c r="A60" s="16" t="n">
        <v>58</v>
      </c>
      <c r="B60" s="16" t="inlineStr">
        <is>
          <t>SCR-CRT-03-SC1</t>
        </is>
      </c>
      <c r="C60" s="16" t="inlineStr">
        <is>
          <t>SCR-CRT-03</t>
        </is>
      </c>
      <c r="D60" s="16" t="inlineStr">
        <is>
          <t>CT - Cart</t>
        </is>
      </c>
      <c r="E60" s="16" t="inlineStr">
        <is>
          <t>CT-08</t>
        </is>
      </c>
      <c r="F60" s="16" t="inlineStr">
        <is>
          <t>Functional</t>
        </is>
      </c>
      <c r="G60" s="16" t="inlineStr">
        <is>
          <t>Địa chỉ thuộc vùng Next-day chỉ chọn được NGÀY giao (không có khung giờ).</t>
        </is>
      </c>
      <c r="H60" s="16" t="inlineStr">
        <is>
          <t>Chọn 1 ngày giao hợp lệ trong danh sách.</t>
        </is>
      </c>
      <c r="I60" s="16" t="inlineStr">
        <is>
          <t>Địa chỉ nằm ngoài bán kính Standard, trong 1 khu vực Next-day đã cấu hình.</t>
        </is>
      </c>
      <c r="J60" s="16" t="inlineStr">
        <is>
          <t>Màn hình chỉ hiện bộ chọn NGÀY (không có slot giờ); các ngày không khả dụng hiện dạng disabled (không bị ẩn) để khách hiểu lý do.</t>
        </is>
      </c>
      <c r="K60" s="16" t="inlineStr">
        <is>
          <t>Next-day luôn là chọn-ngày, không bao giờ là chọn-giờ.</t>
        </is>
      </c>
      <c r="L60" s="16" t="inlineStr">
        <is>
          <t>QnA-09</t>
        </is>
      </c>
      <c r="M60" s="16" t="inlineStr">
        <is>
          <t>Vùng phủ Next-day có đủ toàn bộ VN hay không vẫn là OQ-09/QnA-09.</t>
        </is>
      </c>
    </row>
    <row r="61" hidden="1" ht="45.75" customHeight="1" s="19">
      <c r="A61" s="5" t="n">
        <v>59</v>
      </c>
      <c r="B61" s="5" t="inlineStr">
        <is>
          <t>SCR-CRT-03-SC2</t>
        </is>
      </c>
      <c r="C61" s="5" t="inlineStr">
        <is>
          <t>SCR-CRT-03</t>
        </is>
      </c>
      <c r="D61" s="5" t="inlineStr">
        <is>
          <t>CT - Cart</t>
        </is>
      </c>
      <c r="E61" s="5" t="inlineStr">
        <is>
          <t>CT-08</t>
        </is>
      </c>
      <c r="F61" s="5" t="inlineStr">
        <is>
          <t>Boundary</t>
        </is>
      </c>
      <c r="G61" s="5" t="inlineStr">
        <is>
          <t>Đơn hàng bulky (nặng &gt;15kg HOẶC có sản phẩm gắn nhãn bulky) đẩy ngày giao từ T+2 sang T+4 và cộng thêm phụ phí.</t>
        </is>
      </c>
      <c r="H61" s="5" t="inlineStr">
        <is>
          <t>Giỏ hàng có tổng trọng lượng &gt;15kg (hoặc có 1 SKU 'bulky').</t>
        </is>
      </c>
      <c r="I61" s="5" t="inlineStr">
        <is>
          <t>Đang chọn ngày giao cho đơn hàng được xác định là bulky.</t>
        </is>
      </c>
      <c r="J61" s="5" t="inlineStr">
        <is>
          <t>Các ngày trước T+4 bị disable (thay vì T+2 cho đơn thường); màn hình nêu rõ SKU nào khiến đơn thành bulky; phụ phí bulky được cộng THÊM trên phí dịch vụ đã chọn và KHÔNG được miễn bởi ngưỡng freeship (BRL-22/23).</t>
        </is>
      </c>
      <c r="K61" s="5" t="inlineStr">
        <is>
          <t>Xác định bulky tính trên TỔ HỢP sản phẩm đã chọn, không phải trên từng SKU riêng lẻ.</t>
        </is>
      </c>
      <c r="L61" s="5" t="n"/>
      <c r="M61" s="5" t="n"/>
    </row>
    <row r="62" hidden="1" ht="45.75" customHeight="1" s="19">
      <c r="A62" s="5" t="n">
        <v>60</v>
      </c>
      <c r="B62" s="5" t="inlineStr">
        <is>
          <t>SCR-CRT-03-SC3</t>
        </is>
      </c>
      <c r="C62" s="5" t="inlineStr">
        <is>
          <t>SCR-CRT-03</t>
        </is>
      </c>
      <c r="D62" s="5" t="inlineStr">
        <is>
          <t>CT - Cart</t>
        </is>
      </c>
      <c r="E62" s="5" t="inlineStr">
        <is>
          <t>CT-08</t>
        </is>
      </c>
      <c r="F62" s="5" t="inlineStr">
        <is>
          <t>Edge</t>
        </is>
      </c>
      <c r="G62" s="5" t="inlineStr">
        <is>
          <t>Bỏ bớt sản phẩm 'bulky' khỏi giỏ khiến đơn trở lại T+2 (đánh giá lại tự động).</t>
        </is>
      </c>
      <c r="H62" s="5" t="inlineStr">
        <is>
          <t>Xoá SKU 'bulky' duy nhất khỏi giỏ hàng.</t>
        </is>
      </c>
      <c r="I62" s="5" t="inlineStr">
        <is>
          <t>Đơn đang ở trạng thái bulky (T+4) do 1 SKU gắn nhãn bulky.</t>
        </is>
      </c>
      <c r="J62" s="5" t="inlineStr">
        <is>
          <t>Ngày sớm nhất có thể chọn quay lại T+2 NGAY sau khi xoá SKU đó (quy tắc bulky được đánh giá lại mỗi khi thay đổi lựa chọn sản phẩm, không phải 1 lần cố định).</t>
        </is>
      </c>
      <c r="K62" s="5" t="inlineStr">
        <is>
          <t>Đánh giá lại bulky là real-time theo lựa chọn hiện tại.</t>
        </is>
      </c>
      <c r="L62" s="5" t="n"/>
      <c r="M62" s="5" t="n"/>
    </row>
    <row r="63" hidden="1" ht="45.75" customHeight="1" s="19">
      <c r="A63" s="5" t="n">
        <v>61</v>
      </c>
      <c r="B63" s="5" t="inlineStr">
        <is>
          <t>SCR-CRT-04-SC1</t>
        </is>
      </c>
      <c r="C63" s="5" t="inlineStr">
        <is>
          <t>SCR-CRT-04</t>
        </is>
      </c>
      <c r="D63" s="5" t="inlineStr">
        <is>
          <t>CT - Cart</t>
        </is>
      </c>
      <c r="E63" s="5" t="inlineStr">
        <is>
          <t>CT-02, CT-09</t>
        </is>
      </c>
      <c r="F63" s="5" t="inlineStr">
        <is>
          <t>Functional</t>
        </is>
      </c>
      <c r="G63" s="5" t="inlineStr">
        <is>
          <t>Nhập thông tin người nhận hàng (Pickup) khác với chủ tài khoản.</t>
        </is>
      </c>
      <c r="H63" s="5" t="inlineStr">
        <is>
          <t>Nhập tên/SĐT người nhận khác tên/SĐT tài khoản đang đăng nhập.</t>
        </is>
      </c>
      <c r="I63" s="5" t="inlineStr">
        <is>
          <t>Đang ở tab 'Tự đến lấy' (Pickup) trong Cart.</t>
        </is>
      </c>
      <c r="J63" s="5" t="inlineStr">
        <is>
          <t>Tên và SĐT người đến nhận được nhập RIÊNG, độc lập với hồ sơ tài khoản (BRL-30) - không bị ghi đè hay validate trùng khớp với profile.</t>
        </is>
      </c>
      <c r="K63" s="5" t="inlineStr">
        <is>
          <t>Người nhận có thể khác hoàn toàn chủ tài khoản.</t>
        </is>
      </c>
      <c r="L63" s="5" t="n"/>
      <c r="M63" s="5" t="n"/>
    </row>
    <row r="64" hidden="1" ht="45.75" customHeight="1" s="19">
      <c r="A64" s="5" t="n">
        <v>62</v>
      </c>
      <c r="B64" s="5" t="inlineStr">
        <is>
          <t>SCR-CRT-04-SC2</t>
        </is>
      </c>
      <c r="C64" s="5" t="inlineStr">
        <is>
          <t>SCR-CRT-04</t>
        </is>
      </c>
      <c r="D64" s="5" t="inlineStr">
        <is>
          <t>CT - Cart</t>
        </is>
      </c>
      <c r="E64" s="5" t="inlineStr">
        <is>
          <t>CT-09</t>
        </is>
      </c>
      <c r="F64" s="5" t="inlineStr">
        <is>
          <t>Functional</t>
        </is>
      </c>
      <c r="G64" s="5" t="inlineStr">
        <is>
          <t>Thanh toán tiền mặt khi Pickup CHỈ khả dụng cho hạng Platinum/Diamond.</t>
        </is>
      </c>
      <c r="H64" s="5" t="inlineStr">
        <is>
          <t>Tài khoản tier Platinum thử chọn tiền mặt; tài khoản tier thường thử chọn tiền mặt.</t>
        </is>
      </c>
      <c r="I64" s="5" t="inlineStr">
        <is>
          <t>2 tài khoản test: 1 Platinum, 1 tier thường (ví dụ Bạc/không tier).</t>
        </is>
      </c>
      <c r="J64" s="5" t="inlineStr">
        <is>
          <t>Với tài khoản Platinum/Diamond: tuỳ chọn tiền mặt hiện và chọn được. Với tài khoản tier thường: tuỳ chọn tiền mặt KHÔNG hiện (ẩn hoàn toàn, không phải disabled mờ) - đây là thay đổi so với As-Is (BRL-29).</t>
        </is>
      </c>
      <c r="K64" s="5" t="inlineStr">
        <is>
          <t>Tính đủ điều kiện theo tier phải chính xác, không lộ tuỳ chọn cho tier không đủ điều kiện.</t>
        </is>
      </c>
      <c r="L64" s="5" t="n"/>
      <c r="M64" s="5" t="n"/>
    </row>
    <row r="65" hidden="1" ht="45.75" customHeight="1" s="19">
      <c r="A65" s="16" t="n">
        <v>63</v>
      </c>
      <c r="B65" s="16" t="inlineStr">
        <is>
          <t>SCR-CRT-04-SC3</t>
        </is>
      </c>
      <c r="C65" s="16" t="inlineStr">
        <is>
          <t>SCR-CRT-04</t>
        </is>
      </c>
      <c r="D65" s="16" t="inlineStr">
        <is>
          <t>CT - Cart</t>
        </is>
      </c>
      <c r="E65" s="16" t="inlineStr">
        <is>
          <t>CT-10</t>
        </is>
      </c>
      <c r="F65" s="16" t="inlineStr">
        <is>
          <t>Edge</t>
        </is>
      </c>
      <c r="G65" s="16" t="inlineStr">
        <is>
          <t>Kiểm tra 2 hành trình locker khác nhau: locker gần nhà (thuộc Delivery) và locker tại store (thuộc Pickup).</t>
        </is>
      </c>
      <c r="H65" s="16" t="inlineStr">
        <is>
          <t>Chọn locker gần nhà từ tab Delivery; riêng chọn locker tại store từ tab Pickup.</t>
        </is>
      </c>
      <c r="I65" s="16" t="inlineStr">
        <is>
          <t>Đang ở Cart, cả 2 tab Delivery và Pickup đều có tuỳ chọn locker.</t>
        </is>
      </c>
      <c r="J65" s="16" t="inlineStr">
        <is>
          <t>Locker gần nhà hiện thông tin: thời gian dự kiến, tên/địa chỉ locker gần nhà khách; locker tại store hiện: thời gian dự kiến, vị trí locker trong store. 2 luồng không bị lẫn sang nhau.</t>
        </is>
      </c>
      <c r="K65" s="16" t="inlineStr">
        <is>
          <t>Phân biệt đúng 2 loại locker theo đúng nhánh Delivery/Pickup.</t>
        </is>
      </c>
      <c r="L65" s="16" t="inlineStr">
        <is>
          <t>QnA-23, QnA-31</t>
        </is>
      </c>
      <c r="M65" s="16" t="inlineStr">
        <is>
          <t>OQ-23/QnA-23: quy tắc đầy đủ (chọn lựa, thời gian giữ, phí, xử lý không đến nhận) vẫn còn mở. QnA-31: Figma đã có UI locker khá đầy đủ, cần xác nhận đây có phải bản chính thức.</t>
        </is>
      </c>
    </row>
    <row r="66" hidden="1" ht="45.75" customHeight="1" s="19">
      <c r="A66" s="5" t="n">
        <v>64</v>
      </c>
      <c r="B66" s="5" t="inlineStr">
        <is>
          <t>SCR-CRT-04-SC4</t>
        </is>
      </c>
      <c r="C66" s="5" t="inlineStr">
        <is>
          <t>SCR-CRT-04</t>
        </is>
      </c>
      <c r="D66" s="5" t="inlineStr">
        <is>
          <t>CT - Cart</t>
        </is>
      </c>
      <c r="E66" s="5" t="inlineStr">
        <is>
          <t>CT-09</t>
        </is>
      </c>
      <c r="F66" s="5" t="inlineStr">
        <is>
          <t>Boundary</t>
        </is>
      </c>
      <c r="G66" s="5" t="inlineStr">
        <is>
          <t>Kiểm tra 3 trạng thái hiển thị của slot Pickup: Open / Closing soon / Closed.</t>
        </is>
      </c>
      <c r="H66" s="5" t="inlineStr">
        <is>
          <t>3 slot mẫu: slot A còn nhiều chỗ, slot B sắp hết chỗ (chạm ngưỡng cảnh báo), slot C đã hết chỗ.</t>
        </is>
      </c>
      <c r="I66" s="5" t="inlineStr">
        <is>
          <t>Đang ở tab Pickup trong Cart, chọn màn hình chọn slot.</t>
        </is>
      </c>
      <c r="J66" s="5" t="inlineStr">
        <is>
          <t>Slot A hiện trạng thái Open (chọn được); Slot B hiện Closing soon kèm cảnh báo (vẫn chọn được); Slot C hiện Closed (không chọn được, disabled). 3 trạng thái loại trừ lẫn nhau, đúng theo BRL-28.</t>
        </is>
      </c>
      <c r="K66" s="5" t="inlineStr">
        <is>
          <t>Đúng 3 trạng thái slot Pickup theo capacity, không lẫn giữa các trạng thái.</t>
        </is>
      </c>
      <c r="L66" s="5" t="n"/>
      <c r="M66" s="5" t="inlineStr">
        <is>
          <t>Bổ sung theo Review 26/08/2026 - Delivery-side đã có test tương tự cho 60-Minute (SCR-CRT-02-SC2) nhưng Pickup-side (BRL-28) chưa có, đây là gap được ghi trong Review - Gaps &amp; Issues.</t>
        </is>
      </c>
    </row>
    <row r="67" hidden="1" ht="45.75" customHeight="1" s="19">
      <c r="A67" s="5" t="n">
        <v>65</v>
      </c>
      <c r="B67" s="5" t="inlineStr">
        <is>
          <t>SCR-CRT-05-SC1</t>
        </is>
      </c>
      <c r="C67" s="5" t="inlineStr">
        <is>
          <t>SCR-CRT-05</t>
        </is>
      </c>
      <c r="D67" s="5" t="inlineStr">
        <is>
          <t>CT - Cart</t>
        </is>
      </c>
      <c r="E67" s="5" t="inlineStr">
        <is>
          <t>CT-05</t>
        </is>
      </c>
      <c r="F67" s="5" t="inlineStr">
        <is>
          <t>Functional</t>
        </is>
      </c>
      <c r="G67" s="5" t="inlineStr">
        <is>
          <t>Vuốt (swipe) sản phẩm sang trái để xoá - phải qua màn hình xác nhận.</t>
        </is>
      </c>
      <c r="H67" s="5" t="inlineStr">
        <is>
          <t>Vuốt trái 1 dòng sản phẩm, bấm Confirm trên dialog.</t>
        </is>
      </c>
      <c r="I67" s="5" t="inlineStr">
        <is>
          <t>Giỏ hàng có ít nhất 1 sản phẩm.</t>
        </is>
      </c>
      <c r="J67" s="5" t="inlineStr">
        <is>
          <t>Vuốt trái hiện nút Xoá nhưng KHÔNG xoá ngay; bấm Xoá mở dialog xác nhận 'Bạn chắc chắn muốn xoá sản phẩm này?' với No/Confirm; chỉ Confirm mới thực sự xoá.</t>
        </is>
      </c>
      <c r="K67" s="5" t="inlineStr">
        <is>
          <t>Không có thao tác xoá tức thì nào bỏ qua được dialog xác nhận.</t>
        </is>
      </c>
      <c r="L67" s="5" t="n"/>
      <c r="M67" s="5" t="n"/>
    </row>
    <row r="68" hidden="1" ht="45.75" customHeight="1" s="19">
      <c r="A68" s="5" t="n">
        <v>66</v>
      </c>
      <c r="B68" s="5" t="inlineStr">
        <is>
          <t>SCR-CRT-05-SC2</t>
        </is>
      </c>
      <c r="C68" s="5" t="inlineStr">
        <is>
          <t>SCR-CRT-05</t>
        </is>
      </c>
      <c r="D68" s="5" t="inlineStr">
        <is>
          <t>CT - Cart</t>
        </is>
      </c>
      <c r="E68" s="5" t="inlineStr">
        <is>
          <t>CT-05</t>
        </is>
      </c>
      <c r="F68" s="5" t="inlineStr">
        <is>
          <t>Functional</t>
        </is>
      </c>
      <c r="G68" s="5" t="inlineStr">
        <is>
          <t>Giảm số lượng về 0 kích hoạt CÙNG 1 dialog xác nhận xoá như swipe.</t>
        </is>
      </c>
      <c r="H68" s="5" t="inlineStr">
        <is>
          <t>Giảm số lượng sản phẩm từ 1 xuống 0.</t>
        </is>
      </c>
      <c r="I68" s="5" t="inlineStr">
        <is>
          <t>Sản phẩm đang có số lượng = 1.</t>
        </is>
      </c>
      <c r="J68" s="5" t="inlineStr">
        <is>
          <t>Dialog xác nhận giống hệt trường hợp swipe (cùng nội dung, cùng No/Confirm); bấm No thì số lượng được KHÔI PHỤC về 1 (không giữ ở 0).</t>
        </is>
      </c>
      <c r="K68" s="5" t="inlineStr">
        <is>
          <t>2 cơ chế kích hoạt (swipe, giảm về 0) phải dẫn đến cùng 1 hành vi xác nhận.</t>
        </is>
      </c>
      <c r="L68" s="5" t="n"/>
      <c r="M68" s="5" t="n"/>
    </row>
    <row r="69" hidden="1" ht="45.75" customHeight="1" s="19">
      <c r="A69" s="5" t="n">
        <v>67</v>
      </c>
      <c r="B69" s="5" t="inlineStr">
        <is>
          <t>SCR-CRT-05-SC3</t>
        </is>
      </c>
      <c r="C69" s="5" t="inlineStr">
        <is>
          <t>SCR-CRT-05</t>
        </is>
      </c>
      <c r="D69" s="5" t="inlineStr">
        <is>
          <t>CT - Cart</t>
        </is>
      </c>
      <c r="E69" s="5" t="inlineStr">
        <is>
          <t>CT-05</t>
        </is>
      </c>
      <c r="F69" s="5" t="inlineStr">
        <is>
          <t>Boundary</t>
        </is>
      </c>
      <c r="G69" s="5" t="inlineStr">
        <is>
          <t>Chọn vượt quá 30 sản phẩm cho 1 lần thanh toán bị chặn bằng lỗi và không thể Proceed.</t>
        </is>
      </c>
      <c r="H69" s="5" t="inlineStr">
        <is>
          <t>Chọn 35 sản phẩm (Chọn tất cả), thử bấm Thanh toán.</t>
        </is>
      </c>
      <c r="I69" s="5" t="inlineStr">
        <is>
          <t>Giỏ hàng có &gt;30 sản phẩm có thể chọn.</t>
        </is>
      </c>
      <c r="J69" s="5" t="inlineStr">
        <is>
          <t>Hiện lỗi 'Giỏ hàng đã vượt quá giới hạn tối đa 30 sản phẩm cho 1 đơn hàng' đưa khách về lại bước chọn; bộ đếm số lượng đã chọn/giới hạn hiện rõ (ví dụ 35/30); nút Proceed to Checkout bị khoá cho đến khi giảm về &lt;=30.</t>
        </is>
      </c>
      <c r="K69" s="5" t="inlineStr">
        <is>
          <t>Giới hạn 30 là tham số cấu hình (BRL-31), không hard-code nhưng phải được thực thi đúng.</t>
        </is>
      </c>
      <c r="L69" s="5" t="n"/>
      <c r="M69" s="5" t="inlineStr">
        <is>
          <t>Đã xác nhận qua màn hình Figma thực tế có đúng thông báo lỗi này - dùng làm test data tham chiếu.</t>
        </is>
      </c>
    </row>
    <row r="70" hidden="1" ht="45.75" customHeight="1" s="19">
      <c r="A70" s="5" t="n">
        <v>68</v>
      </c>
      <c r="B70" s="5" t="inlineStr">
        <is>
          <t>SCR-CRT-06-SC1</t>
        </is>
      </c>
      <c r="C70" s="5" t="inlineStr">
        <is>
          <t>SCR-CRT-06</t>
        </is>
      </c>
      <c r="D70" s="5" t="inlineStr">
        <is>
          <t>CT - Cart</t>
        </is>
      </c>
      <c r="E70" s="5" t="inlineStr">
        <is>
          <t>CT-07</t>
        </is>
      </c>
      <c r="F70" s="5" t="inlineStr">
        <is>
          <t>Normal</t>
        </is>
      </c>
      <c r="G70" s="5" t="inlineStr">
        <is>
          <t>Đổi store trong Cart KHÔNG gây ảnh hưởng gì (không sản phẩm/dịch vụ nào bị ảnh hưởng) - đổi ngay không cần xác nhận.</t>
        </is>
      </c>
      <c r="H70" s="5" t="inlineStr">
        <is>
          <t>Chọn 1 store mới mà toàn bộ sản phẩm/dịch vụ/slot vẫn giữ nguyên giá trị hợp lệ.</t>
        </is>
      </c>
      <c r="I70" s="5" t="inlineStr">
        <is>
          <t>Danh sách store trong Cart đã được lọc chỉ còn store phục vụ được địa chỉ hiện tại.</t>
        </is>
      </c>
      <c r="J70" s="5" t="inlineStr">
        <is>
          <t>Vì không có ảnh hưởng ở cả 2 nhóm (sản phẩm, dịch vụ/slot), store ĐƯỢC ĐỔI NGAY, không hiện dialog cảnh báo.</t>
        </is>
      </c>
      <c r="K70" s="5" t="inlineStr">
        <is>
          <t>Chỉ khi có ảnh hưởng mới cần xác nhận - trường hợp này không có ảnh hưởng nên đổi trực tiếp.</t>
        </is>
      </c>
      <c r="L70" s="5" t="n"/>
      <c r="M70" s="5" t="n"/>
    </row>
    <row r="71" hidden="1" ht="45.75" customHeight="1" s="19">
      <c r="A71" s="16" t="n">
        <v>69</v>
      </c>
      <c r="B71" s="16" t="inlineStr">
        <is>
          <t>SCR-CRT-06-SC2</t>
        </is>
      </c>
      <c r="C71" s="16" t="inlineStr">
        <is>
          <t>SCR-CRT-06</t>
        </is>
      </c>
      <c r="D71" s="16" t="inlineStr">
        <is>
          <t>CT - Cart</t>
        </is>
      </c>
      <c r="E71" s="16" t="inlineStr">
        <is>
          <t>CT-07</t>
        </is>
      </c>
      <c r="F71" s="16" t="inlineStr">
        <is>
          <t>Edge</t>
        </is>
      </c>
      <c r="G71" s="16" t="inlineStr">
        <is>
          <t>Đổi store gây ảnh hưởng cả 2 nhóm (giá đổi/hết hàng VÀ dịch vụ/slot đổi) - hiện 1 cảnh báo gộp cho cả 2, Continue áp dụng thay đổi.</t>
        </is>
      </c>
      <c r="H71" s="16" t="inlineStr">
        <is>
          <t>Chọn store mới làm 1 SKU hết hàng, 1 SKU đổi giá, VÀ đổi khu vực dịch vụ.</t>
        </is>
      </c>
      <c r="I71" s="16" t="inlineStr">
        <is>
          <t>Store mới ảnh hưởng đồng thời sản phẩm và dịch vụ/slot của giỏ hàng hiện tại.</t>
        </is>
      </c>
      <c r="J71" s="16" t="inlineStr">
        <is>
          <t>Chỉ hiện 1 dialog cảnh báo GỘP liệt kê toàn bộ ảnh hưởng (không tách riêng 2 dialog); bấm Continue: sản phẩm không còn bán được/hết hàng chuyển sang nhóm riêng, sản phẩm đổi giá được cập nhật giá mới, dịch vụ/slot được gợi ý lại theo quy tắc chuẩn (BRL-25...27).</t>
        </is>
      </c>
      <c r="K71" s="16" t="inlineStr">
        <is>
          <t>Cảnh báo phải gộp toàn bộ ảnh hưởng vào 1 lần xác nhận duy nhất.</t>
        </is>
      </c>
      <c r="L71" s="16" t="inlineStr">
        <is>
          <t>QnA-25</t>
        </is>
      </c>
      <c r="M71" s="16" t="inlineStr">
        <is>
          <t>Bố cục chi tiết của cảnh báo khi nhiều nhóm ảnh hưởng xảy ra cùng lúc vẫn là OQ-25/QnA-25 - đây là item cuối cùng còn chặn bộ màn hình Cart.</t>
        </is>
      </c>
    </row>
    <row r="72" hidden="1" ht="45.75" customHeight="1" s="19">
      <c r="A72" s="5" t="n">
        <v>70</v>
      </c>
      <c r="B72" s="5" t="inlineStr">
        <is>
          <t>SCR-CRT-06-SC3</t>
        </is>
      </c>
      <c r="C72" s="5" t="inlineStr">
        <is>
          <t>SCR-CRT-06</t>
        </is>
      </c>
      <c r="D72" s="5" t="inlineStr">
        <is>
          <t>CT - Cart</t>
        </is>
      </c>
      <c r="E72" s="5" t="inlineStr">
        <is>
          <t>CT-07</t>
        </is>
      </c>
      <c r="F72" s="5" t="inlineStr">
        <is>
          <t>Negative</t>
        </is>
      </c>
      <c r="G72" s="5" t="inlineStr">
        <is>
          <t>Bấm Cancel trên cảnh báo đổi store giữ nguyên store cũ và KHÔNG thay đổi gì trong giỏ hàng.</t>
        </is>
      </c>
      <c r="H72" s="5" t="inlineStr">
        <is>
          <t>Bấm Cancel trên dialog cảnh báo gộp.</t>
        </is>
      </c>
      <c r="I72" s="5" t="inlineStr">
        <is>
          <t>Dialog cảnh báo đổi store đang hiển thị (từ SC2).</t>
        </is>
      </c>
      <c r="J72" s="5" t="inlineStr">
        <is>
          <t>Store cũ được GIỮ NGUYÊN, toàn bộ sản phẩm/dịch vụ/slot trong giỏ hàng KHÔNG bị thay đổi dù chỉ 1 chi tiết nhỏ.</t>
        </is>
      </c>
      <c r="K72" s="5" t="inlineStr">
        <is>
          <t>Cancel phải là roll-back hoàn toàn, không áp dụng 1 phần thay đổi nào.</t>
        </is>
      </c>
      <c r="L72" s="5" t="n"/>
      <c r="M72" s="5" t="n"/>
    </row>
    <row r="73" hidden="1" ht="45.75" customHeight="1" s="19">
      <c r="A73" s="5" t="n">
        <v>71</v>
      </c>
      <c r="B73" s="5" t="inlineStr">
        <is>
          <t>SCR-CRT-07-SC1</t>
        </is>
      </c>
      <c r="C73" s="5" t="inlineStr">
        <is>
          <t>SCR-CRT-07</t>
        </is>
      </c>
      <c r="D73" s="5" t="inlineStr">
        <is>
          <t>CT - Cart</t>
        </is>
      </c>
      <c r="E73" s="5" t="inlineStr">
        <is>
          <t>CT-08</t>
        </is>
      </c>
      <c r="F73" s="5" t="inlineStr">
        <is>
          <t>Functional</t>
        </is>
      </c>
      <c r="G73" s="5" t="inlineStr">
        <is>
          <t>Khách CHƯA chủ động đổi slot ở Homepage: hệ thống gợi ý slot theo thứ tự sớm nhất &gt; quen thuộc &gt; tích điểm.</t>
        </is>
      </c>
      <c r="H73" s="5" t="inlineStr">
        <is>
          <t>Mở sheet chọn slot mà chưa từng đổi slot ở Homepage.</t>
        </is>
      </c>
      <c r="I73" s="5" t="inlineStr">
        <is>
          <t>Khách chưa từng chủ động chọn slot khác ở Homepage cho phiên này.</t>
        </is>
      </c>
      <c r="J73" s="5" t="inlineStr">
        <is>
          <t>Slot SỚM NHẤT tại store được gợi ý đầu tiên (BRL-25); các slot khác sắp xếp theo thứ tự: slot quen thuộc &gt; slot sớm nhất &gt; slot tích điểm (BRL-27).</t>
        </is>
      </c>
      <c r="K73" s="5" t="inlineStr">
        <is>
          <t>Đúng thứ tự ưu tiên khi khách chưa chủ động đổi slot.</t>
        </is>
      </c>
      <c r="L73" s="5" t="n"/>
      <c r="M73" s="5" t="n"/>
    </row>
    <row r="74" hidden="1" ht="45.75" customHeight="1" s="19">
      <c r="A74" s="5" t="n">
        <v>72</v>
      </c>
      <c r="B74" s="5" t="inlineStr">
        <is>
          <t>SCR-CRT-07-SC2</t>
        </is>
      </c>
      <c r="C74" s="5" t="inlineStr">
        <is>
          <t>SCR-CRT-07</t>
        </is>
      </c>
      <c r="D74" s="5" t="inlineStr">
        <is>
          <t>CT - Cart</t>
        </is>
      </c>
      <c r="E74" s="5" t="inlineStr">
        <is>
          <t>CT-08</t>
        </is>
      </c>
      <c r="F74" s="5" t="inlineStr">
        <is>
          <t>Functional</t>
        </is>
      </c>
      <c r="G74" s="5" t="inlineStr">
        <is>
          <t>Khách ĐÃ chủ động chọn slot ở Homepage: slot 'quen thuộc' được gợi ý trước tiên thay vì slot sớm nhất.</t>
        </is>
      </c>
      <c r="H74" s="5" t="inlineStr">
        <is>
          <t>Mở sheet chọn slot sau khi đã từng chủ động đổi slot trên Homepage.</t>
        </is>
      </c>
      <c r="I74" s="5" t="inlineStr">
        <is>
          <t>Khách đã chủ động chọn 1 slot khác trên Homepage trước khi vào Cart.</t>
        </is>
      </c>
      <c r="J74" s="5" t="inlineStr">
        <is>
          <t>Slot 'quen thuộc' (khung giờ chiếm tỷ lệ lớn nhất trong 2 tháng gần nhất, tính riêng theo từng địa chỉ, trên tất cả các store) được gợi ý TRƯỚC, sau đó mới đến slot sớm nhất (BRL-26/27).</t>
        </is>
      </c>
      <c r="K74" s="5" t="inlineStr">
        <is>
          <t>Thứ tự ưu tiên phải đảo ngược so với SC1 khi khách đã từng chủ động chọn.</t>
        </is>
      </c>
      <c r="L74" s="5" t="n"/>
      <c r="M74" s="5" t="n"/>
    </row>
    <row r="75" ht="60" customHeight="1" s="19">
      <c r="A75" s="5" t="n">
        <v>73</v>
      </c>
      <c r="B75" s="5" t="inlineStr">
        <is>
          <t>SCR-CHK-01-SC1</t>
        </is>
      </c>
      <c r="C75" s="5" t="inlineStr">
        <is>
          <t>SCR-CHK-01</t>
        </is>
      </c>
      <c r="D75" s="5" t="inlineStr">
        <is>
          <t>CO - Checkout</t>
        </is>
      </c>
      <c r="E75" s="5" t="inlineStr">
        <is>
          <t>CO-01, CT-11</t>
        </is>
      </c>
      <c r="F75" s="5" t="inlineStr">
        <is>
          <t>Normal</t>
        </is>
      </c>
      <c r="G75" s="5" t="inlineStr">
        <is>
          <t>Toàn bộ thông tin giao hàng và danh sách sản phẩm là READ-ONLY, sửa đổi phải quay lại Cart.</t>
        </is>
      </c>
      <c r="H75" s="5" t="inlineStr">
        <is>
          <t>Thử chạm vào khối địa chỉ/store/slot và vào danh sách sản phẩm.</t>
        </is>
      </c>
      <c r="I75" s="5" t="inlineStr">
        <is>
          <t>Vừa bấm Proceed to Checkout từ Cart với đơn hàng hợp lệ.</t>
        </is>
      </c>
      <c r="J75" s="5" t="inlineStr">
        <is>
          <t>Không có điều khiển sửa trực tiếp nào trên khối giao hàng/danh sách sản phẩm; chạm vào 1 phần tử bị khoá sẽ giải thích quy tắc và đưa về lại Cart, GIỮ NGUYÊN toàn bộ lựa chọn trước đó khi quay lại (BRL-31).</t>
        </is>
      </c>
      <c r="K75" s="5" t="inlineStr">
        <is>
          <t>Order phải thật sự không sửa được tại Checkout (BR-09) - mọi thay đổi bắt buộc quay lại Cart.</t>
        </is>
      </c>
      <c r="L75" s="5" t="n"/>
      <c r="M75" s="5" t="n"/>
    </row>
    <row r="76" hidden="1" ht="60" customHeight="1" s="19">
      <c r="A76" s="5" t="n">
        <v>74</v>
      </c>
      <c r="B76" s="5" t="inlineStr">
        <is>
          <t>SCR-CHK-01-SC2</t>
        </is>
      </c>
      <c r="C76" s="5" t="inlineStr">
        <is>
          <t>SCR-CHK-01</t>
        </is>
      </c>
      <c r="D76" s="5" t="inlineStr">
        <is>
          <t>CO - Checkout</t>
        </is>
      </c>
      <c r="E76" s="5" t="inlineStr">
        <is>
          <t>CO-01</t>
        </is>
      </c>
      <c r="F76" s="5" t="inlineStr">
        <is>
          <t>Functional</t>
        </is>
      </c>
      <c r="G76" s="5" t="inlineStr">
        <is>
          <t>Chuyển đổi Detail/Compact cho danh sách sản phẩm đơn hàng lớn - chỉ là hiển thị, không đổi đơn hàng.</t>
        </is>
      </c>
      <c r="H76" s="5" t="inlineStr">
        <is>
          <t>Bấm toggle từ Detail sang Compact rồi ngược lại.</t>
        </is>
      </c>
      <c r="I76" s="5" t="inlineStr">
        <is>
          <t>Đơn hàng có nhiều sản phẩm (ví dụ &gt;=10 SKU).</t>
        </is>
      </c>
      <c r="J76" s="5" t="inlineStr">
        <is>
          <t>Compact hiện dạng lưới 1 dòng/nhiều sản phẩm cho mỗi hàng (chỉ ảnh, số lượng); Detail hiện đầy đủ ảnh/giá/số lượng; chuyển qua lại KHÔNG làm thay đổi nội dung đơn hàng.</t>
        </is>
      </c>
      <c r="K76" s="5" t="inlineStr">
        <is>
          <t>Toggle chỉ là hiển thị, hoàn toàn không tác động đến dữ liệu đơn hàng.</t>
        </is>
      </c>
      <c r="L76" s="5" t="n"/>
      <c r="M76" s="5" t="n"/>
    </row>
    <row r="77" hidden="1" ht="75" customHeight="1" s="19">
      <c r="A77" s="5" t="n">
        <v>75</v>
      </c>
      <c r="B77" s="5" t="inlineStr">
        <is>
          <t>SCR-CHK-01-SC3</t>
        </is>
      </c>
      <c r="C77" s="5" t="inlineStr">
        <is>
          <t>SCR-CHK-01</t>
        </is>
      </c>
      <c r="D77" s="5" t="inlineStr">
        <is>
          <t>CO - Checkout</t>
        </is>
      </c>
      <c r="E77" s="5" t="inlineStr">
        <is>
          <t>CO-02</t>
        </is>
      </c>
      <c r="F77" s="5" t="inlineStr">
        <is>
          <t>Functional</t>
        </is>
      </c>
      <c r="G77" s="5" t="inlineStr">
        <is>
          <t>Nhập ghi chú đơn hàng và chọn tuỳ chọn thông báo khi hết hàng.</t>
        </is>
      </c>
      <c r="H77" s="5" t="inlineStr">
        <is>
          <t>Nhập ghi chú tự do, chọn 1 tuỳ chọn xử lý khi hết hàng.</t>
        </is>
      </c>
      <c r="I77" s="5" t="inlineStr">
        <is>
          <t>Đang ở SCR-CHK-01.</t>
        </is>
      </c>
      <c r="J77" s="5" t="inlineStr">
        <is>
          <t>Ghi chú tự do ở cấp ĐƠN HÀNG (không phải từng sản phẩm); tuỳ chọn ưu tiên khi hết hàng (ví dụ: gọi điện xác nhận / tự động thay thế / huỷ sản phẩm đó) được lưu kèm đơn.</t>
        </is>
      </c>
      <c r="K77" s="5" t="inlineStr">
        <is>
          <t>Cả 2 trường đều là input hợp lệ, không bắt buộc.</t>
        </is>
      </c>
      <c r="L77" s="5" t="n"/>
      <c r="M77" s="5" t="n"/>
    </row>
    <row r="78" hidden="1" ht="75" customHeight="1" s="19">
      <c r="A78" s="16" t="n">
        <v>76</v>
      </c>
      <c r="B78" s="16" t="inlineStr">
        <is>
          <t>SCR-CHK-01-SC4</t>
        </is>
      </c>
      <c r="C78" s="16" t="inlineStr">
        <is>
          <t>SCR-CHK-01</t>
        </is>
      </c>
      <c r="D78" s="16" t="inlineStr">
        <is>
          <t>CO - Checkout</t>
        </is>
      </c>
      <c r="E78" s="16" t="inlineStr">
        <is>
          <t>CO-03</t>
        </is>
      </c>
      <c r="F78" s="16" t="inlineStr">
        <is>
          <t>Functional</t>
        </is>
      </c>
      <c r="G78" s="16" t="inlineStr">
        <is>
          <t>Chọn đóng gói carton - phí áp dụng (nếu có) chưa được xác nhận chính thức.</t>
        </is>
      </c>
      <c r="H78" s="16" t="inlineStr">
        <is>
          <t>Bật tuỳ chọn đóng gói carton.</t>
        </is>
      </c>
      <c r="I78" s="16" t="inlineStr">
        <is>
          <t>Đang ở SCR-CHK-01.</t>
        </is>
      </c>
      <c r="J78" s="16" t="inlineStr">
        <is>
          <t>Tuỳ chọn đóng gói carton được ghi nhận vào đơn; mức phí tương ứng (nếu có) hiện trong tóm tắt thanh toán ở SCR-CHK-02 nhưng giá trị CHÍNH XÁC đang chờ LOTTE MART xác nhận (OQ-16).</t>
        </is>
      </c>
      <c r="K78" s="16" t="inlineStr">
        <is>
          <t>TBD về giá trị phí cụ thể - chỉ xác nhận tuỳ chọn được ghi nhận đúng, không assert số tiền cố định.</t>
        </is>
      </c>
      <c r="L78" s="16" t="inlineStr">
        <is>
          <t>QnA-16</t>
        </is>
      </c>
      <c r="M78" s="16" t="n"/>
    </row>
    <row r="79" hidden="1" ht="75" customHeight="1" s="19">
      <c r="A79" s="5" t="n">
        <v>77</v>
      </c>
      <c r="B79" s="5" t="inlineStr">
        <is>
          <t>SCR-CHK-02-SC1</t>
        </is>
      </c>
      <c r="C79" s="5" t="inlineStr">
        <is>
          <t>SCR-CHK-02</t>
        </is>
      </c>
      <c r="D79" s="5" t="inlineStr">
        <is>
          <t>CO - Checkout</t>
        </is>
      </c>
      <c r="E79" s="5" t="inlineStr">
        <is>
          <t>CO-04</t>
        </is>
      </c>
      <c r="F79" s="5" t="inlineStr">
        <is>
          <t>Functional</t>
        </is>
      </c>
      <c r="G79" s="5" t="inlineStr">
        <is>
          <t>Nhập mã GotIt/gift card hợp lệ và áp dụng vào tổng đơn.</t>
        </is>
      </c>
      <c r="H79" s="5" t="inlineStr">
        <is>
          <t>Nhập mã quà tặng hợp lệ (nhập tay hoặc quét mã).</t>
        </is>
      </c>
      <c r="I79" s="5" t="inlineStr">
        <is>
          <t>Đang ở SCR-CHK-02, đơn hàng chưa áp dụng gift card.</t>
        </is>
      </c>
      <c r="J79" s="5" t="inlineStr">
        <is>
          <t>Giá trị thẻ được TRỪ vào tổng tiền phải trả, hiện 1 dòng riêng trong tóm tắt thanh toán; nhập tay và quét mã đều cho kết quả giống nhau khi cùng 1 mã hợp lệ.</t>
        </is>
      </c>
      <c r="K79" s="5" t="inlineStr">
        <is>
          <t>Áp dụng gift card đúng, phản ánh đúng vào tổng tiền cuối.</t>
        </is>
      </c>
      <c r="L79" s="5" t="n"/>
      <c r="M79" s="5" t="n"/>
    </row>
    <row r="80" hidden="1" ht="90" customHeight="1" s="19">
      <c r="A80" s="16" t="n">
        <v>78</v>
      </c>
      <c r="B80" s="16" t="inlineStr">
        <is>
          <t>SCR-CHK-02-SC2</t>
        </is>
      </c>
      <c r="C80" s="16" t="inlineStr">
        <is>
          <t>SCR-CHK-02</t>
        </is>
      </c>
      <c r="D80" s="16" t="inlineStr">
        <is>
          <t>CO - Checkout</t>
        </is>
      </c>
      <c r="E80" s="16" t="inlineStr">
        <is>
          <t>CO-05</t>
        </is>
      </c>
      <c r="F80" s="16" t="inlineStr">
        <is>
          <t>Functional</t>
        </is>
      </c>
      <c r="G80" s="16" t="inlineStr">
        <is>
          <t>Coupon đã áp dụng ở Cart được hiện lại ở Checkout, tách thành 2 nhóm riêng để xác nhận.</t>
        </is>
      </c>
      <c r="H80" s="16" t="inlineStr">
        <is>
          <t>Xem lại danh sách coupon tại Checkout.</t>
        </is>
      </c>
      <c r="I80" s="16" t="inlineStr">
        <is>
          <t>Đã có coupon giao hàng VÀ coupon sản phẩm được tự động áp dụng từ Cart.</t>
        </is>
      </c>
      <c r="J80" s="16" t="inlineStr">
        <is>
          <t>2 nhóm hiện RIÊNG BIỆT: nhóm coupon giao hàng và nhóm coupon đơn/sản phẩm, mỗi nhóm nêu rõ số tiền giảm và lý do; đây chỉ là màn hình XÁC NHẬN lại (không thể gỡ bỏ coupon tại đây).</t>
        </is>
      </c>
      <c r="K80" s="16" t="inlineStr">
        <is>
          <t>Phân nhóm đúng theo BRL-32, không trộn lẫn 2 loại coupon.</t>
        </is>
      </c>
      <c r="L80" s="16" t="inlineStr">
        <is>
          <t>QnA-17</t>
        </is>
      </c>
      <c r="M80" s="16" t="inlineStr">
        <is>
          <t>Danh mục đầy đủ các loại khuyến mãi cần hiển thị vẫn là OQ-17/QnA-17.</t>
        </is>
      </c>
    </row>
    <row r="81" ht="60" customHeight="1" s="19">
      <c r="A81" s="16" t="n">
        <v>79</v>
      </c>
      <c r="B81" s="16" t="inlineStr">
        <is>
          <t>SCR-CHK-02-SC3</t>
        </is>
      </c>
      <c r="C81" s="16" t="inlineStr">
        <is>
          <t>SCR-CHK-02</t>
        </is>
      </c>
      <c r="D81" s="16" t="inlineStr">
        <is>
          <t>CO - Checkout</t>
        </is>
      </c>
      <c r="E81" s="16" t="inlineStr">
        <is>
          <t>CO-05</t>
        </is>
      </c>
      <c r="F81" s="16" t="inlineStr">
        <is>
          <t>Boundary</t>
        </is>
      </c>
      <c r="G81" s="16" t="inlineStr">
        <is>
          <t>Sử dụng điểm thưởng: nhập 1 số tiền cụ thể, hoặc áp dụng toàn bộ điểm trong 1 lần chạm.</t>
        </is>
      </c>
      <c r="H81" s="16" t="inlineStr">
        <is>
          <t>Nhập số điểm tuỳ ý; rồi thử lại với nút 'Dùng toàn bộ điểm'.</t>
        </is>
      </c>
      <c r="I81" s="16" t="inlineStr">
        <is>
          <t>Tài khoản có đủ điểm thưởng khả dụng.</t>
        </is>
      </c>
      <c r="J81" s="16" t="inlineStr">
        <is>
          <t>Nhập tay 1 giá trị hợp lệ (&lt;=số điểm hiện có) được chấp nhận và trừ vào tổng tiền; nút áp dụng toàn bộ điểm trong 1 lần chạm áp dụng đúng toàn bộ số dư hiện có, không cần nhập tay.</t>
        </is>
      </c>
      <c r="K81" s="16" t="inlineStr">
        <is>
          <t>Cả 2 cách nhập điểm đều phải cho kết quả trừ tiền chính xác.</t>
        </is>
      </c>
      <c r="L81" s="16" t="inlineStr">
        <is>
          <t>QnA-20</t>
        </is>
      </c>
      <c r="M81" s="16" t="inlineStr">
        <is>
          <t>Việc có hiển thị số điểm SẼ được tích sau đơn hàng hay không vẫn là OQ-20/QnA-20.</t>
        </is>
      </c>
    </row>
    <row r="82" ht="60" customHeight="1" s="19">
      <c r="A82" s="16" t="n">
        <v>80</v>
      </c>
      <c r="B82" s="16" t="inlineStr">
        <is>
          <t>SCR-CHK-02-SC4</t>
        </is>
      </c>
      <c r="C82" s="16" t="inlineStr">
        <is>
          <t>SCR-CHK-02</t>
        </is>
      </c>
      <c r="D82" s="16" t="inlineStr">
        <is>
          <t>CO - Checkout</t>
        </is>
      </c>
      <c r="E82" s="16" t="inlineStr">
        <is>
          <t>CO-06</t>
        </is>
      </c>
      <c r="F82" s="16" t="inlineStr">
        <is>
          <t>Functional</t>
        </is>
      </c>
      <c r="G82" s="16" t="inlineStr">
        <is>
          <t>BNPL đã chọn ở Cart được mang sang Checkout, mỗi phương thức mang badge khuyến mãi riêng.</t>
        </is>
      </c>
      <c r="H82" s="16" t="inlineStr">
        <is>
          <t>Xem danh sách phương thức thanh toán tại Checkout.</t>
        </is>
      </c>
      <c r="I82" s="16" t="inlineStr">
        <is>
          <t>Đã chọn BNPL làm phương thức thanh toán trong Cart.</t>
        </is>
      </c>
      <c r="J82" s="16" t="inlineStr">
        <is>
          <t>BNPL đã được PRE-SELECTED sẵn khi vào Checkout (không phải chọn lại); mỗi phương thức (MoMo/ZaloPay/thẻ/BNPL) có thể mang 1 badge khuyến mãi riêng của nó (BRL-33).</t>
        </is>
      </c>
      <c r="K82" s="16" t="inlineStr">
        <is>
          <t>Carry-over đúng phương thức đã chọn ở Cart.</t>
        </is>
      </c>
      <c r="L82" s="16" t="inlineStr">
        <is>
          <t>QnA-35</t>
        </is>
      </c>
      <c r="M82" s="16" t="inlineStr">
        <is>
          <t>Tên thương mại chính thức của BNPL (ví dụ 'Lotte Flex' xuất hiện trên Figma) chưa được xác nhận trong SRS - QnA-35.</t>
        </is>
      </c>
    </row>
    <row r="83" ht="105" customHeight="1" s="19">
      <c r="A83" s="5" t="n">
        <v>81</v>
      </c>
      <c r="B83" s="5" t="inlineStr">
        <is>
          <t>SCR-CHK-02-SC5</t>
        </is>
      </c>
      <c r="C83" s="5" t="inlineStr">
        <is>
          <t>SCR-CHK-02</t>
        </is>
      </c>
      <c r="D83" s="5" t="inlineStr">
        <is>
          <t>CO - Checkout</t>
        </is>
      </c>
      <c r="E83" s="5" t="inlineStr">
        <is>
          <t>CO-08, CO-10</t>
        </is>
      </c>
      <c r="F83" s="5" t="inlineStr">
        <is>
          <t>Functional</t>
        </is>
      </c>
      <c r="G83" s="5" t="inlineStr">
        <is>
          <t>Tóm tắt thanh toán cuối cùng liệt kê ĐỦ tất cả các dòng (kể cả dòng = 0) và Đặt hàng thành công.</t>
        </is>
      </c>
      <c r="H83" s="5" t="inlineStr">
        <is>
          <t>Xem tóm tắt thanh toán rồi bấm Đặt hàng.</t>
        </is>
      </c>
      <c r="I83" s="5" t="inlineStr">
        <is>
          <t>Đơn hàng hợp lệ, đầy đủ thông tin bắt buộc (địa chỉ/store/slot, thanh toán).</t>
        </is>
      </c>
      <c r="J83" s="5" t="inlineStr">
        <is>
          <t>Tóm tắt hiện đủ: giá trị đơn hàng, phí nylon, phí giao hàng, phụ phí bulky (nếu có), giảm giá sản phẩm, giảm giá giao hàng, số tiền phải trả, điểm dự kiến được cộng - MỌI dòng đều hiện kể cả khi bằng 0 (để đối soát được); bấm Đặt hàng commit đơn thành công và kết thúc phạm vi tài liệu này (CO-10).</t>
        </is>
      </c>
      <c r="K83" s="5" t="inlineStr">
        <is>
          <t>Tính đủ hạng mục, không ẩn dòng nào dù giá trị = 0.</t>
        </is>
      </c>
      <c r="L83" s="5" t="n"/>
      <c r="M83" s="5" t="n"/>
    </row>
    <row r="84" ht="90" customHeight="1" s="19">
      <c r="A84" s="16" t="n">
        <v>82</v>
      </c>
      <c r="B84" s="16" t="inlineStr">
        <is>
          <t>SCR-CHK-02-SC6</t>
        </is>
      </c>
      <c r="C84" s="16" t="inlineStr">
        <is>
          <t>SCR-CHK-02</t>
        </is>
      </c>
      <c r="D84" s="16" t="inlineStr">
        <is>
          <t>CO - Checkout</t>
        </is>
      </c>
      <c r="E84" s="16" t="inlineStr">
        <is>
          <t>CO-09</t>
        </is>
      </c>
      <c r="F84" s="16" t="inlineStr">
        <is>
          <t>Functional</t>
        </is>
      </c>
      <c r="G84" s="16" t="inlineStr">
        <is>
          <t>Kiểm tra 3 liên kết chính sách (đổi/trả, mua hàng, bảo mật) hiển thị và mở được tại Checkout.</t>
        </is>
      </c>
      <c r="H84" s="16" t="inlineStr">
        <is>
          <t>Chạm lần lượt vào từng liên kết chính sách.</t>
        </is>
      </c>
      <c r="I84" s="16" t="inlineStr">
        <is>
          <t>Đang ở màn Checkout (SCR-CHK-02), đơn hàng hợp lệ.</t>
        </is>
      </c>
      <c r="J84" s="16" t="inlineStr">
        <is>
          <t>Cả 3 liên kết (Chính sách đổi/trả, Chính sách mua hàng, Chính sách bảo mật) đều hiển thị và mở được (dù nội dung chi tiết cuối cùng vẫn đang chờ Legal xác nhận theo QnA-21) - test này chỉ xác nhận liên kết TỒN TẠI và MỞ ĐƯỢC, không xác nhận nội dung.</t>
        </is>
      </c>
      <c r="K84" s="16" t="inlineStr">
        <is>
          <t>3 liên kết đều hiện diện và mở được, không link nào bị vỡ (404/trống).</t>
        </is>
      </c>
      <c r="L84" s="16" t="inlineStr">
        <is>
          <t>QnA-21</t>
        </is>
      </c>
      <c r="M84" s="16" t="inlineStr">
        <is>
          <t>Bổ sung theo Review 26/08/2026 - CO-09 trước đó chưa có test case nào (Review - Gaps &amp; Issues).</t>
        </is>
      </c>
    </row>
    <row r="85" ht="90" customHeight="1" s="19">
      <c r="A85" s="5" t="n">
        <v>83</v>
      </c>
      <c r="B85" s="5" t="inlineStr">
        <is>
          <t>SCR-CHK-03-SC1</t>
        </is>
      </c>
      <c r="C85" s="5" t="inlineStr">
        <is>
          <t>SCR-CHK-03</t>
        </is>
      </c>
      <c r="D85" s="5" t="inlineStr">
        <is>
          <t>CO - Checkout</t>
        </is>
      </c>
      <c r="E85" s="5" t="inlineStr">
        <is>
          <t>CO-01</t>
        </is>
      </c>
      <c r="F85" s="5" t="inlineStr">
        <is>
          <t>Functional</t>
        </is>
      </c>
      <c r="G85" s="5" t="inlineStr">
        <is>
          <t>Biến thể Pickup: khối thu thập thay thế khối giao hàng, không có phí giao hàng.</t>
        </is>
      </c>
      <c r="H85" s="5" t="inlineStr">
        <is>
          <t>Xem SCR-CHK-03 cho 1 đơn Pickup.</t>
        </is>
      </c>
      <c r="I85" s="5" t="inlineStr">
        <is>
          <t>Đơn hàng được tạo từ nhánh Pickup trong Cart.</t>
        </is>
      </c>
      <c r="J85" s="5" t="inlineStr">
        <is>
          <t>Khối 'thu thập' hiện: store, địa chỉ, khoảng cách, khung giờ đến lấy (khoá read-only như mọi trường ở khác); KHÔNG có dòng phí giao hàng trong tóm tắt (freeship threshold và coupon giao hàng không áp dụng); phụ phí bulky (nếu có) vẫn áp dụng.</t>
        </is>
      </c>
      <c r="K85" s="5" t="inlineStr">
        <is>
          <t>Pickup phải loại bỏ hoàn toàn phí giao hàng khỏi tóm tắt, không hiện 0đ mà là ẩn dòng đó.</t>
        </is>
      </c>
      <c r="L85" s="5" t="n"/>
      <c r="M85" s="5" t="n"/>
    </row>
    <row r="86" ht="45" customHeight="1" s="19">
      <c r="A86" s="5" t="n">
        <v>84</v>
      </c>
      <c r="B86" s="5" t="inlineStr">
        <is>
          <t>SCR-CHK-03-SC2</t>
        </is>
      </c>
      <c r="C86" s="5" t="inlineStr">
        <is>
          <t>SCR-CHK-03</t>
        </is>
      </c>
      <c r="D86" s="5" t="inlineStr">
        <is>
          <t>CO - Checkout</t>
        </is>
      </c>
      <c r="E86" s="5" t="inlineStr">
        <is>
          <t>CO-01, CT-09</t>
        </is>
      </c>
      <c r="F86" s="5" t="inlineStr">
        <is>
          <t>Boundary</t>
        </is>
      </c>
      <c r="G86" s="5" t="inlineStr">
        <is>
          <t>Tuỳ chọn tiền mặt khi Pickup chỉ hiện với tài khoản đủ điều kiện tier (Platinum/Diamond).</t>
        </is>
      </c>
      <c r="H86" s="5" t="inlineStr">
        <is>
          <t>Kiểm tra danh sách phương thức thanh toán cho 2 tài khoản khác tier.</t>
        </is>
      </c>
      <c r="I86" s="5" t="inlineStr">
        <is>
          <t>Đơn Pickup, 2 tài khoản test: 1 Platinum, 1 tier thường.</t>
        </is>
      </c>
      <c r="J86" s="5" t="inlineStr">
        <is>
          <t>Với tài khoản Platinum: tiền mặt hiện và chọn được. Với tài khoản tier thường: tiền mặt KHÔNG hiện trong danh sách phương thức.</t>
        </is>
      </c>
      <c r="K86" s="5" t="inlineStr">
        <is>
          <t>Đồng bộ với hành vi đã kiểm tra ở SCR-CRT-04-SC2 (Cart) - Checkout phải nhất quán với Cart.</t>
        </is>
      </c>
      <c r="L86" s="5" t="n"/>
      <c r="M86" s="5" t="n"/>
    </row>
    <row r="87">
      <c r="A87" t="n">
        <v>85</v>
      </c>
      <c r="B87" t="inlineStr">
        <is>
          <t>SCR-HOM-01-SC4</t>
        </is>
      </c>
      <c r="C87" t="inlineStr">
        <is>
          <t>SCR-HOM-01</t>
        </is>
      </c>
      <c r="D87" t="inlineStr">
        <is>
          <t>HP - Homepage &amp; Login Gate</t>
        </is>
      </c>
      <c r="E87" t="inlineStr">
        <is>
          <t>HP-01, HP-04</t>
        </is>
      </c>
      <c r="F87" t="inlineStr">
        <is>
          <t>Edge</t>
        </is>
      </c>
      <c r="G87" t="inlineStr">
        <is>
          <t>Xem Homepage với địa chỉ chỉ đủ điều kiện Standard (không đủ 60-Minute).</t>
        </is>
      </c>
      <c r="H87" t="inlineStr">
        <is>
          <t>Địa chỉ đã lưu cách store 12km (State B theo SCR-HOM-05).</t>
        </is>
      </c>
      <c r="I87" t="inlineStr">
        <is>
          <t>Guest/Member đã lưu 1 địa chỉ nằm ngoài bán kính 60-Minute nhưng vẫn trong bán kính Standard của store.</t>
        </is>
      </c>
      <c r="J87" t="inlineStr">
        <is>
          <t>Header hiện đúng địa chỉ đã lưu; ước tính CHỈ hiện Standard, KHÔNG hiện banner đề xuất 60-Minute (khác với SC2); slot giờ cụ thể hiển thị - TBD có đổi theo từng địa chỉ cùng tier hay dùng chung slot store, chờ QnA-49.</t>
        </is>
      </c>
      <c r="K87" t="inlineStr">
        <is>
          <t>Banner 60-Minute KHÔNG được phép xuất hiện khi vùng phủ không hỗ trợ, dù địa chỉ vẫn hợp lệ cho Standard.</t>
        </is>
      </c>
      <c r="L87" t="inlineStr">
        <is>
          <t>QnA-49</t>
        </is>
      </c>
      <c r="M87" t="inlineStr">
        <is>
          <t>Bổ sung theo yêu cầu review 27/08/2026 - đóng 2 gap: banner không hiện khi vượt 60p, và slot giờ có đổi theo địa chỉ cùng tier không.</t>
        </is>
      </c>
    </row>
    <row r="88">
      <c r="A88" t="n">
        <v>86</v>
      </c>
      <c r="B88" t="inlineStr">
        <is>
          <t>SCR-HOM-01-SC5</t>
        </is>
      </c>
      <c r="C88" t="inlineStr">
        <is>
          <t>SCR-HOM-01</t>
        </is>
      </c>
      <c r="D88" t="inlineStr">
        <is>
          <t>HP - Homepage &amp; Login Gate</t>
        </is>
      </c>
      <c r="E88" t="inlineStr">
        <is>
          <t>HP-01</t>
        </is>
      </c>
      <c r="F88" t="inlineStr">
        <is>
          <t>Regression</t>
        </is>
      </c>
      <c r="G88" t="inlineStr">
        <is>
          <t>Kiểm tra icon Cart luôn hiện diện trên thanh tab của Homepage.</t>
        </is>
      </c>
      <c r="H88" t="inlineStr">
        <is>
          <t>Quan sát thanh tab ở các trạng thái Guest/Member, giỏ hàng trống/có sản phẩm.</t>
        </is>
      </c>
      <c r="I88" t="inlineStr">
        <is>
          <t>Đang ở Homepage, thử ít nhất 2 trạng thái: Guest &amp; Member, giỏ hàng trống &amp; có sản phẩm.</t>
        </is>
      </c>
      <c r="J88" t="inlineStr">
        <is>
          <t>Icon Cart luôn hiện diện trên thanh tab bất kể trạng thái đăng nhập hay số lượng sản phẩm trong giỏ hàng; khi giỏ hàng có sản phẩm, icon hiện badge số lượng đúng.</t>
        </is>
      </c>
      <c r="K88" t="inlineStr">
        <is>
          <t>Icon Cart không biến mất/ẩn trong bất kỳ tổ hợp trạng thái nào đã test.</t>
        </is>
      </c>
      <c r="M88" t="inlineStr">
        <is>
          <t>Bổ sung theo yêu cầu review 27/08/2026.</t>
        </is>
      </c>
    </row>
    <row r="89">
      <c r="A89" t="n">
        <v>87</v>
      </c>
      <c r="B89" t="inlineStr">
        <is>
          <t>SCR-HOM-02-SC4</t>
        </is>
      </c>
      <c r="C89" t="inlineStr">
        <is>
          <t>SCR-HOM-02</t>
        </is>
      </c>
      <c r="D89" t="inlineStr">
        <is>
          <t>HP - Homepage &amp; Login Gate</t>
        </is>
      </c>
      <c r="E89" t="inlineStr">
        <is>
          <t>HP-02, HP-03</t>
        </is>
      </c>
      <c r="F89" t="inlineStr">
        <is>
          <t>Edge</t>
        </is>
      </c>
      <c r="G89" t="inlineStr">
        <is>
          <t>TBD: hành vi trường what3words tại màn tạo địa chỉ.</t>
        </is>
      </c>
      <c r="H89" t="inlineStr">
        <is>
          <t>Quan sát/thao tác với trường what3words (nếu có) khi tạo địa chỉ.</t>
        </is>
      </c>
      <c r="I89" t="inlineStr">
        <is>
          <t>Đang ở SCR-HOM-02, chưa rõ what3words là input hay chỉ là hiển thị - chờ QnA-51.</t>
        </is>
      </c>
      <c r="J89" t="inlineStr">
        <is>
          <t>TBD - chưa thể mô tả Expected Output cho đến khi có câu trả lời QnA-51 xác nhận vai trò của trường này.</t>
        </is>
      </c>
      <c r="K89" t="inlineStr">
        <is>
          <t>Ghi nhận hành vi thực tế để đối chiếu, không tự giả định 1 hành vi cố định.</t>
        </is>
      </c>
      <c r="L89" t="inlineStr">
        <is>
          <t>QnA-51</t>
        </is>
      </c>
      <c r="M89" t="inlineStr">
        <is>
          <t>Bổ sung theo yêu cầu review 27/08/2026 - QC phát hiện thuật ngữ 'what3words' cần làm rõ trước khi viết test.</t>
        </is>
      </c>
    </row>
    <row r="90">
      <c r="A90" t="n">
        <v>88</v>
      </c>
      <c r="B90" t="inlineStr">
        <is>
          <t>SCR-HOM-02-SC5</t>
        </is>
      </c>
      <c r="C90" t="inlineStr">
        <is>
          <t>SCR-HOM-02</t>
        </is>
      </c>
      <c r="D90" t="inlineStr">
        <is>
          <t>HP - Homepage &amp; Login Gate</t>
        </is>
      </c>
      <c r="E90" t="inlineStr">
        <is>
          <t>HP-02, HP-03</t>
        </is>
      </c>
      <c r="F90" t="inlineStr">
        <is>
          <t>Negative</t>
        </is>
      </c>
      <c r="G90" t="inlineStr">
        <is>
          <t>Vào màn tạo địa chỉ khi quyền vị trí đang bị từ chối/tắt.</t>
        </is>
      </c>
      <c r="H90" t="inlineStr">
        <is>
          <t>Mở SCR-HOM-02 với quyền vị trí = Denied, chạm 'Use my location'.</t>
        </is>
      </c>
      <c r="I90" t="inlineStr">
        <is>
          <t>Quyền vị trí = Denied, Guest/Member chưa có địa chỉ, đang ở SCR-HOM-02.</t>
        </is>
      </c>
      <c r="J90" t="inlineStr">
        <is>
          <t>TBD - cần xác định: hiển thị bản đồ lúc quyền Denied, nội dung trường địa chỉ initial, và phản ứng khi chạm 'Use my location' lúc đang Denied - chờ QnA-52.</t>
        </is>
      </c>
      <c r="K90" t="inlineStr">
        <is>
          <t>SCR-HOM-02-SC1 hiện chỉ test đường Allow - cần thêm đường Denied là tình huống phổ biến thực tế.</t>
        </is>
      </c>
      <c r="L90" t="inlineStr">
        <is>
          <t>QnA-52</t>
        </is>
      </c>
      <c r="M90" t="inlineStr">
        <is>
          <t>Bổ sung theo yêu cầu review 27/08/2026.</t>
        </is>
      </c>
    </row>
    <row r="91">
      <c r="A91" t="n">
        <v>89</v>
      </c>
      <c r="B91" t="inlineStr">
        <is>
          <t>SCR-HOM-02-SC6</t>
        </is>
      </c>
      <c r="C91" t="inlineStr">
        <is>
          <t>SCR-HOM-02</t>
        </is>
      </c>
      <c r="D91" t="inlineStr">
        <is>
          <t>HP - Homepage &amp; Login Gate</t>
        </is>
      </c>
      <c r="E91" t="inlineStr">
        <is>
          <t>HP-02, HP-03</t>
        </is>
      </c>
      <c r="F91" t="inlineStr">
        <is>
          <t>Functional</t>
        </is>
      </c>
      <c r="G91" t="inlineStr">
        <is>
          <t>Kiểm tra đồng bộ 2 chiều giữa phần bản đồ và ô địa chỉ đang chữ.</t>
        </is>
      </c>
      <c r="H91" t="inlineStr">
        <is>
          <t>Sửa địa chỉ bằng gõ tay; kéo/thả pin trên bản đồ sang vị trí khác.</t>
        </is>
      </c>
      <c r="I91" t="inlineStr">
        <is>
          <t>Đang ở SCR-HOM-02, có cả phần bản đồ và ô địa chỉ chữ cùng hiển thị.</t>
        </is>
      </c>
      <c r="J91" t="inlineStr">
        <is>
          <t>TBD - cần xác định gõ địa chỉ có tự di chuyển pin bản đồ không, và kéo pin có tự cập nhật ô địa chỉ chữ không - chờ QnA-53.</t>
        </is>
      </c>
      <c r="K91" t="inlineStr">
        <is>
          <t>2 phần hiển thị phải nhất quán với nhau, không để khách lưu địa chỉ sai lệch giữa bản đồ và chữ.</t>
        </is>
      </c>
      <c r="L91" t="inlineStr">
        <is>
          <t>QnA-53</t>
        </is>
      </c>
      <c r="M91" t="inlineStr">
        <is>
          <t>Bổ sung theo yêu cầu review 27/08/2026.</t>
        </is>
      </c>
    </row>
    <row r="92">
      <c r="A92" t="n">
        <v>90</v>
      </c>
      <c r="B92" t="inlineStr">
        <is>
          <t>SCR-HOM-02-SC7</t>
        </is>
      </c>
      <c r="C92" t="inlineStr">
        <is>
          <t>SCR-HOM-02</t>
        </is>
      </c>
      <c r="D92" t="inlineStr">
        <is>
          <t>HP - Homepage &amp; Login Gate</t>
        </is>
      </c>
      <c r="E92" t="inlineStr">
        <is>
          <t>HP-03, HP-09</t>
        </is>
      </c>
      <c r="F92" t="inlineStr">
        <is>
          <t>Functional</t>
        </is>
      </c>
      <c r="G92" t="inlineStr">
        <is>
          <t>Kiểm tra địa chỉ mới lưu có vào address book không, tuỳ chọn đặt mặc định, và quy tắc load địa chỉ ở phiên tiếp theo.</t>
        </is>
      </c>
      <c r="H92" t="inlineStr">
        <is>
          <t>Lưu 1 địa chỉ mới cho Member đã có sẵn 1-2 địa chỉ khác.</t>
        </is>
      </c>
      <c r="I92" t="inlineStr">
        <is>
          <t>Member đã đăng nhập, đã có sẵn ít nhất 1 địa chỉ cũ trong address book, đang tạo thêm 1 địa chỉ mới.</t>
        </is>
      </c>
      <c r="J92" t="inlineStr">
        <is>
          <t>TBD - cần xác định: địa chỉ mới có vào list SCR-HOM-03 không, có tuỳ chọn đặt mặc định không, địa chỉ nào load trước khi có nhiều địa chỉ, và lần mở app tiếp theo load địa chỉ nào - chờ QnA-54.</t>
        </is>
      </c>
      <c r="K92" t="inlineStr">
        <is>
          <t>Hành vi phải nhất quán, không làm mất/sai địa chỉ mặc định của khách giữa các phiên.</t>
        </is>
      </c>
      <c r="L92" t="inlineStr">
        <is>
          <t>QnA-54</t>
        </is>
      </c>
      <c r="M92" t="inlineStr">
        <is>
          <t>Bổ sung theo yêu cầu review 27/08/2026.</t>
        </is>
      </c>
    </row>
    <row r="93">
      <c r="A93" t="n">
        <v>91</v>
      </c>
      <c r="B93" t="inlineStr">
        <is>
          <t>SCR-HOM-02-SC8</t>
        </is>
      </c>
      <c r="C93" t="inlineStr">
        <is>
          <t>SCR-HOM-02</t>
        </is>
      </c>
      <c r="D93" t="inlineStr">
        <is>
          <t>HP - Homepage &amp; Login Gate</t>
        </is>
      </c>
      <c r="E93" t="inlineStr">
        <is>
          <t>HP-03</t>
        </is>
      </c>
      <c r="F93" t="inlineStr">
        <is>
          <t>Functional</t>
        </is>
      </c>
      <c r="G93" t="inlineStr">
        <is>
          <t>Kiểm tra nhãn loại địa chỉ (Nhà/Công ty/Khác) khi lưu địa chỉ, đặc biệt trường hợp chọn 'Khác'.</t>
        </is>
      </c>
      <c r="H93" t="inlineStr">
        <is>
          <t>Chọn từng loại nhãn khi lưu địa chỉ, riêng 'Khác' thử nhập thêm tên tuỳ chỉnh (nếu có).</t>
        </is>
      </c>
      <c r="I93" t="inlineStr">
        <is>
          <t>Đang ở SCR-HOM-02, bước lưu địa chỉ có phần chọn loại nhãn.</t>
        </is>
      </c>
      <c r="J93" t="inlineStr">
        <is>
          <t>TBD - cần xác định danh sách nhãn có sẵn, và rule hiển thị/nhập liệu khi chọn 'Khác' - chờ QnA-55.</t>
        </is>
      </c>
      <c r="K93" t="inlineStr">
        <is>
          <t>Nhãn địa chỉ hiện đúng và nhất quán giữa SCR-HOM-02 (lúc lưu) và SCR-HOM-03 (danh sách).</t>
        </is>
      </c>
      <c r="L93" t="inlineStr">
        <is>
          <t>QnA-55</t>
        </is>
      </c>
      <c r="M93" t="inlineStr">
        <is>
          <t>Bổ sung theo yêu cầu review 27/08/2026.</t>
        </is>
      </c>
    </row>
    <row r="94">
      <c r="A94" t="n">
        <v>92</v>
      </c>
      <c r="B94" t="inlineStr">
        <is>
          <t>SCR-CRT-07-SC3</t>
        </is>
      </c>
      <c r="C94" t="inlineStr">
        <is>
          <t>SCR-CRT-07</t>
        </is>
      </c>
      <c r="D94" t="inlineStr">
        <is>
          <t>CT - Cart</t>
        </is>
      </c>
      <c r="E94" t="inlineStr">
        <is>
          <t>CT-08</t>
        </is>
      </c>
      <c r="F94" t="inlineStr">
        <is>
          <t>Edge</t>
        </is>
      </c>
      <c r="G94" t="inlineStr">
        <is>
          <t>Khách hàng mới (chưa có lịch sử đơn hàng) mở sheet chọn slot - không có slot 'quen thuộc' để gợi ý.</t>
        </is>
      </c>
      <c r="H94" t="inlineStr">
        <is>
          <t>Tài khoản mới tạo, chưa từng đặt đơn hàng nào, mở sheet chọn slot lần đầu.</t>
        </is>
      </c>
      <c r="I94" t="inlineStr">
        <is>
          <t>Tài khoản test không có lịch sử đơn hàng (mới đăng ký hoặc chưa từng mua).</t>
        </is>
      </c>
      <c r="J94" t="inlineStr">
        <is>
          <t>Không có nhãn 'quen thuộc' nào xuất hiện (vì không có dữ liệu lịch sử); hệ thống fallback về gợi ý slot SỚM NHẤT làm mặc định, giống hành vi của SCR-CRT-07-SC1 (khách chưa chủ động đổi slot).</t>
        </is>
      </c>
      <c r="K94" t="inlineStr">
        <is>
          <t>Thiếu dữ liệu lịch sử không được gây lỗi/màn hình trống - phải có fallback hợp lý.</t>
        </is>
      </c>
      <c r="M94" t="inlineStr">
        <is>
          <t>Bổ sung theo yêu cầu review 27/08/2026 - SCR-CRT-07 trước đó chỉ test 2 trường hợp đều giả định có lịch sử/thao tác trước, thiếu trường hợp khách hoàn toàn mới.</t>
        </is>
      </c>
    </row>
    <row r="95">
      <c r="A95" t="n">
        <v>93</v>
      </c>
      <c r="B95" t="inlineStr">
        <is>
          <t>SCR-CRT-07-SC4</t>
        </is>
      </c>
      <c r="C95" t="inlineStr">
        <is>
          <t>SCR-CRT-07</t>
        </is>
      </c>
      <c r="D95" t="inlineStr">
        <is>
          <t>CT - Cart</t>
        </is>
      </c>
      <c r="E95" t="inlineStr">
        <is>
          <t>CT-08</t>
        </is>
      </c>
      <c r="F95" t="inlineStr">
        <is>
          <t>Negative</t>
        </is>
      </c>
      <c r="G95" t="inlineStr">
        <is>
          <t>Toàn bộ slot giao hàng trong ngày hiện tại đã hết chỗ (Closed hết).</t>
        </is>
      </c>
      <c r="H95" t="inlineStr">
        <is>
          <t>Giả lập mọi slot trong ngày đều ở trạng thái Closed (0 chỗ).</t>
        </is>
      </c>
      <c r="I95" t="inlineStr">
        <is>
          <t>Store test được cấu hình toàn bộ slot trong ngày hôm nay đều hết chỗ.</t>
        </is>
      </c>
      <c r="J95" t="inlineStr">
        <is>
          <t>TBD - cần xác định hệ thống tự chuyển sang ngày kế tiếp, hiện thông báo hết slot, hay chỉ hiện danh sách toàn bộ disabled không hướng dẫn gì - chờ QnA-57.</t>
        </is>
      </c>
      <c r="K95" t="inlineStr">
        <is>
          <t>Khách không được để bị kẹt ở màn hình không có lựa chọn nào khả dụng mà không có hướng dẫn.</t>
        </is>
      </c>
      <c r="L95" t="inlineStr">
        <is>
          <t>QnA-57</t>
        </is>
      </c>
      <c r="M95" t="inlineStr">
        <is>
          <t>Bổ sung theo yêu cầu review 27/08/2026.</t>
        </is>
      </c>
    </row>
    <row r="96" ht="90" customHeight="1" s="19">
      <c r="A96" s="5" t="n">
        <v>94</v>
      </c>
      <c r="B96" s="5" t="inlineStr">
        <is>
          <t>SCR-HOM-02-SC9</t>
        </is>
      </c>
      <c r="C96" s="5" t="inlineStr">
        <is>
          <t>SCR-HOM-02</t>
        </is>
      </c>
      <c r="D96" s="5" t="inlineStr">
        <is>
          <t>HP - Homepage &amp; Login Gate</t>
        </is>
      </c>
      <c r="E96" s="5" t="inlineStr">
        <is>
          <t>HP-10, NFR-03</t>
        </is>
      </c>
      <c r="F96" s="5" t="inlineStr">
        <is>
          <t>Regression</t>
        </is>
      </c>
      <c r="G96" s="5" t="inlineStr">
        <is>
          <t>Member đã lưu địa chỉ giao hàng, đăng xuất, sau đó mở lại app (không đăng nhập lại).</t>
        </is>
      </c>
      <c r="H96" s="5" t="inlineStr">
        <is>
          <t>Logout, sau đó mở lại app ở trạng thái Guest.</t>
        </is>
      </c>
      <c r="I96" s="5" t="inlineStr">
        <is>
          <t>Đang đăng nhập Member, đã có địa chỉ giao hàng đang active trên Homepage.</t>
        </is>
      </c>
      <c r="J96" s="5" t="inlineStr">
        <is>
          <t>Sau logout, Homepage quay về State A (địa chỉ bị xoá, store giữ nguyên - đúng SCR-HOM-06-SC2). Khi mở lại app ở trạng thái Guest (chưa đăng nhập lại), Homepage vẫn ở State A - hiện 'Choose delivery address', KHÔNG tự động khôi phục địa chỉ Member đã dùng trước đó (đúng NFR-03).</t>
        </is>
      </c>
      <c r="K96" s="5" t="inlineStr">
        <is>
          <t>Địa chỉ Member không được phục hồi tự động khi chỉ mở lại app mà chưa đăng nhập lại - đây là hành vi CHẮC CHẮN, khác với QnA-26 (địa chỉ nào active SAU KHI đăng nhập LẠI).</t>
        </is>
      </c>
      <c r="L96" s="5" t="n"/>
      <c r="M96" s="5" t="inlineStr">
        <is>
          <t>Bổ sung theo yêu cầu review 28/08/2026 - phân biệt rõ với QnA-26: case này là 'mở lại app KHÔNG đăng nhập lại'.</t>
        </is>
      </c>
    </row>
    <row r="97" ht="90" customHeight="1" s="19">
      <c r="A97" s="16" t="n">
        <v>95</v>
      </c>
      <c r="B97" s="16" t="inlineStr">
        <is>
          <t>SCR-HOM-02-SC10</t>
        </is>
      </c>
      <c r="C97" s="16" t="inlineStr">
        <is>
          <t>SCR-HOM-02</t>
        </is>
      </c>
      <c r="D97" s="16" t="inlineStr">
        <is>
          <t>HP - Homepage &amp; Login Gate</t>
        </is>
      </c>
      <c r="E97" s="16" t="inlineStr">
        <is>
          <t>HP-03, HP-05</t>
        </is>
      </c>
      <c r="F97" s="16" t="inlineStr">
        <is>
          <t>Negative</t>
        </is>
      </c>
      <c r="G97" s="16" t="inlineStr">
        <is>
          <t>Kiểm tra SCR-HOM-02 chỉ mở được ở chế độ Thêm mới (create), không có luồng Sửa (edit) địa chỉ đã lưu.</t>
        </is>
      </c>
      <c r="H97" s="16" t="inlineStr">
        <is>
          <t>Từ SCR-HOM-01 (đã có địa chỉ, State B) chạm vào địa chỉ; từ SCR-HOM-03 tìm nút Sửa/Edit trên từng địa chỉ đã lưu.</t>
        </is>
      </c>
      <c r="I97" s="16" t="inlineStr">
        <is>
          <t>Tài khoản đã có ít nhất 1 địa chỉ đã lưu.</t>
        </is>
      </c>
      <c r="J97" s="16" t="inlineStr">
        <is>
          <t>TBD - chạm địa chỉ ở State B trên Homepage mở SCR-HOM-03 (danh sách) chứ không mở thẳng SCR-HOM-02; trong SCR-HOM-03 và SCR-HOM-02 KHÔNG tìm thấy nút Sửa (Edit) cho địa chỉ đã lưu, chỉ có '+ Thêm địa chỉ mới' - cần QC xác nhận đây có phải chủ đích hay tài liệu thiếu mô tả.</t>
        </is>
      </c>
      <c r="K97" s="16" t="inlineStr">
        <is>
          <t>Ghi nhận rõ ràng có/không có nút Edit, có/không có nút Delete, đối chiếu với câu trả lời QnA-58.</t>
        </is>
      </c>
      <c r="L97" s="16" t="inlineStr">
        <is>
          <t>QnA-58</t>
        </is>
      </c>
      <c r="M97" s="16" t="inlineStr">
        <is>
          <t>Bổ sung theo yêu cầu review 28/08/2026 - QC phát hiện SRS/Figma không mô tả luồng Sửa/Xoá địa chỉ đã lưu.</t>
        </is>
      </c>
    </row>
    <row r="98" ht="75" customHeight="1" s="19">
      <c r="A98" s="5" t="n">
        <v>96</v>
      </c>
      <c r="B98" s="5" t="inlineStr">
        <is>
          <t>SCR-HOM-03-SC3</t>
        </is>
      </c>
      <c r="C98" s="5" t="inlineStr">
        <is>
          <t>SCR-HOM-03</t>
        </is>
      </c>
      <c r="D98" s="5" t="inlineStr">
        <is>
          <t>HP - Homepage &amp; Login Gate</t>
        </is>
      </c>
      <c r="E98" s="5" t="inlineStr">
        <is>
          <t>HP-09</t>
        </is>
      </c>
      <c r="F98" s="5" t="inlineStr">
        <is>
          <t>Functional</t>
        </is>
      </c>
      <c r="G98" s="5" t="inlineStr">
        <is>
          <t>Bấm nút '+ Thêm địa chỉ mới' từ danh sách địa chỉ đã lưu.</t>
        </is>
      </c>
      <c r="H98" s="5" t="inlineStr">
        <is>
          <t>Bấm '+ Thêm địa chỉ mới' ở cuối danh sách địa chỉ.</t>
        </is>
      </c>
      <c r="I98" s="5" t="inlineStr">
        <is>
          <t>Đang mở danh sách địa chỉ đã lưu (SCR-HOM-03), tài khoản đã có &gt;=1 địa chỉ.</t>
        </is>
      </c>
      <c r="J98" s="5" t="inlineStr">
        <is>
          <t>Mở đúng SCR-HOM-02 ở chế độ Thêm mới (form trống, không pre-fill dữ liệu địa chỉ cũ nào). Bấm back/Cancel từ SCR-HOM-02 quay lại đúng danh sách địa chỉ (SCR-HOM-03), không quay thẳng về Homepage.</t>
        </is>
      </c>
      <c r="K98" s="5" t="inlineStr">
        <is>
          <t>Luôn mở form trống (create mode); Cancel quay lại đúng màn trước đó (danh sách địa chỉ).</t>
        </is>
      </c>
      <c r="L98" s="5" t="n"/>
      <c r="M98" s="5" t="inlineStr">
        <is>
          <t>Bổ sung theo yêu cầu review 28/08/2026. Hành vi Cancel quay lại đúng màn nào là suy luận hợp lý theo điều hướng chuẩn - nếu khác thực tế, cần ghi nhận lại.</t>
        </is>
      </c>
    </row>
    <row r="99" ht="90" customHeight="1" s="19">
      <c r="A99" s="5" t="n">
        <v>97</v>
      </c>
      <c r="B99" s="5" t="inlineStr">
        <is>
          <t>SCR-HOM-03-SC4</t>
        </is>
      </c>
      <c r="C99" s="5" t="inlineStr">
        <is>
          <t>SCR-HOM-03</t>
        </is>
      </c>
      <c r="D99" s="5" t="inlineStr">
        <is>
          <t>HP - Homepage &amp; Login Gate</t>
        </is>
      </c>
      <c r="E99" s="5" t="inlineStr">
        <is>
          <t>HP-09</t>
        </is>
      </c>
      <c r="F99" s="5" t="inlineStr">
        <is>
          <t>Functional</t>
        </is>
      </c>
      <c r="G99" s="5" t="inlineStr">
        <is>
          <t>Kiểm tra gợi ý 'Served by [store]' trên từng dòng địa chỉ khớp đúng với store thực sự load lên header sau khi chọn.</t>
        </is>
      </c>
      <c r="H99" s="5" t="inlineStr">
        <is>
          <t>Với từng địa chỉ (Home, Office, Parents...), đối chiếu chữ 'Served by X' với store thực tế xuất hiện trên header sau khi chọn.</t>
        </is>
      </c>
      <c r="I99" s="5" t="inlineStr">
        <is>
          <t>Tài khoản có &gt;=3 địa chỉ đã lưu, mỗi địa chỉ có gợi ý store khác nhau (ít nhất 1 cùng store hiện tại, 1 khác store).</t>
        </is>
      </c>
      <c r="J99" s="5" t="inlineStr">
        <is>
          <t>Với MỌI địa chỉ, store hiện lên header NGAY SAU KHI chọn phải khớp 100% với chữ 'Served by X' đã hiển thị trước đó trên chính dòng địa chỉ đó - không có trường hợp lệch nhau.</t>
        </is>
      </c>
      <c r="K99" s="5" t="inlineStr">
        <is>
          <t>Gợi ý store trên danh sách và store thực tải lên header luôn nhất quán, không có sai lệch dữ liệu.</t>
        </is>
      </c>
      <c r="L99" s="5" t="n"/>
      <c r="M99" s="5" t="inlineStr">
        <is>
          <t>Bổ sung theo yêu cầu review 28/08/2026 - kiểm tra tính nhất quán dữ liệu giữa gợi ý hiển thị và kết quả thực tế.</t>
        </is>
      </c>
    </row>
    <row r="100" ht="75" customHeight="1" s="19">
      <c r="A100" s="16" t="n">
        <v>98</v>
      </c>
      <c r="B100" s="16" t="inlineStr">
        <is>
          <t>SCR-HOM-03-SC5</t>
        </is>
      </c>
      <c r="C100" s="16" t="inlineStr">
        <is>
          <t>SCR-HOM-03</t>
        </is>
      </c>
      <c r="D100" s="16" t="inlineStr">
        <is>
          <t>HP - Homepage &amp; Login Gate</t>
        </is>
      </c>
      <c r="E100" s="16" t="inlineStr">
        <is>
          <t>HP-09</t>
        </is>
      </c>
      <c r="F100" s="16" t="inlineStr">
        <is>
          <t>Edge</t>
        </is>
      </c>
      <c r="G100" s="16" t="inlineStr">
        <is>
          <t>Kiểm tra thứ tự sắp xếp các địa chỉ trong danh sách khi có nhiều địa chỉ, một số cùng store hiện tại và một số khác store.</t>
        </is>
      </c>
      <c r="H100" s="16" t="inlineStr">
        <is>
          <t>Tài khoản có &gt;=4 địa chỉ: 2 cùng được store hiện tại (Nam Sài Gòn) phục vụ, 2 chỉ được store khác phục vụ.</t>
        </is>
      </c>
      <c r="I100" s="16" t="inlineStr">
        <is>
          <t>Đang ở store Nam Sài Gòn, đã có sẵn 4 địa chỉ nêu trên, mở danh sách địa chỉ.</t>
        </is>
      </c>
      <c r="J100" s="16" t="inlineStr">
        <is>
          <t>TBD - chưa rõ danh sách có ưu tiên đẩy các địa chỉ cùng được store hiện tại phục vụ lên đầu hay không, hay chỉ sắp theo tiêu chí khác (mới tạo gần nhất, alphabet...) - chờ QnA-59.</t>
        </is>
      </c>
      <c r="K100" s="16" t="inlineStr">
        <is>
          <t>Ghi nhận đúng thứ tự thực tế hiển thị, đối chiếu với câu trả lời QnA-59 khi có.</t>
        </is>
      </c>
      <c r="L100" s="16" t="inlineStr">
        <is>
          <t>QnA-59</t>
        </is>
      </c>
      <c r="M100" s="16" t="inlineStr">
        <is>
          <t>Bổ sung theo yêu cầu review 28/08/2026.</t>
        </is>
      </c>
    </row>
    <row r="101" ht="90" customHeight="1" s="19">
      <c r="A101" s="16" t="n">
        <v>99</v>
      </c>
      <c r="B101" s="16" t="inlineStr">
        <is>
          <t>SCR-HOM-03-SC6</t>
        </is>
      </c>
      <c r="C101" s="16" t="inlineStr">
        <is>
          <t>SCR-HOM-03</t>
        </is>
      </c>
      <c r="D101" s="16" t="inlineStr">
        <is>
          <t>HP - Homepage &amp; Login Gate</t>
        </is>
      </c>
      <c r="E101" s="16" t="inlineStr">
        <is>
          <t>HP-09</t>
        </is>
      </c>
      <c r="F101" s="16" t="inlineStr">
        <is>
          <t>Edge</t>
        </is>
      </c>
      <c r="G101" s="16" t="inlineStr">
        <is>
          <t>Chọn 1 địa chỉ đã lưu nằm NGOÀI vùng phục vụ của TẤT CẢ store (0 store nào phục vụ được).</t>
        </is>
      </c>
      <c r="H101" s="16" t="inlineStr">
        <is>
          <t>Chọn địa chỉ ở khu vực không có store nào cấu hình phục vụ.</t>
        </is>
      </c>
      <c r="I101" s="16" t="inlineStr">
        <is>
          <t>Tài khoản có 1 địa chỉ đã lưu nằm ngoài mọi vùng phục vụ của toàn bộ store hiện có.</t>
        </is>
      </c>
      <c r="J101" s="16" t="inlineStr">
        <is>
          <t>TBD - (1) dòng địa chỉ này hiển thị gợi ý store thế nào (để trống/thông báo riêng/ẩn dòng gợi ý); (2) sau khi chọn, store hiện tại có giữ nguyên hay xử lý khác, vì rule HP-09/BRL-09 hiện chỉ mô tả 3/4 trường hợp (chưa có case 0 store phù hợp) - chờ QnA-60.</t>
        </is>
      </c>
      <c r="K101" s="16" t="inlineStr">
        <is>
          <t>Không được để khách bị kẹt màn hình lỗi hay không có phản hồi nào khi chọn địa chỉ này.</t>
        </is>
      </c>
      <c r="L101" s="16" t="inlineStr">
        <is>
          <t>QnA-60</t>
        </is>
      </c>
      <c r="M101" s="16" t="inlineStr">
        <is>
          <t>Bổ sung theo yêu cầu review 28/08/2026 - phát hiện rule HP-09 thiếu 1 nhánh xử lý.</t>
        </is>
      </c>
    </row>
    <row r="102" ht="75" customHeight="1" s="19">
      <c r="A102" s="16" t="n">
        <v>100</v>
      </c>
      <c r="B102" s="16" t="inlineStr">
        <is>
          <t>SCR-HOM-03-SC7</t>
        </is>
      </c>
      <c r="C102" s="16" t="inlineStr">
        <is>
          <t>SCR-HOM-03</t>
        </is>
      </c>
      <c r="D102" s="16" t="inlineStr">
        <is>
          <t>HP - Homepage &amp; Login Gate</t>
        </is>
      </c>
      <c r="E102" s="16" t="inlineStr">
        <is>
          <t>HP-09</t>
        </is>
      </c>
      <c r="F102" s="16" t="inlineStr">
        <is>
          <t>Negative</t>
        </is>
      </c>
      <c r="G102" s="16" t="inlineStr">
        <is>
          <t>Tắt quyền định vị (location = Denied/Off) rồi chọn 1 địa chỉ đã lưu để kiểm tra việc tự động đổi store có còn hoạt động đúng không.</t>
        </is>
      </c>
      <c r="H102" s="16" t="inlineStr">
        <is>
          <t>Tắt quyền định vị của thiết bị, mở danh sách địa chỉ, chọn 1 địa chỉ khác store.</t>
        </is>
      </c>
      <c r="I102" s="16" t="inlineStr">
        <is>
          <t>Quyền định vị đang Denied/Off, tài khoản có &gt;=2 địa chỉ ở các vùng phục vụ khác nhau.</t>
        </is>
      </c>
      <c r="J102" s="16" t="inlineStr">
        <is>
          <t>TBD - kỳ vọng ban đầu (chưa được BA xác nhận): việc đổi store vẫn hoạt động bình thường vì hệ thống dùng toạ độ đã lưu sẵn của địa chỉ (geocode lúc tạo ở SCR-HOM-02), không cần định vị sống của thiết bị - chờ QnA-61 xác nhận.</t>
        </is>
      </c>
      <c r="K102" s="16" t="inlineStr">
        <is>
          <t>Tắt định vị không được làm hỏng luồng đổi địa chỉ/store trên Homepage, vì địa chỉ đã có toạ độ cố định từ trước.</t>
        </is>
      </c>
      <c r="L102" s="16" t="inlineStr">
        <is>
          <t>QnA-61</t>
        </is>
      </c>
      <c r="M102" s="16" t="inlineStr">
        <is>
          <t>Bổ sung theo yêu cầu review 28/08/2026.</t>
        </is>
      </c>
    </row>
    <row r="103" ht="120" customHeight="1" s="19">
      <c r="A103" s="5" t="n">
        <v>101</v>
      </c>
      <c r="B103" s="5" t="inlineStr">
        <is>
          <t>SCR-HOM-04-SC4</t>
        </is>
      </c>
      <c r="C103" s="5" t="inlineStr">
        <is>
          <t>SCR-HOM-04</t>
        </is>
      </c>
      <c r="D103" s="5" t="inlineStr">
        <is>
          <t>HP - Homepage &amp; Login Gate</t>
        </is>
      </c>
      <c r="E103" s="5" t="inlineStr">
        <is>
          <t>HP-08, BRL-10, BRL-11, BRL-12</t>
        </is>
      </c>
      <c r="F103" s="5" t="inlineStr">
        <is>
          <t>Functional</t>
        </is>
      </c>
      <c r="G103" s="5" t="inlineStr">
        <is>
          <t>Kiểm tra badge dịch vụ hiển thị đúng cho từng store trong danh sách đổi store.</t>
        </is>
      </c>
      <c r="H103" s="5" t="inlineStr">
        <is>
          <t>Mở store sheet, đối chiếu badge của 4 store mẫu (Nam Sài Gòn: 60-Minute+Standard; Tân Bình: Standard only; Gò Vấp: Standard only; Long Biên: Does not serve this address).</t>
        </is>
      </c>
      <c r="I103" s="5" t="inlineStr">
        <is>
          <t>Địa chỉ hiện tại đã cố định (123 Nguyễn Thị Thập, Q.7), đã cấu hình đúng 4 store mẫu như Figma.</t>
        </is>
      </c>
      <c r="J103" s="5" t="inlineStr">
        <is>
          <t>Mỗi store hiển thị đúng 1 trong các badge: '60-Minute + Standard', 'Standard only', hoặc 'Does not serve this address' - khớp chính xác với ngưỡng khoảng cách BRL-10..12 của từng store tới địa chỉ hiện tại.</t>
        </is>
      </c>
      <c r="K103" s="5" t="inlineStr">
        <is>
          <t>Badge không được sai lệch hay hiển thị mặc định chung cho mọi store - phải tính riêng theo từng cặp store-địa chỉ.</t>
        </is>
      </c>
      <c r="L103" s="5" t="n"/>
      <c r="M103" s="5" t="inlineStr">
        <is>
          <t>Bổ sung theo yêu cầu review 28/08/2026 - dùng đúng bộ dữ liệu mẫu trong Figma (Slide 45).</t>
        </is>
      </c>
    </row>
    <row r="104" ht="75" customHeight="1" s="19">
      <c r="A104" s="16" t="n">
        <v>102</v>
      </c>
      <c r="B104" s="16" t="inlineStr">
        <is>
          <t>SCR-HOM-04-SC5</t>
        </is>
      </c>
      <c r="C104" s="16" t="inlineStr">
        <is>
          <t>SCR-HOM-04</t>
        </is>
      </c>
      <c r="D104" s="16" t="inlineStr">
        <is>
          <t>HP - Homepage &amp; Login Gate</t>
        </is>
      </c>
      <c r="E104" s="16" t="inlineStr">
        <is>
          <t>HP-08</t>
        </is>
      </c>
      <c r="F104" s="16" t="inlineStr">
        <is>
          <t>Functional</t>
        </is>
      </c>
      <c r="G104" s="16" t="inlineStr">
        <is>
          <t>Tìm kiếm store theo tên hoặc theo quận trong ô 'Search store or district'.</t>
        </is>
      </c>
      <c r="H104" s="16" t="inlineStr">
        <is>
          <t>Gõ tên store (ví dụ 'Tân Bình'); gõ tên quận theo địa giới CŨ (ví dụ 'Q.7'); gõ theo địa giới MỚI sau sáp nhập (nếu có).</t>
        </is>
      </c>
      <c r="I104" s="16" t="inlineStr">
        <is>
          <t>Đang mở store sheet (SCR-HOM-04), đã có sẵn danh sách store với nhãn quận theo địa giới cũ (Figma Slide 45: 'Q.7', 'Q. Tân Bình').</t>
        </is>
      </c>
      <c r="J104" s="16" t="inlineStr">
        <is>
          <t>Tìm theo tên store trả đúng kết quả khớp tên. Tìm theo quận: TBD - chưa rõ hệ thống tìm được cả theo địa giới CŨ và MỚI hay chỉ 1 trong 2 - liên quan trực tiếp QnA-46 (trước chỉ nêu cho SCR-ONB-03, nay áp dụng thêm cho SCR-HOM-04).</t>
        </is>
      </c>
      <c r="K104" s="16" t="inlineStr">
        <is>
          <t>Không được để khách gõ đúng tên quận (dù cũ hay mới) mà nhận 0 kết quả do lệch dữ liệu địa giới.</t>
        </is>
      </c>
      <c r="L104" s="16" t="inlineStr">
        <is>
          <t>QnA-46</t>
        </is>
      </c>
      <c r="M104" s="16" t="inlineStr">
        <is>
          <t>Bổ sung theo yêu cầu review 28/08/2026 - mở rộng phạm vi QnA-46 (trước chỉ áp dụng cho SCR-ONB-03) sang cả SCR-HOM-04.</t>
        </is>
      </c>
    </row>
    <row r="105" ht="60" customHeight="1" s="19">
      <c r="A105" s="16" t="n">
        <v>103</v>
      </c>
      <c r="B105" s="16" t="inlineStr">
        <is>
          <t>SCR-HOM-04-SC6</t>
        </is>
      </c>
      <c r="C105" s="16" t="inlineStr">
        <is>
          <t>SCR-HOM-04</t>
        </is>
      </c>
      <c r="D105" s="16" t="inlineStr">
        <is>
          <t>HP - Homepage &amp; Login Gate</t>
        </is>
      </c>
      <c r="E105" s="16" t="inlineStr">
        <is>
          <t>HP-08, BRL-10, BRL-11, BRL-12</t>
        </is>
      </c>
      <c r="F105" s="16" t="inlineStr">
        <is>
          <t>Edge</t>
        </is>
      </c>
      <c r="G105" s="16" t="inlineStr">
        <is>
          <t>Mở SCR-HOM-04 khi Homepage đang ở State A (chưa có địa chỉ) và/hoặc quyền định vị đang tắt, kiểm tra badge dịch vụ hiển thị gì.</t>
        </is>
      </c>
      <c r="H105" s="16" t="inlineStr">
        <is>
          <t>(a) Chưa có địa chỉ nào, mở store sheet; (b) đã tắt quyền định vị, mở store sheet.</t>
        </is>
      </c>
      <c r="I105" s="16" t="inlineStr">
        <is>
          <t>(a) Guest/Member chưa từng tạo địa chỉ; (b) quyền định vị = Denied/Off.</t>
        </is>
      </c>
      <c r="J105" s="16" t="inlineStr">
        <is>
          <t>TBD - chưa rõ badge dịch vụ dựa vào vị trí hiện tại của thiết bị (cần định vị) hay ẩn/không hiển thị badge cho đến khi có địa chỉ - chờ QnA-62.</t>
        </is>
      </c>
      <c r="K105" s="16" t="inlineStr">
        <is>
          <t>Không được hiển thị badge sai hoặc gây nhầm lẫn khi chưa có đủ dữ liệu địa chỉ/định vị để tính.</t>
        </is>
      </c>
      <c r="L105" s="16" t="inlineStr">
        <is>
          <t>QnA-62</t>
        </is>
      </c>
      <c r="M105" s="16" t="inlineStr">
        <is>
          <t>Bổ sung theo yêu cầu review 28/08/2026.</t>
        </is>
      </c>
    </row>
    <row r="106" ht="75" customHeight="1" s="19">
      <c r="A106" s="16" t="n">
        <v>104</v>
      </c>
      <c r="B106" s="16" t="inlineStr">
        <is>
          <t>SCR-HOM-04-SC7</t>
        </is>
      </c>
      <c r="C106" s="16" t="inlineStr">
        <is>
          <t>SCR-HOM-04</t>
        </is>
      </c>
      <c r="D106" s="16" t="inlineStr">
        <is>
          <t>HP - Homepage &amp; Login Gate</t>
        </is>
      </c>
      <c r="E106" s="16" t="inlineStr">
        <is>
          <t>HP-08, BRL-08</t>
        </is>
      </c>
      <c r="F106" s="16" t="inlineStr">
        <is>
          <t>Edge</t>
        </is>
      </c>
      <c r="G106" s="16" t="inlineStr">
        <is>
          <t>Đổi store làm địa chỉ hiện tại ĐỦ điều kiện dịch vụ TỐT HƠN (từ chỉ Standard lên đủ 60-Minute tại store mới).</t>
        </is>
      </c>
      <c r="H106" s="16" t="inlineStr">
        <is>
          <t>Chọn store mới mà địa chỉ hiện tại nằm trong bán kính 60-Minute của store đó (store cũ chỉ đủ Standard).</t>
        </is>
      </c>
      <c r="I106" s="16" t="inlineStr">
        <is>
          <t>Địa chỉ hiện tại đang ở vùng chỉ-Standard của store cũ.</t>
        </is>
      </c>
      <c r="J106" s="16" t="inlineStr">
        <is>
          <t>TBD - chưa rõ hệ thống có TỰ ĐỘNG nâng dịch vụ đang chọn lên 60-Minute không, hay giữ nguyên Standard cho khách tự đổi, và có thông báo tương tự case rớt dịch vụ không - chờ QnA-63.</t>
        </is>
      </c>
      <c r="K106" s="16" t="inlineStr">
        <is>
          <t>Hành vi nâng dịch vụ (nếu có) phải nhất quán với rule rớt dịch vụ đã có (luôn phải thông báo, không âm thầm đổi).</t>
        </is>
      </c>
      <c r="L106" s="16" t="inlineStr">
        <is>
          <t>QnA-63</t>
        </is>
      </c>
      <c r="M106" s="16" t="inlineStr">
        <is>
          <t>Bổ sung theo yêu cầu review 28/08/2026 - bổ sung chiều ngược lại của SCR-HOM-04-SC2.</t>
        </is>
      </c>
    </row>
    <row r="107" ht="75" customHeight="1" s="19">
      <c r="A107" s="16" t="n">
        <v>105</v>
      </c>
      <c r="B107" s="16" t="inlineStr">
        <is>
          <t>SCR-HOM-04-SC8</t>
        </is>
      </c>
      <c r="C107" s="16" t="inlineStr">
        <is>
          <t>SCR-HOM-04</t>
        </is>
      </c>
      <c r="D107" s="16" t="inlineStr">
        <is>
          <t>HP - Homepage &amp; Login Gate</t>
        </is>
      </c>
      <c r="E107" s="16" t="inlineStr">
        <is>
          <t>HP-08, BRL-08, CT-07, BRL-24</t>
        </is>
      </c>
      <c r="F107" s="16" t="inlineStr">
        <is>
          <t>Edge</t>
        </is>
      </c>
      <c r="G107" s="16" t="inlineStr">
        <is>
          <t>Đổi store từ Homepage trong khi ĐÃ có sẵn giỏ hàng (Cart) chứa sản phẩm từ store cũ.</t>
        </is>
      </c>
      <c r="H107" s="16" t="inlineStr">
        <is>
          <t>Có sẵn Cart với sản phẩm từ store cũ; mở SCR-HOM-04, chọn store mới khiến 1 SKU trong Cart hết hàng/đổi giá/mất dịch vụ.</t>
        </is>
      </c>
      <c r="I107" s="16" t="inlineStr">
        <is>
          <t>Giỏ hàng đang có sản phẩm từ store cũ, store mới sẽ ảnh hưởng giỏ hàng này nếu áp dụng.</t>
        </is>
      </c>
      <c r="J107" s="16" t="inlineStr">
        <is>
          <t>TBD - chưa rõ Homepage có cảnh báo/chặn giống SCR-CRT-06 khi đang có giỏ hàng bị ảnh hưởng hay không, hay áp dụng ngay theo BRL-08 và để Cart tự xử lý riêng khi khách mở lại Cart - đây là xung đột rule cần BA xác nhận (QnA-64).</t>
        </is>
      </c>
      <c r="K107" s="16" t="inlineStr">
        <is>
          <t>Giỏ hàng không được bị thay đổi âm thầm (mất sản phẩm/đổi giá) mà không có bất kỳ cảnh báo nào ở MỘT TRONG HAI màn hình (Homepage hoặc khi mở lại Cart).</t>
        </is>
      </c>
      <c r="L107" s="16" t="inlineStr">
        <is>
          <t>QnA-64</t>
        </is>
      </c>
      <c r="M107" s="16" t="inlineStr">
        <is>
          <t>Bổ sung theo yêu cầu review 28/08/2026 - xung đột trực tiếp giữa rule SCR-HOM-04 (không cảnh báo) và SCR-CRT-06 (bắt buộc cảnh báo).</t>
        </is>
      </c>
    </row>
    <row r="108" ht="75" customHeight="1" s="19">
      <c r="A108" s="5" t="n">
        <v>106</v>
      </c>
      <c r="B108" s="5" t="inlineStr">
        <is>
          <t>SCR-CRT-02-SC3</t>
        </is>
      </c>
      <c r="C108" s="5" t="inlineStr">
        <is>
          <t>SCR-CRT-02</t>
        </is>
      </c>
      <c r="D108" s="5" t="inlineStr">
        <is>
          <t>CT - Cart</t>
        </is>
      </c>
      <c r="E108" s="5" t="inlineStr">
        <is>
          <t>CT-08</t>
        </is>
      </c>
      <c r="F108" s="5" t="inlineStr">
        <is>
          <t>Normal</t>
        </is>
      </c>
      <c r="G108" s="5" t="inlineStr">
        <is>
          <t>Chọn dịch vụ 60-Minute khi còn nhiều slot (healthy), hoàn tất bước Cart và Proceed to Checkout.</t>
        </is>
      </c>
      <c r="H108" s="5" t="inlineStr">
        <is>
          <t>Địa chỉ trong bán kính 3-5km, chọn 60-Minute, giỏ hàng chỉ gồm sản phẩm đủ điều kiện 60-Minute.</t>
        </is>
      </c>
      <c r="I108" s="5" t="inlineStr">
        <is>
          <t>Store còn nhiều slot 60-Minute (trên ngưỡng cảnh báo), địa chỉ trong bán kính 60-Minute.</t>
        </is>
      </c>
      <c r="J108" s="5" t="inlineStr">
        <is>
          <t>Chọn 60-Minute thành công, hiện đúng giờ dự kiến giao ('Arrives by...'), số slot còn lại, phí cố định 25.000đ; nút Proceed to Checkout hoạt động và chuyển sang SCR-CHK-01 với dịch vụ 60-Minute đã chọn.</t>
        </is>
      </c>
      <c r="K108" s="5" t="inlineStr">
        <is>
          <t>Toàn bộ luồng chọn 60-Minute + hoàn tất Cart phải mượt, không cần cảnh báo gì khi slot còn healthy.</t>
        </is>
      </c>
      <c r="L108" s="5" t="n"/>
      <c r="M108" s="5" t="inlineStr">
        <is>
          <t>Bổ sung theo yêu cầu review 28/08/2026 - trước đó SCR-CRT-02 chỉ có 2 test Boundary (phí cố định, cảnh báo sắp hết slot), thiếu test Normal cho luồng chọn thành công cơ bản.</t>
        </is>
      </c>
    </row>
    <row r="109" ht="105" customHeight="1" s="19">
      <c r="A109" s="16" t="n">
        <v>107</v>
      </c>
      <c r="B109" s="16" t="inlineStr">
        <is>
          <t>SCR-CRT-02-SC4</t>
        </is>
      </c>
      <c r="C109" s="16" t="inlineStr">
        <is>
          <t>SCR-CRT-02</t>
        </is>
      </c>
      <c r="D109" s="16" t="inlineStr">
        <is>
          <t>CT - Cart</t>
        </is>
      </c>
      <c r="E109" s="16" t="inlineStr">
        <is>
          <t>CT-08</t>
        </is>
      </c>
      <c r="F109" s="16" t="inlineStr">
        <is>
          <t>Edge</t>
        </is>
      </c>
      <c r="G109" s="16" t="inlineStr">
        <is>
          <t>60-Minute đã HOÀN TOÀN hết slot (0 slot, Closed) tại màn Cart.</t>
        </is>
      </c>
      <c r="H109" s="16" t="inlineStr">
        <is>
          <t>Store có 0 slot 60-Minute còn lại cho khung giờ hiện tại.</t>
        </is>
      </c>
      <c r="I109" s="16" t="inlineStr">
        <is>
          <t>Store cấu hình 0 slot 60-Minute khả dụng.</t>
        </is>
      </c>
      <c r="J109" s="16" t="inlineStr">
        <is>
          <t>TBD - SRS chỉ mô tả State A (healthy) và State B (cảnh báo còn 1 slot), chưa mô tả trạng thái hoàn toàn Closed trên chính màn SCR-CRT-02 (dịch vụ có bị ẩn/disable, hay khách chọn được rồi mới báo lỗi, và có tự động chuyển sang Standard hay không). Ghi nhận hành vi thực tế, đối chiếu QnA-65.</t>
        </is>
      </c>
      <c r="K109" s="16" t="inlineStr">
        <is>
          <t>TBD - chờ QnA-65.</t>
        </is>
      </c>
      <c r="L109" s="16" t="inlineStr">
        <is>
          <t>QnA-65</t>
        </is>
      </c>
      <c r="M109" s="16" t="inlineStr">
        <is>
          <t>Bổ sung theo yêu cầu review 28/08/2026 - khác với QnA-57 (màn chọn slot chi tiết SCR-CRT-07/SCR-CRT-04-SC4), đây là về chính màn tóm tắt dịch vụ SCR-CRT-02.</t>
        </is>
      </c>
    </row>
    <row r="110" ht="90" customHeight="1" s="19">
      <c r="A110" s="5" t="n">
        <v>108</v>
      </c>
      <c r="B110" s="5" t="inlineStr">
        <is>
          <t>SCR-CRT-01-SC7</t>
        </is>
      </c>
      <c r="C110" s="5" t="inlineStr">
        <is>
          <t>SCR-CRT-01</t>
        </is>
      </c>
      <c r="D110" s="5" t="inlineStr">
        <is>
          <t>CT - Cart</t>
        </is>
      </c>
      <c r="E110" s="5" t="inlineStr">
        <is>
          <t>CT-06</t>
        </is>
      </c>
      <c r="F110" s="5" t="inlineStr">
        <is>
          <t>Normal</t>
        </is>
      </c>
      <c r="G110" s="5" t="inlineStr">
        <is>
          <t>Giỏ hàng đạt mốc chi tiêu quy định → ô PwP chuyển từ khoá sang mở khoá.</t>
        </is>
      </c>
      <c r="H110" s="5" t="inlineStr">
        <is>
          <t>Thêm sản phẩm vào giỏ cho đến khi đạt đúng mốc chi tiêu yêu cầu cho 1 ưu đãi PwP cụ thể.</t>
        </is>
      </c>
      <c r="I110" s="5" t="inlineStr">
        <is>
          <t>Giỏ hàng đang hiện ô PwP ở trạng thái KHOÁ với thông báo còn thiếu bao nhiêu để mở khoá (ví dụ 'Mua 1 lon nước ép nữa để mở khoá PwP').</t>
        </is>
      </c>
      <c r="J110" s="5" t="inlineStr">
        <is>
          <t>Ngay khi giỏ hàng đạt đúng mốc chi tiêu, ô PwP chuyển từ trạng thái khoá (hiện thông báo còn thiếu) sang trạng thái MỞ KHOÁ (hiện giá deal, ví dụ '29.000đ thay vì 45.000đ'), khách có thể thêm sản phẩm PwP vào giỏ với giá deal.</t>
        </is>
      </c>
      <c r="K110" s="5" t="inlineStr">
        <is>
          <t>Việc mở khoá phải xảy ra NGAY khi đạt mốc (real-time), không cần load lại trang hay thao tác thêm.</t>
        </is>
      </c>
      <c r="L110" s="5" t="n"/>
      <c r="M110" s="5" t="inlineStr">
        <is>
          <t>Bổ sung theo yêu cầu review 28/08/2026 - test case cũ (SCR-CRT-01-SC4) chỉ test đếm ngược hết hạn (đang chờ QnA-28), chưa test đúng cơ chế gốc "mở khoá theo mốc chi tiêu" (CT-06, đã có trong SRS, không cần QnA).</t>
        </is>
      </c>
    </row>
    <row r="111" ht="75" customHeight="1" s="19">
      <c r="A111" s="5" t="n">
        <v>109</v>
      </c>
      <c r="B111" s="5" t="inlineStr">
        <is>
          <t>SCR-CHK-02-SC7</t>
        </is>
      </c>
      <c r="C111" s="5" t="inlineStr">
        <is>
          <t>SCR-CHK-02</t>
        </is>
      </c>
      <c r="D111" s="5" t="inlineStr">
        <is>
          <t>CO - Checkout</t>
        </is>
      </c>
      <c r="E111" s="5" t="inlineStr">
        <is>
          <t>CO-07</t>
        </is>
      </c>
      <c r="F111" s="5" t="inlineStr">
        <is>
          <t>Normal</t>
        </is>
      </c>
      <c r="G111" s="5" t="inlineStr">
        <is>
          <t>Bật toggle yêu cầu xuất hoá đơn VAT, nhập đầy đủ Company/Tax code/Company address hợp lệ.</t>
        </is>
      </c>
      <c r="H111" s="5" t="inlineStr">
        <is>
          <t>Bật toggle 'VAT invoice', nhập Company/Tax code/Company address hợp lệ.</t>
        </is>
      </c>
      <c r="I111" s="5" t="inlineStr">
        <is>
          <t>Đang ở SCR-CHK-02 bước 2 (VAT invoice, final summary).</t>
        </is>
      </c>
      <c r="J111" s="5" t="inlineStr">
        <is>
          <t>Sau khi bật toggle, 3 trường Company/Tax code/Company address hiện ra để nhập; nhập đủ và hợp lệ thì thông tin được giữ lại tới khi Đặt hàng, gắn đúng vào đơn hàng.</t>
        </is>
      </c>
      <c r="K111" s="5" t="inlineStr">
        <is>
          <t>Bật/tắt toggle không làm mất dữ liệu Payment Summary hay các lựa chọn khác ở màn này.</t>
        </is>
      </c>
      <c r="L111" s="5" t="n"/>
      <c r="M111" s="5" t="inlineStr">
        <is>
          <t>Bổ sung theo yêu cầu review 28/08/2026 - trước đó CO-07 chỉ có test Integration (INT-11, xác minh luồng dữ liệu backend), chưa có test Functional/UI cho chính màn SCR-CHK-02.</t>
        </is>
      </c>
    </row>
    <row r="112" ht="105" customHeight="1" s="19">
      <c r="A112" s="16" t="n">
        <v>110</v>
      </c>
      <c r="B112" s="16" t="inlineStr">
        <is>
          <t>SCR-CHK-02-SC8</t>
        </is>
      </c>
      <c r="C112" s="16" t="inlineStr">
        <is>
          <t>SCR-CHK-02</t>
        </is>
      </c>
      <c r="D112" s="16" t="inlineStr">
        <is>
          <t>CO - Checkout</t>
        </is>
      </c>
      <c r="E112" s="16" t="inlineStr">
        <is>
          <t>CO-07</t>
        </is>
      </c>
      <c r="F112" s="16" t="inlineStr">
        <is>
          <t>Validation</t>
        </is>
      </c>
      <c r="G112" s="16" t="inlineStr">
        <is>
          <t>Bật toggle xuất hoá đơn nhưng để trống hoặc nhập sai định dạng Tax code.</t>
        </is>
      </c>
      <c r="H112" s="16" t="inlineStr">
        <is>
          <t>Bật toggle, để trống Tax code (hoặc nhập Tax code sai định dạng, ví dụ chứa chữ cái).</t>
        </is>
      </c>
      <c r="I112" s="16" t="inlineStr">
        <is>
          <t>Đang ở SCR-CHK-02, toggle VAT invoice đang bật.</t>
        </is>
      </c>
      <c r="J112" s="16" t="inlineStr">
        <is>
          <t>TBD - SRS chỉ liệt kê 3 trường (Company/Tax code/Company address) và ghi chú 'Rules unchanged from today? TBC - OQ-19', chưa xác nhận trường nào bắt buộc, định dạng Tax code hợp lệ là gì, và có chặn bấm Đặt hàng khi thiếu/sai không. Ghi nhận hành vi thực tế, đối chiếu QnA-19.</t>
        </is>
      </c>
      <c r="K112" s="16" t="inlineStr">
        <is>
          <t>TBD - chờ QnA-19 xác nhận rule bắt buộc/định dạng chính thức.</t>
        </is>
      </c>
      <c r="L112" s="16" t="inlineStr">
        <is>
          <t>QnA-19</t>
        </is>
      </c>
      <c r="M112" s="16" t="inlineStr">
        <is>
          <t>Bổ sung theo yêu cầu review 28/08/2026 - làm rõ phần 'validate trường bắt buộc' của CO-07, dùng chung QnA-19 đã có (rule VAT invoice To-Be có đổi so với hiện tại hay không).</t>
        </is>
      </c>
    </row>
    <row r="113" ht="210" customHeight="1" s="19">
      <c r="A113" s="16" t="n">
        <v>111</v>
      </c>
      <c r="B113" s="16" t="inlineStr">
        <is>
          <t>SCR-AUT-04-SC5</t>
        </is>
      </c>
      <c r="C113" s="16" t="inlineStr">
        <is>
          <t>SCR-AUT-04</t>
        </is>
      </c>
      <c r="D113" s="16" t="inlineStr">
        <is>
          <t>SU - Signup</t>
        </is>
      </c>
      <c r="E113" s="16" t="inlineStr">
        <is>
          <t>NFR-02, SU-07</t>
        </is>
      </c>
      <c r="F113" s="16" t="inlineStr">
        <is>
          <t>Functional</t>
        </is>
      </c>
      <c r="G113" s="16" t="inlineStr">
        <is>
          <t>Bật Face ID/vân tay khi thiết bị ĐÃ có 1 bio ticket của tài khoản khác đang hoạt động.</t>
        </is>
      </c>
      <c r="H113" s="16" t="inlineStr">
        <is>
          <t>Thiết bị đã có bio ticket active của Tài khoản A; đang đăng nhập/tạo mới Tài khoản B, bấm 'Enable' ở lời mời sinh trắc học.</t>
        </is>
      </c>
      <c r="I113" s="16" t="inlineStr">
        <is>
          <t>Thiết bị đã có 1 bio ticket của Tài khoản A đang hoạt động (theo INT-06).</t>
        </is>
      </c>
      <c r="J113" s="16" t="inlineStr">
        <is>
          <t>Hệ thống hiện cảnh báo RÕ RÀNG cho khách trước khi ghi đè ticket của Tài khoản A (đúng đề xuất đã thống nhất tại NFR-02/OQ-07/OQ-11: 'one active ticket per device, with an explicit warning before it is overwritten'); khách xác nhận thì ticket cũ bị ghi đè, Tài khoản A không còn đăng nhập bằng sinh trắc học trên thiết bị này được nữa.</t>
        </is>
      </c>
      <c r="K113" s="16" t="inlineStr">
        <is>
          <t>Cảnh báo phải xuất hiện TRƯỚC khi ghi đè, không được ghi đè âm thầm.</t>
        </is>
      </c>
      <c r="L113" s="16" t="inlineStr">
        <is>
          <t>QnA-07, QnA-11</t>
        </is>
      </c>
      <c r="M113" s="16" t="inlineStr">
        <is>
          <t>Bổ sung theo yêu cầu review 28/08/2026 - đóng gap 'LI-07 chỉ có test Integration (INT-06/INT-15), thiếu test Functional/UI cho màn hình cảnh báo thực tế'. LƯU Ý: đặt tại SCR-AUT-04 (Signup - Profile &amp; Biometric Offer), KHÔNG phải SCR-AUT-05 - theo SRS slide 51, bước bật sinh trắc học chỉ xuất hiện ở SCR-AUT-04 ngay sau khi tạo tài khoản; SCR-AUT-05 (Login - Authenticate) không có bước bật sinh trắc học nào. Hướng xử lý (cảnh báo trước khi ghi đè) đã được BA thống nhất là proposal chính thức, chỉ còn chi tiết kỹ thuật đang chờ (OQ-07/OQ-11, QnA-07/QnA-11).</t>
        </is>
      </c>
    </row>
    <row r="114" ht="75" customHeight="1" s="19">
      <c r="A114" s="5" t="n">
        <v>112</v>
      </c>
      <c r="B114" s="5" t="inlineStr">
        <is>
          <t>SCR-AUT-03-SC3</t>
        </is>
      </c>
      <c r="C114" s="5" t="inlineStr">
        <is>
          <t>SCR-AUT-03</t>
        </is>
      </c>
      <c r="D114" s="5" t="inlineStr">
        <is>
          <t>SU - Signup</t>
        </is>
      </c>
      <c r="E114" s="5" t="inlineStr">
        <is>
          <t>SU-04</t>
        </is>
      </c>
      <c r="F114" s="5" t="inlineStr">
        <is>
          <t>Boundary</t>
        </is>
      </c>
      <c r="G114" s="5" t="inlineStr">
        <is>
          <t>Thử nhập ký tự không phải số, hoặc ít/nhiều hơn 6 ký tự vào ô PIN.</t>
        </is>
      </c>
      <c r="H114" s="5" t="inlineStr">
        <is>
          <t>Thử gõ chữ cái/ký tự đặc biệt vào ô PIN; thử nhập 5 số rồi bấm Tiếp tục.</t>
        </is>
      </c>
      <c r="I114" s="5" t="inlineStr">
        <is>
          <t>Đang ở bước tạo PIN lần đầu (SCR-AUT-03), dùng bàn phím số riêng của app.</t>
        </is>
      </c>
      <c r="J114" s="5" t="inlineStr">
        <is>
          <t>Bàn phím riêng của app CHỈ hiện nút số 0-9 (không có chữ/ký tự đặc biệt) nên không thể nhập sai định dạng từ giao diện; ô PIN chỉ chấp nhận ĐÚNG 6 số mới cho phép xác nhận/chuyển bước, chưa đủ 6 số thì nút xác nhận không kích hoạt được.</t>
        </is>
      </c>
      <c r="K114" s="5" t="inlineStr">
        <is>
          <t>Không có cách nào (qua giao diện app) nhập được PIN khác 6 chữ số.</t>
        </is>
      </c>
      <c r="L114" s="5" t="n"/>
      <c r="M114" s="5" t="inlineStr">
        <is>
          <t>Bổ sung theo yêu cầu review 28/08/2026 - trước đó SCR-AUT-03 chỉ có Normal (tạo đúng, SC1) và Negative (xác nhận không khớp, SC2), thiếu test boundary cho chính ràng buộc input (6 số, chỉ số).</t>
        </is>
      </c>
    </row>
    <row r="115" ht="120" customHeight="1" s="19">
      <c r="A115" s="16" t="n">
        <v>113</v>
      </c>
      <c r="B115" s="16" t="inlineStr">
        <is>
          <t>SCR-HOM-05-SC2</t>
        </is>
      </c>
      <c r="C115" s="16" t="inlineStr">
        <is>
          <t>SCR-HOM-05</t>
        </is>
      </c>
      <c r="D115" s="16" t="inlineStr">
        <is>
          <t>HP - Homepage &amp; Login Gate</t>
        </is>
      </c>
      <c r="E115" s="16" t="inlineStr">
        <is>
          <t>HP-04</t>
        </is>
      </c>
      <c r="F115" s="16" t="inlineStr">
        <is>
          <t>Edge</t>
        </is>
      </c>
      <c r="G115" s="16" t="inlineStr">
        <is>
          <t>Kiểm tra ước tính giao hàng khi rơi vào giờ cao điểm, ngày lễ/Tết, hoặc tình huống thiên tai/bất khả kháng tại store.</t>
        </is>
      </c>
      <c r="H115" s="16" t="inlineStr">
        <is>
          <t>Giả lập thời điểm/đặt cấu hình test tương ứng: (a) khung giờ cao điểm (ví dụ 18:00-20:00 buổi tối), (b) ngày lễ/Tết theo lịch, (c) store được đánh dấu tạm ngưng nhận đơn (bất khả kháng).</t>
        </is>
      </c>
      <c r="I115" s="16" t="inlineStr">
        <is>
          <t>Có địa chỉ hợp lệ trong vùng phục vụ của store.</t>
        </is>
      </c>
      <c r="J115" s="16" t="inlineStr">
        <is>
          <t>TBD - SRS (BRL-10..28) chỉ mô tả rule capacity/precedence chung, không có điều chỉnh riêng cho giờ cao điểm/lễ Tết/thiên tai. Ghi nhận hành vi thực tế của hệ thống ở cả 3 tình huống, đối chiếu QnA-66.</t>
        </is>
      </c>
      <c r="K115" s="16" t="inlineStr">
        <is>
          <t>TBD - chờ QnA-66.</t>
        </is>
      </c>
      <c r="L115" s="16" t="inlineStr">
        <is>
          <t>QnA-66</t>
        </is>
      </c>
      <c r="M115" s="16" t="inlineStr">
        <is>
          <t>Bổ sung theo yêu cầu review 28/08/2026 - làm rõ rule tính giờ giao hàng available có bao gồm giờ cao điểm/lễ Tết/thiên tai hay chưa.</t>
        </is>
      </c>
    </row>
    <row r="116" ht="75" customHeight="1" s="19">
      <c r="A116" s="16" t="n">
        <v>114</v>
      </c>
      <c r="B116" s="16" t="inlineStr">
        <is>
          <t>SCR-HOM-06-SC3</t>
        </is>
      </c>
      <c r="C116" s="16" t="inlineStr">
        <is>
          <t>SCR-HOM-06</t>
        </is>
      </c>
      <c r="D116" s="16" t="inlineStr">
        <is>
          <t>HP - Homepage &amp; Login Gate</t>
        </is>
      </c>
      <c r="E116" s="16" t="inlineStr">
        <is>
          <t>HP-01</t>
        </is>
      </c>
      <c r="F116" s="16" t="inlineStr">
        <is>
          <t>Functional</t>
        </is>
      </c>
      <c r="G116" s="16" t="inlineStr">
        <is>
          <t>Bấm 'View more' ở strip thông tin Member (điểm thưởng/barcode).</t>
        </is>
      </c>
      <c r="H116" s="16" t="inlineStr">
        <is>
          <t>Bấm 'View more' ngay dưới dòng điểm thưởng.</t>
        </is>
      </c>
      <c r="I116" s="16" t="inlineStr">
        <is>
          <t>Đã đăng nhập Member, đang xem Homepage State A.</t>
        </is>
      </c>
      <c r="J116" s="16" t="inlineStr">
        <is>
          <t>TBD - SRS chỉ vẽ nút "View more" trên mockup, chưa mô tả trong bảng hành vi (Item 1-6) sẽ mở màn gì (trang tài khoản đầy đủ, lịch sử điểm, danh sách coupon, hay mở rộng barcode). Ghi nhận màn đích thực tế, đối chiếu QnA-67.</t>
        </is>
      </c>
      <c r="K116" s="16" t="inlineStr">
        <is>
          <t>TBD - chờ QnA-67.</t>
        </is>
      </c>
      <c r="L116" s="16" t="inlineStr">
        <is>
          <t>QnA-67</t>
        </is>
      </c>
      <c r="M116" s="16" t="inlineStr">
        <is>
          <t>Bổ sung theo yêu cầu review 28/08/2026.</t>
        </is>
      </c>
    </row>
    <row r="117" ht="120" customHeight="1" s="19">
      <c r="A117" s="16" t="n">
        <v>115</v>
      </c>
      <c r="B117" s="16" t="inlineStr">
        <is>
          <t>SCR-HOM-06-SC4</t>
        </is>
      </c>
      <c r="C117" s="16" t="inlineStr">
        <is>
          <t>SCR-HOM-06</t>
        </is>
      </c>
      <c r="D117" s="16" t="inlineStr">
        <is>
          <t>HP - Homepage &amp; Login Gate</t>
        </is>
      </c>
      <c r="E117" s="16" t="inlineStr">
        <is>
          <t>HP-05, SU-05</t>
        </is>
      </c>
      <c r="F117" s="16" t="inlineStr">
        <is>
          <t>Edge</t>
        </is>
      </c>
      <c r="G117" s="16" t="inlineStr">
        <is>
          <t>Guest đang duyệt với địa chỉ/store cục bộ trên thiết bị, đăng nhập ('Sign in', không phải Register) vào 1 tài khoản Member ĐÃ TỒN TẠI SẴN (đã có địa chỉ đã lưu/store đăng ký riêng).</t>
        </is>
      </c>
      <c r="H117" s="16" t="inlineStr">
        <is>
          <t>Thiết lập sẵn 1 tài khoản Member có địa chỉ đã lưu khác với địa chỉ Guest đang dùng trên thiết bị, và Registered store khác với store Guest đang duyệt; sau đó đăng nhập vào tài khoản này.</t>
        </is>
      </c>
      <c r="I117" s="16" t="inlineStr">
        <is>
          <t>Guest đã tự chọn 1 địa chỉ cục bộ + đang duyệt tại 1 store cụ thể trên thiết bị test.</t>
        </is>
      </c>
      <c r="J117" s="16" t="inlineStr">
        <is>
          <t>TBD - HP-05/PF-01 chỉ xác nhận đồng bộ địa chỉ Guest lên tài khoản ở lần đăng nhập ĐẦU TIÊN (tài khoản mới tạo), chưa mô tả rõ cho tài khoản ĐÃ TỒN TẠI SẴN. Ghi nhận địa chỉ/store thực tế hiển thị sau khi đăng nhập, đối chiếu QnA-68.</t>
        </is>
      </c>
      <c r="K117" s="16" t="inlineStr">
        <is>
          <t>TBD - chờ QnA-68.</t>
        </is>
      </c>
      <c r="L117" s="16" t="inlineStr">
        <is>
          <t>QnA-68</t>
        </is>
      </c>
      <c r="M117" s="16" t="inlineStr">
        <is>
          <t>Bổ sung theo yêu cầu review 28/08/2026 - khác với SCR-HOM-06-SC1 (chỉ test đổi giá Guest-&gt;Member, không xét địa chỉ/store xung đột) và QnA-26 (đó là case đăng XUẤT rồi đăng nhập LẠI cùng thiết bị, còn đây là Guest CHƯA TỪNG đăng nhập chuyển sang Member có sẵn).</t>
        </is>
      </c>
    </row>
    <row r="118" ht="120" customHeight="1" s="19">
      <c r="A118" s="5" t="n">
        <v>116</v>
      </c>
      <c r="B118" s="5" t="inlineStr">
        <is>
          <t>SCR-AUT-01-SC4</t>
        </is>
      </c>
      <c r="C118" s="5" t="inlineStr">
        <is>
          <t>SCR-AUT-01</t>
        </is>
      </c>
      <c r="D118" s="5" t="inlineStr">
        <is>
          <t>HP - Homepage &amp; Login Gate</t>
        </is>
      </c>
      <c r="E118" s="5" t="inlineStr">
        <is>
          <t>HP-06</t>
        </is>
      </c>
      <c r="F118" s="5" t="inlineStr">
        <is>
          <t>Normal</t>
        </is>
      </c>
      <c r="G118" s="5" t="inlineStr">
        <is>
          <t>Guest bấm 'Register' (thay vì 'Sign in') từ bottom sheet login gate, hoàn tất đăng ký, thao tác ban đầu vẫn được resume.</t>
        </is>
      </c>
      <c r="H118" s="5" t="inlineStr">
        <is>
          <t>Bấm Add to Cart (hoặc Cart icon) để mở gate, chọn 'New customer - Register', hoàn tất đăng ký tài khoản mới.</t>
        </is>
      </c>
      <c r="I118" s="5" t="inlineStr">
        <is>
          <t>Guest chưa có tài khoản, đang xem 1 sản phẩm có thể thêm vào giỏ.</t>
        </is>
      </c>
      <c r="J118" s="5" t="inlineStr">
        <is>
          <t>Bấm 'Register' mở SCR-AUT-02 ở chế độ signup (không phải login); sau khi hoàn tất đăng ký thành công (tự động đăng nhập theo SU-06), thao tác ban đầu đã kích hoạt gate được RESUME đúng như luồng Sign-in (sản phẩm tự thêm nếu trigger là Add to Cart, hoặc Cart mở trực tiếp nếu trigger là Cart icon); địa chỉ Guest cục bộ (nếu có) được đồng bộ lên tài khoản mới (HP-05).</t>
        </is>
      </c>
      <c r="K118" s="5" t="inlineStr">
        <is>
          <t>Luồng Register phải resume đúng y hệt luồng Sign-in, chỉ khác ở việc tạo tài khoản mới thay vì xác thực tài khoản có sẵn.</t>
        </is>
      </c>
      <c r="L118" s="5" t="n"/>
      <c r="M118" s="5" t="inlineStr">
        <is>
          <t>Bổ sung theo yêu cầu review 28/08/2026 - SC1/SC2/SC3 trước đó chỉ test nhánh "Sign in" và "Cancel", chưa test riêng nhánh "Register" của cùng bottom sheet.</t>
        </is>
      </c>
    </row>
    <row r="119" ht="165" customHeight="1" s="19">
      <c r="A119" s="5" t="n">
        <v>117</v>
      </c>
      <c r="B119" s="5" t="inlineStr">
        <is>
          <t>SCR-AUT-02-SC4</t>
        </is>
      </c>
      <c r="C119" s="5" t="inlineStr">
        <is>
          <t>SCR-AUT-02</t>
        </is>
      </c>
      <c r="D119" s="5" t="inlineStr">
        <is>
          <t>SU - Signup</t>
        </is>
      </c>
      <c r="E119" s="5" t="inlineStr">
        <is>
          <t>SU-01, SU-02, SU-03</t>
        </is>
      </c>
      <c r="F119" s="5" t="inlineStr">
        <is>
          <t>Negative</t>
        </is>
      </c>
      <c r="G119" s="5" t="inlineStr">
        <is>
          <t>Gửi OTP thất bại vì vấn đề với chính số điện thoại hoặc tài khoản kênh nhận OTP (chưa active, Zalo chưa kích hoạt/bị khoá, hoặc SĐT nước ngoài có Zalo đăng ký tại VN).</t>
        </is>
      </c>
      <c r="H119" s="5" t="inlineStr">
        <is>
          <t>SĐT đúng định dạng nhưng thuộc 1 trong 3 trạng thái bất thường: (1) chưa active trên mạng viễn thông, (2) active nhưng Zalo gắn với số đó chưa kích hoạt hoặc đã bị khoá, (3) SĐT đầu số nước ngoài nhưng có tài khoản Zalo đăng ký tại Việt Nam.</t>
        </is>
      </c>
      <c r="I119" s="5" t="inlineStr">
        <is>
          <t>Đang ở bước nhập SĐT của Đăng ký (SCR-AUT-02), đã có sẵn 3 loại SĐT test tương ứng.</t>
        </is>
      </c>
      <c r="J119" s="5" t="inlineStr">
        <is>
          <t>Hệ thống phải phân biệt được và báo lỗi rõ ràng cho từng trường hợp; SĐT vẫn giữ nguyên trên ô nhập; không có OTP nào được coi là gửi thành công khi kênh không thể nhận. TBD - nội dung thông báo lỗi cụ thể và hệ thống có tự đề xuất đổi kênh khác hay chỉ báo lỗi rồi để khách tự chọn lại, đang chờ QnA-69.</t>
        </is>
      </c>
      <c r="K119" s="5" t="inlineStr">
        <is>
          <t>Không có trường hợp nào trong 3 trường hợp này khiến app treo/loading vô hạn hoặc báo lỗi chung chung không rõ nguyên nhân.</t>
        </is>
      </c>
      <c r="L119" s="5" t="inlineStr">
        <is>
          <t>QnA-69</t>
        </is>
      </c>
      <c r="M119" s="5" t="inlineStr">
        <is>
          <t>Bổ sung theo yêu cầu review 28/08/2026. SC1/SC2/SC3 trước đó chỉ test SĐT hợp lệ+hoạt động bình thường hoặc SĐT đã đăng ký; chưa test các trạng thái bất thường của chính số điện thoại/kênh nhận OTP.</t>
        </is>
      </c>
    </row>
    <row r="120" ht="90" customHeight="1" s="19">
      <c r="A120" s="5" t="n">
        <v>118</v>
      </c>
      <c r="B120" s="5" t="inlineStr">
        <is>
          <t>SCR-AUT-02-SC5</t>
        </is>
      </c>
      <c r="C120" s="5" t="inlineStr">
        <is>
          <t>SCR-AUT-02</t>
        </is>
      </c>
      <c r="D120" s="5" t="inlineStr">
        <is>
          <t>SU - Signup</t>
        </is>
      </c>
      <c r="E120" s="5" t="inlineStr">
        <is>
          <t>SU-03</t>
        </is>
      </c>
      <c r="F120" s="5" t="inlineStr">
        <is>
          <t>Edge</t>
        </is>
      </c>
      <c r="G120" s="5" t="inlineStr">
        <is>
          <t>Thoát hẳn (kill) app ngay sau khi gửi OTP, đang chờ nhập mã, rồi mở lại app.</t>
        </is>
      </c>
      <c r="H120" s="5" t="inlineStr">
        <is>
          <t>Bấm gửi OTP thành công, sau đó kill app (không phải chuyển nền) trước khi nhập mã, mở lại app.</t>
        </is>
      </c>
      <c r="I120" s="5" t="inlineStr">
        <is>
          <t>Đã gửi OTP thành công qua 1 kênh bất kỳ, chưa nhập mã.</t>
        </is>
      </c>
      <c r="J120" s="5" t="inlineStr">
        <is>
          <t>TBD - đang chờ QnA-71 xác nhận app sẽ tiếp tục đúng màn nhập OTP với mã đã gửi, quay về màn nhập SĐT từ đầu, hay yêu cầu gửi lại mã mới. Người thực thi chỉ ghi nhận hành vi thực tế, không tự ý chấm Pass/Fail khi chưa có câu trả lời chính thức.</t>
        </is>
      </c>
      <c r="K120" s="5" t="inlineStr">
        <is>
          <t>Không được để khách bị kẹt (không có đường quay lại/tiến tiếp) sau khi mở lại app.</t>
        </is>
      </c>
      <c r="L120" s="5" t="inlineStr">
        <is>
          <t>QnA-71</t>
        </is>
      </c>
      <c r="M120" s="5" t="inlineStr">
        <is>
          <t>Bổ sung theo yêu cầu review 28/08/2026. Tương tự pattern tắt app giữa chừng đã ghi nhận cho Onboarding (QnA-47/48) nhưng riêng cho bước OTP của Signup, trước đó chưa có test case nào cho tình huống này.</t>
        </is>
      </c>
    </row>
    <row r="121" ht="75" customHeight="1" s="19">
      <c r="A121" s="5" t="n">
        <v>119</v>
      </c>
      <c r="B121" s="5" t="inlineStr">
        <is>
          <t>SCR-AUT-03-SC4</t>
        </is>
      </c>
      <c r="C121" s="5" t="inlineStr">
        <is>
          <t>SCR-AUT-03</t>
        </is>
      </c>
      <c r="D121" s="5" t="inlineStr">
        <is>
          <t>SU - Signup</t>
        </is>
      </c>
      <c r="E121" s="5" t="inlineStr">
        <is>
          <t>SU-04</t>
        </is>
      </c>
      <c r="F121" s="5" t="inlineStr">
        <is>
          <t>Validation</t>
        </is>
      </c>
      <c r="G121" s="5" t="inlineStr">
        <is>
          <t>Tạo PIN thuộc nhóm PIN "yếu" (6 số liên tiếp, 6 số giống nhau, hoặc trùng với chính SĐT của khách) - kiểm tra hệ thống có chặn không.</t>
        </is>
      </c>
      <c r="H121" s="5" t="inlineStr">
        <is>
          <t>PIN test thuộc các nhóm yếu: '123456', '654321', '111111', và PIN trùng với 6 số cuối của chính SĐT đang đăng ký.</t>
        </is>
      </c>
      <c r="I121" s="5" t="inlineStr">
        <is>
          <t>Vừa xác thực OTP thành công, đang ở bước tạo PIN lần đầu (SCR-AUT-03).</t>
        </is>
      </c>
      <c r="J121" s="5" t="inlineStr">
        <is>
          <t>TBD - đang chờ QnA-72 xác nhận bộ rule PIN yếu cụ thể (có chặn hay không, chặn những mẫu nào, thông báo lỗi ra sao).</t>
        </is>
      </c>
      <c r="K121" s="5" t="inlineStr">
        <is>
          <t>Nếu có rule chặn, phải áp dụng nhất quán ở CẢ 2 nơi tạo/đổi PIN (tạo PIN lần đầu SCR-AUT-03 và đặt PIN mới khi Quên PIN SCR-AUT-06).</t>
        </is>
      </c>
      <c r="L121" s="5" t="inlineStr">
        <is>
          <t>QnA-72</t>
        </is>
      </c>
      <c r="M121" s="5" t="inlineStr">
        <is>
          <t>Bổ sung theo yêu cầu review 28/08/2026. SC1 (tạo đúng)/SC2 (không khớp)/SC3 (sai định dạng) đều chưa test rule về NỘI DUNG PIN yếu (phân biệt với SC3 chỉ test rule về ĐỊNH DẠNG - 6 số/chỉ số).</t>
        </is>
      </c>
    </row>
    <row r="122" ht="75" customHeight="1" s="19">
      <c r="A122" s="5" t="n">
        <v>120</v>
      </c>
      <c r="B122" s="5" t="inlineStr">
        <is>
          <t>SCR-AUT-03-SC5</t>
        </is>
      </c>
      <c r="C122" s="5" t="inlineStr">
        <is>
          <t>SCR-AUT-03</t>
        </is>
      </c>
      <c r="D122" s="5" t="inlineStr">
        <is>
          <t>SU - Signup</t>
        </is>
      </c>
      <c r="E122" s="5" t="inlineStr">
        <is>
          <t>SU-04</t>
        </is>
      </c>
      <c r="F122" s="5" t="inlineStr">
        <is>
          <t>Edge</t>
        </is>
      </c>
      <c r="G122" s="5" t="inlineStr">
        <is>
          <t>Thoát hẳn (kill) app giữa lúc đang ở bước tạo PIN (đã xác thực OTP nhưng chưa hoàn tất tạo PIN), rồi mở lại.</t>
        </is>
      </c>
      <c r="H122" s="5" t="inlineStr">
        <is>
          <t>Kill app khi đang ở màn nhập PIN lần đầu hoặc màn xác nhận PIN (chưa bấm xong).</t>
        </is>
      </c>
      <c r="I122" s="5" t="inlineStr">
        <is>
          <t>Đã xác thực OTP thành công, đang ở SCR-AUT-03, chưa hoàn tất tạo PIN.</t>
        </is>
      </c>
      <c r="J122" s="5" t="inlineStr">
        <is>
          <t>TBD - đang chờ QnA-73 xác nhận app tiếp tục đúng bước tạo PIN dở dang, yêu cầu xác thực OTP lại từ đầu, hay hành vi khác.</t>
        </is>
      </c>
      <c r="K122" s="5" t="inlineStr">
        <is>
          <t>Không được tạo tài khoản ở trạng thái "lửng" (đã xác thực SĐT nhưng không có PIN, không rõ có thể đăng nhập lại được không) mà không có đường xử lý rõ ràng.</t>
        </is>
      </c>
      <c r="L122" s="5" t="inlineStr">
        <is>
          <t>QnA-73</t>
        </is>
      </c>
      <c r="M122" s="5" t="inlineStr">
        <is>
          <t>Bổ sung theo yêu cầu review 28/08/2026. Tương tự pattern tắt app giữa chừng đã ghi nhận cho Onboarding (QnA-47/48) và Signup/OTP (SC5 vừa thêm ở SCR-AUT-02), áp dụng cho bước tạo PIN.</t>
        </is>
      </c>
    </row>
    <row r="123" ht="210" customHeight="1" s="19">
      <c r="A123" s="5" t="n">
        <v>121</v>
      </c>
      <c r="B123" s="5" t="inlineStr">
        <is>
          <t>SCR-AUT-02-SC6</t>
        </is>
      </c>
      <c r="C123" s="5" t="inlineStr">
        <is>
          <t>SCR-AUT-02</t>
        </is>
      </c>
      <c r="D123" s="5" t="inlineStr">
        <is>
          <t>SU - Signup</t>
        </is>
      </c>
      <c r="E123" s="5" t="inlineStr">
        <is>
          <t>SU-01, HP-06, HP-07</t>
        </is>
      </c>
      <c r="F123" s="5" t="inlineStr">
        <is>
          <t>Regression</t>
        </is>
      </c>
      <c r="G123" s="5" t="inlineStr">
        <is>
          <t>Liệt kê và xác nhận đầy đủ các entry point (lối vào) dẫn tới màn Đăng ký (SCR-AUT-02), đối chiếu với toàn bộ SRS/Figma xem có lối vào nào chưa được test không.</t>
        </is>
      </c>
      <c r="H123" s="5" t="inlineStr">
        <is>
          <t>Thử từng lối vào đã biết: (1) Add to Cart bị chặn bởi login gate → chọn 'New customer - Register'; (2) Cart icon bị chặn bởi login gate → chọn 'New customer - Register'; (3) rà soát toàn bộ SRS/Figma tìm CTA 'Sign up'/'Đăng ký' độc lập không thông qua login gate (ví dụ tab Account, banner Homepage, màn hình cuối Onboarding).</t>
        </is>
      </c>
      <c r="I123" s="5" t="inlineStr">
        <is>
          <t>Guest chưa có tài khoản.</t>
        </is>
      </c>
      <c r="J123" s="5" t="inlineStr">
        <is>
          <t>2 lối vào qua login gate (Add to Cart, Cart icon) đã được xác nhận dẫn đúng tới SCR-AUT-02 ở chế độ Đăng ký (đã test tại SCR-AUT-01-SC4/SCR-AUT-01-SC4-TC1). TBD - đang chờ QnA-74 xác nhận SRS/Figma có lối vào Đăng ký nào KHÁC ngoài login gate hay không.</t>
        </is>
      </c>
      <c r="K123" s="5" t="inlineStr">
        <is>
          <t>Mọi lối vào Đăng ký đã liệt kê đầy đủ đều phải dẫn đúng tới cùng 1 màn SCR-AUT-02, không có luồng Đăng ký "ẩn" nào chưa được test.</t>
        </is>
      </c>
      <c r="L123" s="5" t="inlineStr">
        <is>
          <t>QnA-74</t>
        </is>
      </c>
      <c r="M123" s="5" t="inlineStr">
        <is>
          <t>Bổ sung theo yêu cầu review 31/08/2026. Đối chiếu toàn bộ sheet Functional Test Scenarios hiện tại cho thấy SRS chỉ mô tả 2 lối vào qua login gate (SCR-AUT-01-SC1/SC2/SC4); chưa xác nhận có lối vào Đăng ký độc lập nào khác - test case này dùng để tổng hợp/tra cứu nhanh coverage entry point, không lặp lại nội dung đã test ở SCR-AUT-01.</t>
        </is>
      </c>
    </row>
    <row r="124" ht="180" customHeight="1" s="19">
      <c r="A124" s="5" t="n">
        <v>122</v>
      </c>
      <c r="B124" s="5" t="inlineStr">
        <is>
          <t>SCR-AUT-04-SC6</t>
        </is>
      </c>
      <c r="C124" s="5" t="inlineStr">
        <is>
          <t>SCR-AUT-04</t>
        </is>
      </c>
      <c r="D124" s="5" t="inlineStr">
        <is>
          <t>SU - Signup</t>
        </is>
      </c>
      <c r="E124" s="5" t="inlineStr">
        <is>
          <t>SU-05</t>
        </is>
      </c>
      <c r="F124" s="5" t="inlineStr">
        <is>
          <t>Validation</t>
        </is>
      </c>
      <c r="G124" s="5" t="inlineStr">
        <is>
          <t>Kiểm tra giá trị mặc định của TOÀN BỘ trường tại màn Hồ sơ (Tên, Giới tính, Ngày sinh, Quốc tịch, Store đăng ký, checkbox Điều khoản, checkbox Marketing) ngay khi vừa vào màn hình.</t>
        </is>
      </c>
      <c r="H124" s="5" t="inlineStr">
        <is>
          <t>Không thao tác gì, quan sát giá trị mặc định của từng trường.</t>
        </is>
      </c>
      <c r="I124" s="5" t="inlineStr">
        <is>
          <t>Vừa tạo PIN thành công ở SCR-AUT-03, đã chọn store 'LOTTE Mart Nam Sài Gòn' ở Onboarding.</t>
        </is>
      </c>
      <c r="J124" s="5" t="inlineStr">
        <is>
          <t>Giới tính mặc định = 'Chị' (đã chốt, QnA-02). Store đăng ký mặc định = store đã chọn ở Onboarding (đã chốt, QnA-02, xem SC2). Checkbox Điều khoản mặc định KHÔNG tick, là điều kiện bắt buộc (đã chốt, xem SC1). Checkbox Marketing mặc định KHÔNG tick, tuỳ chọn (đã chốt, xem SC1). TBD - đang chờ QnA-75 xác nhận: trường Tên có mặc định để trống hay có gợi ý nào không (ví dụ từ hồ sơ Zalo nếu kênh OTP là Zalo); trường Ngày sinh có mặc định để trống hay có giá trị placeholder nào; trường Quốc tịch có mặc định = 'Việt Nam' hay để trống bắt khách tự chọn.</t>
        </is>
      </c>
      <c r="K124" s="5" t="inlineStr">
        <is>
          <t>Toàn bộ 7 trường (Tên, Giới tính, Ngày sinh, Quốc tịch, Store, 2 checkbox) phải có giá trị mặc định đúng như SRS/BA đã chốt, không có trường nào bị bỏ sót khi review.</t>
        </is>
      </c>
      <c r="L124" s="5" t="inlineStr">
        <is>
          <t>QnA-75</t>
        </is>
      </c>
      <c r="M124" s="5" t="inlineStr">
        <is>
          <t>Bổ sung theo yêu cầu review 31/08/2026. Gộp lại thành 1 scenario tổng hợp TOÀN BỘ giá trị mặc định của màn Hồ sơ; SC2 hiện tại (đã có) chỉ tập trung riêng Giới tính + Store, SC1 chỉ nói chung chung về checkbox trong bối cảnh test Điều khoản - scenario này bổ sung phần Tên/Ngày sinh/Quốc tịch còn thiếu và tổng hợp lại toàn cảnh.</t>
        </is>
      </c>
    </row>
    <row r="125" ht="120" customHeight="1" s="19">
      <c r="A125" s="5" t="n">
        <v>123</v>
      </c>
      <c r="B125" s="5" t="inlineStr">
        <is>
          <t>SCR-AUT-04-SC7</t>
        </is>
      </c>
      <c r="C125" s="5" t="inlineStr">
        <is>
          <t>SCR-AUT-04</t>
        </is>
      </c>
      <c r="D125" s="5" t="inlineStr">
        <is>
          <t>SU - Signup</t>
        </is>
      </c>
      <c r="E125" s="5" t="inlineStr">
        <is>
          <t>SU-06, SU-07, SU-08</t>
        </is>
      </c>
      <c r="F125" s="5" t="inlineStr">
        <is>
          <t>Functional</t>
        </is>
      </c>
      <c r="G125" s="5" t="inlineStr">
        <is>
          <t>Xác nhận nút 'Tạo tài khoản' (Create Account) có đẩy qua 1 màn hình xác nhận 'Account Created' riêng biệt không, và thứ tự hiển thị màn này so với lời mời sinh trắc học (SC4) và việc resume giỏ hàng (SC3).</t>
        </is>
      </c>
      <c r="H125" s="5" t="inlineStr">
        <is>
          <t>Bấm 'Tạo tài khoản' với hồ sơ hợp lệ, quan sát toàn bộ chuỗi màn hình xuất hiện sau đó cho tới khi về lại Homepage/Cart.</t>
        </is>
      </c>
      <c r="I125" s="5" t="inlineStr">
        <is>
          <t>Đã điền đủ hồ sơ hợp lệ, tick Điều khoản, sẵn sàng bấm Submit.</t>
        </is>
      </c>
      <c r="J125" s="5" t="inlineStr">
        <is>
          <t>TBD - đang chờ QnA-76 xác nhận: (1) có tồn tại 1 màn hình 'Account Created' riêng biệt (khác với lời mời sinh trắc học ở SC4) không, nội dung màn đó là gì; (2) thứ tự chính xác giữa 3 sự kiện: hiện màn Account Created (nếu có) / hiện lời mời sinh trắc học (SC4) / resume giỏ hàng-đăng nhập tự động (SC3) - cái nào xảy ra trước, cái nào chỉ là overlay không chặn luồng.</t>
        </is>
      </c>
      <c r="K125" s="5" t="inlineStr">
        <is>
          <t>Toàn bộ chuỗi màn hình sau Submit phải được xác định rõ ràng và nhất quán giữa các test case (SC3, SC4 hiện đang mô tả rời rạc từng phần, chưa có 1 bức tranh tổng thể về thứ tự).</t>
        </is>
      </c>
      <c r="L125" s="5" t="inlineStr">
        <is>
          <t>QnA-76</t>
        </is>
      </c>
      <c r="M125" s="5" t="inlineStr">
        <is>
          <t>Bổ sung theo yêu cầu review 31/08/2026. SC3 (hiện có) chỉ nói "tự động đăng nhập... sản phẩm được thêm tự động", SC4 (hiện có) chỉ nói lời mời sinh trắc học "xuất hiện SAU khi tài khoản đã được tạo" - cả 2 đều KHÔNG xác nhận có màn Account Created trung gian hay không, và thứ tự chính xác giữa 3 sự kiện này.</t>
        </is>
      </c>
    </row>
    <row r="126" ht="90" customHeight="1" s="19">
      <c r="A126" s="5" t="n">
        <v>124</v>
      </c>
      <c r="B126" s="5" t="inlineStr">
        <is>
          <t>SCR-AUT-04-SC8</t>
        </is>
      </c>
      <c r="C126" s="5" t="inlineStr">
        <is>
          <t>SCR-AUT-04</t>
        </is>
      </c>
      <c r="D126" s="5" t="inlineStr">
        <is>
          <t>SU - Signup</t>
        </is>
      </c>
      <c r="E126" s="5" t="inlineStr">
        <is>
          <t>SU-05</t>
        </is>
      </c>
      <c r="F126" s="5" t="inlineStr">
        <is>
          <t>Edge</t>
        </is>
      </c>
      <c r="G126" s="5" t="inlineStr">
        <is>
          <t>Thoát hẳn (kill) app giữa lúc đang điền Hồ sơ (đã xác thực OTP + tạo PIN nhưng chưa Submit hồ sơ), rồi mở lại.</t>
        </is>
      </c>
      <c r="H126" s="5" t="inlineStr">
        <is>
          <t>Điền dở 1 vài trường của Hồ sơ (chưa Submit), kill app, mở lại.</t>
        </is>
      </c>
      <c r="I126" s="5" t="inlineStr">
        <is>
          <t>Đã tạo PIN thành công ở SCR-AUT-03, đang ở SCR-AUT-04, chưa bấm Tạo tài khoản.</t>
        </is>
      </c>
      <c r="J126" s="5" t="inlineStr">
        <is>
          <t>TBD - đang chờ QnA-77 xác nhận app tiếp tục đúng màn Hồ sơ với dữ liệu đã điền dở (giữ nguyên), yêu cầu xác thực lại từ đầu (SĐT/OTP/PIN), hay hành vi khác.</t>
        </is>
      </c>
      <c r="K126" s="5" t="inlineStr">
        <is>
          <t>Không được tạo tài khoản ở trạng thái "lửng" (đã có SĐT xác thực + PIN nhưng không có hồ sơ) mà không có đường xử lý rõ ràng.</t>
        </is>
      </c>
      <c r="L126" s="5" t="inlineStr">
        <is>
          <t>QnA-77</t>
        </is>
      </c>
      <c r="M126" s="5" t="inlineStr">
        <is>
          <t>Bổ sung theo yêu cầu review 31/08/2026. Tương tự pattern tắt app giữa chừng đã ghi nhận cho Onboarding (QnA-47/48) và các bước OTP/PIN của Signup (SCR-AUT-02-SC5, SCR-AUT-03-SC5), áp dụng cho bước điền Hồ sơ.</t>
        </is>
      </c>
    </row>
    <row r="127" ht="210" customHeight="1" s="19">
      <c r="A127" s="5" t="n">
        <v>125</v>
      </c>
      <c r="B127" s="5" t="inlineStr">
        <is>
          <t>SCR-AUT-05-SC5</t>
        </is>
      </c>
      <c r="C127" s="5" t="inlineStr">
        <is>
          <t>SCR-AUT-05</t>
        </is>
      </c>
      <c r="D127" s="5" t="inlineStr">
        <is>
          <t>LI - Login</t>
        </is>
      </c>
      <c r="E127" s="5" t="inlineStr">
        <is>
          <t>LI-01, HP-06, HP-07</t>
        </is>
      </c>
      <c r="F127" s="5" t="inlineStr">
        <is>
          <t>Regression</t>
        </is>
      </c>
      <c r="G127" s="5" t="inlineStr">
        <is>
          <t>Liệt kê và xác nhận đầy đủ các entry point (lối vào) dẫn tới màn Đăng nhập (SCR-AUT-05), đối chiếu với toàn bộ SRS/Figma xem có lối vào nào chưa được test không.</t>
        </is>
      </c>
      <c r="H127" s="5" t="inlineStr">
        <is>
          <t>Thử từng lối vào đã biết: (1) Add to Cart bị chặn bởi login gate → chọn 'Existing customer - Sign in'; (2) Cart icon bị chặn bởi login gate → chọn 'Sign in'; (3) rà soát toàn bộ SRS/Figma tìm CTA 'Sign in'/'Đăng nhập' độc lập không thông qua login gate (ví dụ tab Account cho Guest, sau khi Logout ở SCR-HOM-06-SC2).</t>
        </is>
      </c>
      <c r="I127" s="5" t="inlineStr">
        <is>
          <t>Guest hoặc vừa Logout, chưa đăng nhập.</t>
        </is>
      </c>
      <c r="J127" s="5" t="inlineStr">
        <is>
          <t>2 lối vào qua login gate (Add to Cart, Cart icon) đã được xác nhận dẫn đúng tới SCR-AUT-05 (đã test tại SCR-AUT-01-SC1/SC2). TBD - đang chờ QnA-78 xác nhận SRS/Figma có lối vào Đăng nhập nào KHÁC ngoài login gate hay không - đặc biệt là sau khi Logout (SCR-HOM-06-SC2), Guest có 1 CTA 'Sign in' hiển thị thường trực (không cần trigger gate) hay vẫn phải qua Add to Cart/Cart icon như Guest thông thường.</t>
        </is>
      </c>
      <c r="K127" s="5" t="inlineStr">
        <is>
          <t>Mọi lối vào Đăng nhập đã liệt kê đầy đủ đều phải dẫn đúng tới cùng 1 màn SCR-AUT-05, không có luồng Đăng nhập "ẩn" nào chưa được test.</t>
        </is>
      </c>
      <c r="L127" s="5" t="inlineStr">
        <is>
          <t>QnA-78</t>
        </is>
      </c>
      <c r="M127" s="5" t="inlineStr">
        <is>
          <t>Bổ sung theo yêu cầu review 31/08/2026. Đối chiếu toàn bộ sheet Functional Test Scenarios hiện tại cho thấy SRS chỉ mô tả 2 lối vào qua login gate (SCR-AUT-01-SC1/SC2); chưa xác nhận có lối vào Đăng nhập độc lập nào khác, đặc biệt sau khi Logout.</t>
        </is>
      </c>
    </row>
    <row r="128" ht="105" customHeight="1" s="19">
      <c r="A128" s="5" t="n">
        <v>126</v>
      </c>
      <c r="B128" s="5" t="inlineStr">
        <is>
          <t>SCR-AUT-05-SC6</t>
        </is>
      </c>
      <c r="C128" s="5" t="inlineStr">
        <is>
          <t>SCR-AUT-05</t>
        </is>
      </c>
      <c r="D128" s="5" t="inlineStr">
        <is>
          <t>LI - Login</t>
        </is>
      </c>
      <c r="E128" s="5" t="inlineStr">
        <is>
          <t>LI-02, NFR-02</t>
        </is>
      </c>
      <c r="F128" s="5" t="inlineStr">
        <is>
          <t>Edge</t>
        </is>
      </c>
      <c r="G128" s="5" t="inlineStr">
        <is>
          <t>Bật sinh trắc học trên thiết bị A, đăng nhập CÙNG tài khoản đó trên thiết bị B, sau đó quay lại thiết bị A - kiểm tra thiết bị A có còn hiện prompt sinh trắc học không.</t>
        </is>
      </c>
      <c r="H128" s="5" t="inlineStr">
        <is>
          <t>Bật Face ID/vân tay trên thiết bị A cho tài khoản X; đăng nhập tài khoản X (bằng SĐT+PIN, không bật sinh trắc học) trên thiết bị B; quay lại mở app trên thiết bị A.</t>
        </is>
      </c>
      <c r="I128" s="5" t="inlineStr">
        <is>
          <t>Tài khoản X đã bật sinh trắc học trên thiết bị A trước đó.</t>
        </is>
      </c>
      <c r="J128" s="5" t="inlineStr">
        <is>
          <t>TBD - đang chờ QnA-79 xác nhận: đăng nhập tài khoản X trên thiết bị B (không liên quan tới bio ticket, khác thiết bị) có làm mất hiệu lực bio ticket của thiết bị A không, hay bio ticket là gắn riêng theo từng thiết bị (device-scoped) và hoàn toàn độc lập với việc tài khoản đó đăng nhập ở đâu khác.</t>
        </is>
      </c>
      <c r="K128" s="5" t="inlineStr">
        <is>
          <t>Hành vi phải nhất quán với định nghĩa "1 thiết bị - 1 ticket đang hoạt động" (NFR-02) - NFR-02 hiện chỉ mô tả xung đột giữa NHIỀU TÀI KHOẢN trên CÙNG 1 thiết bị (SCR-AUT-04-SC5), chưa mô tả trường hợp CÙNG 1 TÀI KHOẢN trên NHIỀU thiết bị.</t>
        </is>
      </c>
      <c r="L128" s="5" t="inlineStr">
        <is>
          <t>QnA-79</t>
        </is>
      </c>
      <c r="M128" s="5" t="inlineStr">
        <is>
          <t>Bổ sung theo yêu cầu review 31/08/2026. Trục câu hỏi khác với QnA-07/QnA-11/SCR-AUT-04-SC5 (vốn nói về nhiều tài khoản tranh chấp 1 thiết bị); đây là 1 tài khoản dùng nhiều thiết bị, có thể có câu trả lời khác.</t>
        </is>
      </c>
    </row>
    <row r="129" ht="105" customHeight="1" s="19">
      <c r="A129" s="5" t="n">
        <v>127</v>
      </c>
      <c r="B129" s="5" t="inlineStr">
        <is>
          <t>SCR-AUT-06-SC3</t>
        </is>
      </c>
      <c r="C129" s="5" t="inlineStr">
        <is>
          <t>SCR-AUT-06</t>
        </is>
      </c>
      <c r="D129" s="5" t="inlineStr">
        <is>
          <t>LI - Login</t>
        </is>
      </c>
      <c r="E129" s="5" t="inlineStr">
        <is>
          <t>LI-05, SU-01</t>
        </is>
      </c>
      <c r="F129" s="5" t="inlineStr">
        <is>
          <t>Edge</t>
        </is>
      </c>
      <c r="G129" s="5" t="inlineStr">
        <is>
          <t>SĐT gắn với 1 tài khoản đã tồn tại được nhà mạng thu hồi và cấp lại cho 1 người dùng hoàn toàn mới - kiểm tra người dùng mới này có thể dùng luồng Quên PIN để chiếm quyền truy cập tài khoản cũ hay không.</t>
        </is>
      </c>
      <c r="H129" s="5" t="inlineStr">
        <is>
          <t>Giả lập 1 SĐT test đã gắn với Tài khoản A (đã có PIN riêng), người "chủ mới" của SĐT đó (nhận được OTP qua chính SĐT) thử vào SCR-AUT-05 chọn 'Quên PIN' cho SĐT này.</t>
        </is>
      </c>
      <c r="I129" s="5" t="inlineStr">
        <is>
          <t>SĐT test đã gắn với 1 tài khoản Member (Tài khoản A) có sẵn dữ liệu (địa chỉ, lịch sử đơn hàng...); người thực hiện test đóng vai "chủ mới" của SĐT, chỉ có quyền nhận OTP trên SĐT đó, không biết PIN cũ của Tài khoản A.</t>
        </is>
      </c>
      <c r="J129" s="5" t="inlineStr">
        <is>
          <t>TBD - đang chờ QnA-81 xác nhận: hệ thống CÓ cơ chế nào khác ngoài SĐT+OTP để phát hiện "chủ SĐT đã đổi" không (ví dụ đối chiếu thiết bị/bio ticket cũ, cảnh báo qua kênh khác trước khi cho đặt PIN mới), hay chỉ cần đúng OTP nhận trên SĐT là đủ điều kiện đặt PIN mới và toàn quyền truy cập dữ liệu của Tài khoản A.</t>
        </is>
      </c>
      <c r="K129" s="5" t="inlineStr">
        <is>
          <t>Đây là rủi ro bảo mật thực tế (SĐT bị thu hồi/tái cấp phát là tình huống có thật ở VN) - cần BA/Security xác nhận rõ trước khi kết luận đây là hành vi CHẤP NHẬN ĐƯỢC hay là 1 lỗ hổng cần vá.</t>
        </is>
      </c>
      <c r="L129" s="5" t="inlineStr">
        <is>
          <t>QnA-81</t>
        </is>
      </c>
      <c r="M129" s="5" t="inlineStr">
        <is>
          <t>Bổ sung theo yêu cầu review 31/08/2026. Đây là câu hỏi bảo mật nghiêm trọng, khác biệt với QnA-03 (giới hạn số lần thử sai) và QnA-56 (PIN mới trùng PIN cũ) - toàn bộ cơ chế Quên PIN hiện tại (SC1) chỉ dựa vào quyền sở hữu SĐT (OTP), chưa có lớp xác minh nào khác cho danh tính chủ tài khoản.</t>
        </is>
      </c>
    </row>
    <row r="130" ht="150" customHeight="1" s="19">
      <c r="A130" s="5" t="n">
        <v>128</v>
      </c>
      <c r="B130" s="5" t="inlineStr">
        <is>
          <t>SCR-CRT-01-SC8</t>
        </is>
      </c>
      <c r="C130" s="5" t="inlineStr">
        <is>
          <t>SCR-CRT-01</t>
        </is>
      </c>
      <c r="D130" s="5" t="inlineStr">
        <is>
          <t>CT - Cart</t>
        </is>
      </c>
      <c r="E130" s="5" t="inlineStr">
        <is>
          <t>CT-02 · CT-07 · BRL-24</t>
        </is>
      </c>
      <c r="F130" s="5" t="inlineStr">
        <is>
          <t>Edge</t>
        </is>
      </c>
      <c r="G130" s="5" t="inlineStr">
        <is>
          <t>Kiểm tra hiển thị serving store cố định trong Cart và behavior nút 'Change ›' để đổi serving store.</t>
        </is>
      </c>
      <c r="H130" s="5" t="inlineStr">
        <is>
          <t>Bấm 'Change ›' cạnh 'Serving store', chọn lần lượt: 1 store vẫn phục vụ tốt, 1 store chỉ còn Standard, 1 store thiếu hàng/không bán một số SKU.</t>
        </is>
      </c>
      <c r="I130" s="5" t="inlineStr">
        <is>
          <t>Đang ở SCR-CRT-01, giỏ hàng có sản phẩm từ store hiện tại, địa chỉ giao hợp lệ.</t>
        </is>
      </c>
      <c r="J130" s="5" t="inlineStr">
        <is>
          <t>Serving store hiển thị thường trực (vì giá/tồn kho/slot đều phụ thuộc store). Nút 'Change ›' mở store sheet ĐÃ LỌC SẴN (SCR-CRT-06) - store KHÔNG phục vụ địa chỉ giao KHÔNG xuất hiện trong danh sách (không thể chọn). Đổi sang store làm sản phẩm hết hàng / không còn bán / đổi giá / mất dịch vụ-slot → hiện 1 cảnh báo impact hợp nhất (BRL-24) liệt kê từng SKU/dịch vụ bị ảnh hưởng, khách xác nhận Continue/Cancel; Cancel giữ nguyên store cũ và không đụng gì tới giỏ hàng.</t>
        </is>
      </c>
      <c r="K130" s="5" t="inlineStr">
        <is>
          <t>Serving store luôn hiển thị; store không phục vụ không bao giờ chọn được; mọi đổi store có ảnh hưởng đều phải qua cảnh báo hợp nhất trước khi áp dụng. Thiết kế cảnh báo khi nhiều nhóm ảnh hưởng cùng lúc: TBD theo QnA-25/OQ-25.</t>
        </is>
      </c>
      <c r="L130" s="5" t="inlineStr">
        <is>
          <t>QnA-25</t>
        </is>
      </c>
      <c r="M130" s="5" t="inlineStr">
        <is>
          <t>Bổ sung theo yêu cầu review 31/08/2026 - trước đó SCR-CRT-01 chưa có scenario nào cho phần hiển thị serving store và điểm vào nút 'Change ›'. Không lặp lại test sâu ở SCR-CRT-06-SC1/SC2.</t>
        </is>
      </c>
    </row>
    <row r="131" ht="165" customHeight="1" s="19">
      <c r="A131" s="5" t="n">
        <v>129</v>
      </c>
      <c r="B131" s="5" t="inlineStr">
        <is>
          <t>SCR-CRT-01-SC9</t>
        </is>
      </c>
      <c r="C131" s="5" t="inlineStr">
        <is>
          <t>SCR-CRT-01</t>
        </is>
      </c>
      <c r="D131" s="5" t="inlineStr">
        <is>
          <t>CT - Cart</t>
        </is>
      </c>
      <c r="E131" s="5" t="inlineStr">
        <is>
          <t>CT-02</t>
        </is>
      </c>
      <c r="F131" s="5" t="inlineStr">
        <is>
          <t>Edge</t>
        </is>
      </c>
      <c r="G131" s="5" t="inlineStr">
        <is>
          <t>Kiểm tra thông tin khối giao hàng carried-from-Homepage (địa chỉ, người nhận, phương thức giao, thời gian giao) và behavior nút 'Edit' đổi địa chỉ / đổi slot.</t>
        </is>
      </c>
      <c r="H131" s="5" t="inlineStr">
        <is>
          <t>Quan sát khối giao hàng; bấm 'Edit' cạnh địa chỉ; bấm 'Edit' cạnh dịch vụ/slot.</t>
        </is>
      </c>
      <c r="I131" s="5" t="inlineStr">
        <is>
          <t>Đã chọn địa chỉ + dịch vụ + slot ở Homepage, vào Cart, đã có sản phẩm trong giỏ.</t>
        </is>
      </c>
      <c r="J131" s="5" t="inlineStr">
        <is>
          <t>Khối giao hàng hiển thị đúng địa chỉ + tên/SĐT người nhận + dịch vụ (Standard/60-Minute/Next-day) + slot đã chọn ở Homepage, kèm nhãn 'Carried from Homepage' - khách KHÔNG phải chọn lại, chỉ đổi nếu muốn (CT-02). TBD - nút 'Edit' địa chỉ mở màn nào (danh sách địa chỉ SCR-HOM-03 / tạo địa chỉ SCR-HOM-02 / màn khác) và việc đổi địa chỉ khi đã có giỏ hàng có kích hoạt phân giải lại serving store + cảnh báo impact hợp nhất (như đổi store) hay không, đang chờ QnA-82. Nút 'Edit' slot mở màn chọn slot (SCR-CRT-07).</t>
        </is>
      </c>
      <c r="K131" s="5" t="inlineStr">
        <is>
          <t>TBD - chờ QnA-82; tối thiểu giỏ hàng không được âm thầm sai lệch (mất SKU / đổi giá / mất dịch vụ) khi đổi địa chỉ mà không có bất kỳ cảnh báo nào.</t>
        </is>
      </c>
      <c r="L131" s="5" t="inlineStr">
        <is>
          <t>QnA-82</t>
        </is>
      </c>
      <c r="M131" s="5" t="inlineStr">
        <is>
          <t>Bổ sung theo yêu cầu review 31/08/2026 - xung đột tiềm ẩn tương tự QnA-64 (Homepage vs Cart) nhưng cho hành động đổi ĐỊA CHỈ (không phải đổi store) ngay trong Cart.</t>
        </is>
      </c>
    </row>
    <row r="132" ht="105" customHeight="1" s="19">
      <c r="A132" s="5" t="n">
        <v>130</v>
      </c>
      <c r="B132" s="5" t="inlineStr">
        <is>
          <t>SCR-CRT-01-SC10</t>
        </is>
      </c>
      <c r="C132" s="5" t="inlineStr">
        <is>
          <t>SCR-CRT-01</t>
        </is>
      </c>
      <c r="D132" s="5" t="inlineStr">
        <is>
          <t>CT - Cart</t>
        </is>
      </c>
      <c r="E132" s="5" t="inlineStr">
        <is>
          <t>CT-04 · BRL-33</t>
        </is>
      </c>
      <c r="F132" s="5" t="inlineStr">
        <is>
          <t>Edge</t>
        </is>
      </c>
      <c r="G132" s="5" t="inlineStr">
        <is>
          <t>Bật bộ lọc/chọn BNPL khi giỏ hàng có SKU không đủ điều kiện BNPL, rồi Proceed to Checkout.</t>
        </is>
      </c>
      <c r="H132" s="5" t="inlineStr">
        <is>
          <t>Giỏ có SKU-BNPL-OK và SKU-BNPL-NO; bật lọc 'BNPL eligible'; chọn BNPL; bấm Proceed to Checkout.</t>
        </is>
      </c>
      <c r="I132" s="5" t="inlineStr">
        <is>
          <t>Đang ở SCR-CRT-01, có ít nhất 1 SKU được cấu hình không cho BNPL.</t>
        </is>
      </c>
      <c r="J132" s="5" t="inlineStr">
        <is>
          <t>Bộ lọc 'BNPL eligible' hiển thị đúng các SKU đủ điều kiện (theo giả định QnA-42 - tính theo SKU). TBD - khi tiến hành checkout với giỏ hàng còn chứa SKU không đủ điều kiện BNPL, hệ thống chặn / ẩn BNPL ở SCR-CHK-02 / tách đơn / vẫn cho đặt BNPL - đang chờ QnA-83 (và QnA-42 về phạm vi tính điều kiện là theo SKU hay theo đơn).</t>
        </is>
      </c>
      <c r="K132" s="5" t="inlineStr">
        <is>
          <t>TBD - chờ QnA-83 &amp; QnA-42; không được để khách chọn BNPL rồi mới lỗi ở bước thanh toán mà không có cảnh báo trước.</t>
        </is>
      </c>
      <c r="L132" s="5" t="inlineStr">
        <is>
          <t>QnA-83, QnA-42</t>
        </is>
      </c>
      <c r="M132" s="5" t="inlineStr">
        <is>
          <t>Bổ sung theo yêu cầu review 31/08/2026 - làm rõ 'điều kiện BNPL là gì' và behavior khi checkout với SP không cho BNPL; khác với SCR-CRT-01-SC2 (chỉ test LỌC danh sách theo 2 bộ lọc).</t>
        </is>
      </c>
    </row>
    <row r="133" ht="105" customHeight="1" s="19">
      <c r="A133" s="5" t="n">
        <v>131</v>
      </c>
      <c r="B133" s="5" t="inlineStr">
        <is>
          <t>SCR-CRT-01-SC11</t>
        </is>
      </c>
      <c r="C133" s="5" t="inlineStr">
        <is>
          <t>SCR-CRT-01</t>
        </is>
      </c>
      <c r="D133" s="5" t="inlineStr">
        <is>
          <t>CT - Cart</t>
        </is>
      </c>
      <c r="E133" s="5" t="inlineStr">
        <is>
          <t>CT-06 · BRL-32</t>
        </is>
      </c>
      <c r="F133" s="5" t="inlineStr">
        <is>
          <t>Functional</t>
        </is>
      </c>
      <c r="G133" s="5" t="inlineStr">
        <is>
          <t>Kiểm tra rule hiển thị sản phẩm trong mục PwP ('Mua Kèm Deal Sốc') và behavior nút 'View ›' ('Xem').</t>
        </is>
      </c>
      <c r="H133" s="5" t="inlineStr">
        <is>
          <t>Quan sát các ô PwP trong Cart với nhiều cấu hình giỏ hàng khác nhau; bấm 'View ›' ở ô PwP khoá và ô PwP đã mở khoá.</t>
        </is>
      </c>
      <c r="I133" s="5" t="inlineStr">
        <is>
          <t>Đang ở SCR-CRT-01, store có cấu hình CTKM PwP.</t>
        </is>
      </c>
      <c r="J133" s="5" t="inlineStr">
        <is>
          <t>TBD - rule chọn sản phẩm PwP nào để hiển thị (theo sản phẩm trong giỏ / cấu hình CTKM store / lịch sử / danh sách cố định), số lượng ô PwP hiển thị cùng lúc, thứ tự sắp xếp, và màn đích của nút 'View ›' (danh sách đầy đủ SP PwP / chi tiết 1 deal / thêm thẳng vào giỏ) - đang chờ QnA-84 (và OQ-17/QnA-17 về danh mục loại khuyến mãi đầy đủ).</t>
        </is>
      </c>
      <c r="K133" s="5" t="inlineStr">
        <is>
          <t>TBD - chờ QnA-84 / QnA-17.</t>
        </is>
      </c>
      <c r="L133" s="5" t="inlineStr">
        <is>
          <t>QnA-84, QnA-17</t>
        </is>
      </c>
      <c r="M133" s="5" t="inlineStr">
        <is>
          <t>Bổ sung theo yêu cầu review 31/08/2026 - gộp 2 yêu cầu review (rule hiển thị SP PwP + behavior nút 'Xem mở khoá PwP'); khác với SCR-CRT-01-SC4 (đếm ngược PwP, QnA-28) và SCR-CRT-01-SC7 (mở khoá theo mốc chi tiêu).</t>
        </is>
      </c>
    </row>
    <row r="134" ht="120" customHeight="1" s="19">
      <c r="A134" s="5" t="n">
        <v>132</v>
      </c>
      <c r="B134" s="5" t="inlineStr">
        <is>
          <t>SCR-CRT-01-SC12</t>
        </is>
      </c>
      <c r="C134" s="5" t="inlineStr">
        <is>
          <t>SCR-CRT-01</t>
        </is>
      </c>
      <c r="D134" s="5" t="inlineStr">
        <is>
          <t>CT - Cart</t>
        </is>
      </c>
      <c r="E134" s="5" t="inlineStr">
        <is>
          <t>CT-06 · BRL-32 · CO-05</t>
        </is>
      </c>
      <c r="F134" s="5" t="inlineStr">
        <is>
          <t>Functional</t>
        </is>
      </c>
      <c r="G134" s="5" t="inlineStr">
        <is>
          <t>Kiểm tra rule áp coupon tự động (khi nào áp coupon nào) và behavior khi nhấn vào section Coupon.</t>
        </is>
      </c>
      <c r="H134" s="5" t="inlineStr">
        <is>
          <t>Giỏ hàng đủ điều kiện nhiều coupon (giao hàng + đơn/sản phẩm); quan sát coupon tự áp; nhấn section 'Coupons · N applied automatically ›'; thử tắt/đổi 1 coupon.</t>
        </is>
      </c>
      <c r="I134" s="5" t="inlineStr">
        <is>
          <t>Đang ở SCR-CRT-01, tài khoản/giỏ hàng có &gt;=2 coupon đủ điều kiện thuộc cả 2 nhóm.</t>
        </is>
      </c>
      <c r="J134" s="5" t="inlineStr">
        <is>
          <t>Coupon áp dụng TỰ ĐỘNG theo mặc định (BRL-32), trình bày thành 2 nhóm riêng - coupon giao hàng và coupon đơn/sản phẩm. Coupon đã áp ở Cart được hiển thị lại ở Checkout để xác nhận. TBD - rule chọn coupon nào khi có nhiều coupon cùng đủ điều kiện trong 1 nhóm, khách có được tắt/đổi coupon đã tự áp, và màn mở ra khi nhấn section Coupon - đang chờ QnA-85.</t>
        </is>
      </c>
      <c r="K134" s="5" t="inlineStr">
        <is>
          <t>2 nhóm coupon luôn tách bạch; phần rule chọn coupon + behavior section: TBD - chờ QnA-85.</t>
        </is>
      </c>
      <c r="L134" s="5" t="inlineStr">
        <is>
          <t>QnA-85, QnA-17</t>
        </is>
      </c>
      <c r="M134" s="5" t="inlineStr">
        <is>
          <t>Bổ sung theo yêu cầu review 31/08/2026 - trả lời câu hỏi review 'khi nào apply coupon nào' + 'behavior khi nhấn vào section coupon'.</t>
        </is>
      </c>
    </row>
    <row r="135" ht="90" customHeight="1" s="19">
      <c r="A135" s="5" t="n">
        <v>133</v>
      </c>
      <c r="B135" s="5" t="inlineStr">
        <is>
          <t>SCR-CRT-01-SC13</t>
        </is>
      </c>
      <c r="C135" s="5" t="inlineStr">
        <is>
          <t>SCR-CRT-01</t>
        </is>
      </c>
      <c r="D135" s="5" t="inlineStr">
        <is>
          <t>CT - Cart</t>
        </is>
      </c>
      <c r="E135" s="5" t="inlineStr">
        <is>
          <t>CT-03 · CT-06 · BRL-19 · BRL-34</t>
        </is>
      </c>
      <c r="F135" s="5" t="inlineStr">
        <is>
          <t>Functional</t>
        </is>
      </c>
      <c r="G135" s="5" t="inlineStr">
        <is>
          <t>Tăng SỐ LƯỢNG 1 SKU đã có trong giỏ (không thêm SKU mới) cho đến khi đạt ngưỡng freeship và/hoặc mốc chi tiêu PwP.</t>
        </is>
      </c>
      <c r="H135" s="5" t="inlineStr">
        <is>
          <t>Nhấn '+' để tăng số lượng 1 SKU cho tới khi tổng giỏ đạt 150.000đ và/hoặc đạt mốc mở khoá 1 ô PwP.</t>
        </is>
      </c>
      <c r="I135" s="5" t="inlineStr">
        <is>
          <t>Giỏ hàng đang dưới ngưỡng freeship và đang hiện &gt;=1 ô PwP ở trạng thái khoá; có ít nhất 1 SKU cho phép tăng số lượng.</t>
        </is>
      </c>
      <c r="J135" s="5" t="inlineStr">
        <is>
          <t>Ngay khi tổng giỏ đạt ngưỡng do TĂNG SỐ LƯỢNG (không phải thêm SKU mới): thanh freeship báo đã đạt và phí Standard về 0đ; ô PwP đạt mốc chuyển từ khoá sang MỞ KHOÁ; provisional payment summary cập nhật real-time - tất cả không cần load lại trang hay thao tác thêm.</t>
        </is>
      </c>
      <c r="K135" s="5" t="inlineStr">
        <is>
          <t>Cơ chế mở khoá tự động (freeship + PwP) phải kích hoạt bằng thay đổi số lượng y như khi thêm SKU mới (SCR-CRT-01-SC1, SCR-CRT-01-SC7).</t>
        </is>
      </c>
      <c r="L135" s="5" t="n"/>
      <c r="M135" s="5" t="inlineStr">
        <is>
          <t>Bổ sung theo yêu cầu review 31/08/2026 - trả lời trực tiếp câu hỏi review 'số lượng sản phẩm có tự động mở khoá miễn phí giao hàng / PwP khi đủ điều kiện không'; dùng chung cơ chế real-time recalculation (BRL-34) đã có trong SRS, không cần QnA.</t>
        </is>
      </c>
    </row>
    <row r="136" ht="90" customHeight="1" s="19">
      <c r="A136" s="5" t="n">
        <v>134</v>
      </c>
      <c r="B136" s="5" t="inlineStr">
        <is>
          <t>SCR-CRT-01-SC14</t>
        </is>
      </c>
      <c r="C136" s="5" t="inlineStr">
        <is>
          <t>SCR-CRT-01</t>
        </is>
      </c>
      <c r="D136" s="5" t="inlineStr">
        <is>
          <t>CT - Cart</t>
        </is>
      </c>
      <c r="E136" s="5" t="inlineStr">
        <is>
          <t>CT-06</t>
        </is>
      </c>
      <c r="F136" s="5" t="inlineStr">
        <is>
          <t>Edge</t>
        </is>
      </c>
      <c r="G136" s="5" t="inlineStr">
        <is>
          <t>Kiểm tra Replacement suggestions cho SKU hết hàng - rule khi nào hiện 'Thay thế' vs 'Thông báo khi có hàng', thông tin thời gian có hàng lại, và behavior khi nhấn 2 section này.</t>
        </is>
      </c>
      <c r="H136" s="5" t="inlineStr">
        <is>
          <t>Giỏ có &gt;=2 SKU hết hàng với cấu hình khác nhau; nhấn 'Replace with a similar item ›' ở 1 SKU và 'Notify me when it is back ›' ở SKU kia.</t>
        </is>
      </c>
      <c r="I136" s="5" t="inlineStr">
        <is>
          <t>Đang ở SCR-CRT-01 sub-state có nhóm 'Out of stock'.</t>
        </is>
      </c>
      <c r="J136" s="5" t="inlineStr">
        <is>
          <t>TBD - rule quyết định mỗi SKU hiện nút 'Thay thế' hay 'Thông báo' (hay cả hai), cách hệ thống chọn sản phẩm thay thế, có hiển thị dự kiến thời gian có hàng trở lại hay không, và màn/hành vi khi nhấn từng section - đang chờ QnA-86.</t>
        </is>
      </c>
      <c r="K136" s="5" t="inlineStr">
        <is>
          <t>TBD - chờ QnA-86.</t>
        </is>
      </c>
      <c r="L136" s="5" t="inlineStr">
        <is>
          <t>QnA-86, QnA-05</t>
        </is>
      </c>
      <c r="M136" s="5" t="inlineStr">
        <is>
          <t>Bổ sung theo yêu cầu review 31/08/2026 - đào sâu phần 'Replacement suggestions' (mục #10 SRS slide 54) mà SCR-CRT-01-SC3 mới chỉ nhắc chung chung.</t>
        </is>
      </c>
    </row>
    <row r="137" ht="165" customHeight="1" s="19">
      <c r="A137" s="5" t="n">
        <v>135</v>
      </c>
      <c r="B137" s="5" t="inlineStr">
        <is>
          <t>SCR-CRT-01-SC15</t>
        </is>
      </c>
      <c r="C137" s="5" t="inlineStr">
        <is>
          <t>SCR-CRT-01</t>
        </is>
      </c>
      <c r="D137" s="5" t="inlineStr">
        <is>
          <t>CT - Cart</t>
        </is>
      </c>
      <c r="E137" s="5" t="inlineStr">
        <is>
          <t>CT-06 · CO-08 · BRL-34</t>
        </is>
      </c>
      <c r="F137" s="5" t="inlineStr">
        <is>
          <t>Functional</t>
        </is>
      </c>
      <c r="G137" s="5" t="inlineStr">
        <is>
          <t>Kiểm tra provisional payment summary hiển thị đúng giá trị từng dòng và khớp số học.</t>
        </is>
      </c>
      <c r="H137" s="5" t="inlineStr">
        <is>
          <t>Giỏ hàng đã biết trước: order value, product discount, delivery discount, phí giao hàng theo dịch vụ, (nylon bag / bulky surcharge nếu có); đổi 1 item và 1 coupon để kiểm tra recompute.</t>
        </is>
      </c>
      <c r="I137" s="5" t="inlineStr">
        <is>
          <t>Đang ở SCR-CRT-01, có coupon đã áp và dịch vụ giao đã chọn.</t>
        </is>
      </c>
      <c r="J137" s="5" t="inlineStr">
        <is>
          <t>Từng dòng provisional payment summary đúng theo BRL-34: Order value = tổng giá sản phẩm được chọn; Product discount / Delivery discount = đúng giá trị coupon đã áp; Delivery fee = đúng rule dịch vụ (Standard free khi &gt;=150.000đ - BRL-19; 60-Minute phí cố định - BRL-18); Amount payable = Order value − các khoản giảm + phí + phụ phí (khớp số học). Khi đổi item/coupon/dịch vụ, toàn bộ summary tính lại real-time. TBD riêng dòng 'nylon bag' (túi/đóng gói) - có tính phí hay không đang chờ QnA-16.</t>
        </is>
      </c>
      <c r="K137" s="5" t="inlineStr">
        <is>
          <t>Không dòng nào sai lệch số học; Amount payable = đúng tổng các dòng thành phần; recompute ngay khi có thay đổi.</t>
        </is>
      </c>
      <c r="L137" s="5" t="inlineStr">
        <is>
          <t>QnA-16</t>
        </is>
      </c>
      <c r="M137" s="5" t="inlineStr">
        <is>
          <t>Bổ sung theo yêu cầu review 31/08/2026 - trả lời câu hỏi review 'kiểm tra provisional payment có đúng giá trị hay chưa'; dòng nylon bag còn phụ thuộc OQ-16/QnA-16.</t>
        </is>
      </c>
    </row>
    <row r="138" ht="120" customHeight="1" s="19">
      <c r="A138" s="5" t="n">
        <v>136</v>
      </c>
      <c r="B138" s="5" t="inlineStr">
        <is>
          <t>SCR-CRT-01-SC16</t>
        </is>
      </c>
      <c r="C138" s="5" t="inlineStr">
        <is>
          <t>SCR-CRT-01</t>
        </is>
      </c>
      <c r="D138" s="5" t="inlineStr">
        <is>
          <t>CT - Cart</t>
        </is>
      </c>
      <c r="E138" s="5" t="inlineStr">
        <is>
          <t>CT-06</t>
        </is>
      </c>
      <c r="F138" s="5" t="inlineStr">
        <is>
          <t>Edge</t>
        </is>
      </c>
      <c r="G138" s="5" t="inlineStr">
        <is>
          <t>Kiểm tra thời gian giữ SKU hết hàng trong nhóm 'không khả dụng' và hành vi khi SKU có hàng trở lại.</t>
        </is>
      </c>
      <c r="H138" s="5" t="inlineStr">
        <is>
          <t>SKU hết hàng nằm trong nhóm; giả lập thời gian trôi qua (kiểm tra mốc bị loại hẳn); giả lập SKU có hàng trở lại khi khách đang mở Cart và sau khi khách đã đăng ký 'Thông báo khi có hàng'.</t>
        </is>
      </c>
      <c r="I138" s="5" t="inlineStr">
        <is>
          <t>Đang ở SCR-CRT-01 sub-state có nhóm 'Out of stock'; 1 SKU đã đăng ký 'Notify me when it is back'.</t>
        </is>
      </c>
      <c r="J138" s="5" t="inlineStr">
        <is>
          <t>TBD - thời gian giữ SKU hết hàng trong nhóm riêng trước khi bị loại hẳn đang chờ QnA-05; khi SKU có hàng trở lại: có tự chuyển lại nhóm 'Available' + thông báo tại chỗ không (khách đang mở Cart), kênh + nội dung thông báo cho khách đã đăng ký, và SKU đã bị loại có được tự thêm lại vào giỏ không - đang chờ QnA-87.</t>
        </is>
      </c>
      <c r="K138" s="5" t="inlineStr">
        <is>
          <t>TBD - chờ QnA-05 &amp; QnA-87.</t>
        </is>
      </c>
      <c r="L138" s="5" t="inlineStr">
        <is>
          <t>QnA-05, QnA-87</t>
        </is>
      </c>
      <c r="M138" s="5" t="inlineStr">
        <is>
          <t>Bổ sung theo yêu cầu review 31/08/2026 - đào sâu 2 chiều của nhóm hết hàng (giữ bao lâu + có hàng lại thì sao); SCR-CRT-01-SC3 mới test chiều tách nhóm.</t>
        </is>
      </c>
    </row>
    <row r="139" ht="165" customHeight="1" s="19">
      <c r="A139" s="5" t="n">
        <v>137</v>
      </c>
      <c r="B139" s="5" t="inlineStr">
        <is>
          <t>SCR-CRT-02-SC5</t>
        </is>
      </c>
      <c r="C139" s="5" t="inlineStr">
        <is>
          <t>SCR-CRT-02</t>
        </is>
      </c>
      <c r="D139" s="5" t="inlineStr">
        <is>
          <t>CT - Cart</t>
        </is>
      </c>
      <c r="E139" s="5" t="inlineStr">
        <is>
          <t>CT-07 · CT-08 · BRL-24</t>
        </is>
      </c>
      <c r="F139" s="5" t="inlineStr">
        <is>
          <t>Edge</t>
        </is>
      </c>
      <c r="G139" s="5" t="inlineStr">
        <is>
          <t>Đang chọn 60-Minute, bấm 'Change ›' đổi serving store và quan sát dịch vụ giao thay đổi thế nào.</t>
        </is>
      </c>
      <c r="H139" s="5" t="inlineStr">
        <is>
          <t>Đổi sang (a) store mà địa chỉ giao chỉ còn Standard; (b) store khác vẫn trong bán kính 60-Minute.</t>
        </is>
      </c>
      <c r="I139" s="5" t="inlineStr">
        <is>
          <t>Đang ở SCR-CRT-02 State A, đã chọn 60-Minute, địa chỉ giao hợp lệ với &gt;=2 store trong danh sách đã lọc.</t>
        </is>
      </c>
      <c r="J139" s="5" t="inlineStr">
        <is>
          <t>(a) Đổi sang store chỉ-Standard → hiện cảnh báo impact hợp nhất (SCR-CRT-06); sau khi Continue, dịch vụ tự fallback về Standard (60-Minute không còn ở store mới), slot được re-suggest theo BRL-25..27, phí cập nhật (Standard free khi đủ ngưỡng), khách được thông báo dịch vụ đã đổi (BRL-08/BRL-24). (b) Đổi sang store vẫn có 60-Minute → 60-Minute khả dụng trở lại; việc có TỰ ĐỘNG chọn lại 60-Minute hay giữ Standard: TBD chờ QnA-63; slot/giờ giao dự kiến/số slot còn lại tính lại theo store mới.</t>
        </is>
      </c>
      <c r="K139" s="5" t="inlineStr">
        <is>
          <t>Không được để dịch vụ 60-Minute vẫn hiển thị 'đã chọn' ở store không phục vụ 60-Minute mà không cảnh báo; mọi thay đổi dịch vụ do đổi store phải đi kèm thông báo (BRL-08/BRL-24).</t>
        </is>
      </c>
      <c r="L139" s="5" t="inlineStr">
        <is>
          <t>QnA-25, QnA-63</t>
        </is>
      </c>
      <c r="M139" s="5" t="inlineStr">
        <is>
          <t>Bổ sung theo yêu cầu review 31/08/2026 - trả lời câu hỏi review 'đổi store thì service delivery thay đổi như thế nào'; chiều 'tự nâng dịch vụ khi store mới tốt hơn' vẫn chờ QnA-63.</t>
        </is>
      </c>
    </row>
    <row r="140" ht="105" customHeight="1" s="19">
      <c r="A140" s="5" t="n">
        <v>138</v>
      </c>
      <c r="B140" s="5" t="inlineStr">
        <is>
          <t>SCR-CRT-02-SC6</t>
        </is>
      </c>
      <c r="C140" s="5" t="inlineStr">
        <is>
          <t>SCR-CRT-02</t>
        </is>
      </c>
      <c r="D140" s="5" t="inlineStr">
        <is>
          <t>CT - Cart</t>
        </is>
      </c>
      <c r="E140" s="5" t="inlineStr">
        <is>
          <t>CT-08 · BRL-18 · BRL-32</t>
        </is>
      </c>
      <c r="F140" s="5" t="inlineStr">
        <is>
          <t>Boundary</t>
        </is>
      </c>
      <c r="G140" s="5" t="inlineStr">
        <is>
          <t>Áp coupon giao hàng chi trả toàn bộ phí 60-Minute và kiểm tra phí có được miễn không.</t>
        </is>
      </c>
      <c r="H140" s="5" t="inlineStr">
        <is>
          <t>(a) Coupon giao hàng trị giá &gt;= 25.000đ (phủ hết phí); (b) coupon giao hàng chỉ 15.000đ (phủ 1 phần).</t>
        </is>
      </c>
      <c r="I140" s="5" t="inlineStr">
        <is>
          <t>Đang ở SCR-CRT-02, đã chọn 60-Minute (phí cố định 25.000đ), có coupon giao hàng đủ điều kiện.</t>
        </is>
      </c>
      <c r="J140" s="5" t="inlineStr">
        <is>
          <t>(a) Coupon giao hàng phủ hết 25.000đ → dòng phí 60-Minute về 0đ / hiển thị 'Miễn phí' (BRL-18: chỉ coupon giao hàng phủ hết toàn bộ phí mới miễn được, KHÔNG bao giờ miễn theo giá trị đơn). (b) Coupon chỉ phủ 15.000đ → vẫn thu 10.000đ còn lại; provisional summary hiển thị đúng phí gốc 25.000đ và delivery discount −15.000đ.</t>
        </is>
      </c>
      <c r="K140" s="5" t="inlineStr">
        <is>
          <t>Phí 60-Minute chỉ về 0 khi và chỉ khi coupon giao hàng phủ ĐỦ toàn bộ; coupon phủ 1 phần không miễn hết.</t>
        </is>
      </c>
      <c r="L140" s="5" t="n"/>
      <c r="M140" s="5" t="inlineStr">
        <is>
          <t>Bổ sung theo yêu cầu review 31/08/2026 - trả lời câu hỏi review; test nhánh NGƯỢC LẠI với SCR-CRT-02-SC1 (SC1 chỉ chứng minh giá trị đơn KHÔNG miễn phí, chưa test coupon giao hàng phủ hết thì có miễn).</t>
        </is>
      </c>
    </row>
    <row r="141" ht="90" customHeight="1" s="19">
      <c r="A141" s="5" t="n">
        <v>139</v>
      </c>
      <c r="B141" s="5" t="inlineStr">
        <is>
          <t>SCR-CRT-02-SC7</t>
        </is>
      </c>
      <c r="C141" s="5" t="inlineStr">
        <is>
          <t>SCR-CRT-02</t>
        </is>
      </c>
      <c r="D141" s="5" t="inlineStr">
        <is>
          <t>CT - Cart</t>
        </is>
      </c>
      <c r="E141" s="5" t="inlineStr">
        <is>
          <t>CT-08 · BRL-20 · BRL-21</t>
        </is>
      </c>
      <c r="F141" s="5" t="inlineStr">
        <is>
          <t>Edge</t>
        </is>
      </c>
      <c r="G141" s="5" t="inlineStr">
        <is>
          <t>Chọn 60-Minute khi còn đúng 1 slot (State B), slot bị đơn khác lấy mất trước khi khách bấm Proceed to Checkout.</t>
        </is>
      </c>
      <c r="H141" s="5" t="inlineStr">
        <is>
          <t>Slot 60-Minute còn 1; giả lập 1 đơn khác chiếm nốt slot; khách bấm Proceed to Checkout.</t>
        </is>
      </c>
      <c r="I141" s="5" t="inlineStr">
        <is>
          <t>Đang ở SCR-CRT-02 State B (đã hiện cảnh báo 'Only 1 slot left'), đã chọn 60-Minute.</t>
        </is>
      </c>
      <c r="J141" s="5" t="inlineStr">
        <is>
          <t>TBD - theo thông báo State B khách 'sẽ được yêu cầu chọn Standard thay thế', nhưng cơ chế cụ thể (chặn ngay tại Cart / tự chuyển Standard kèm xác nhận / cho qua Checkout rồi báo lỗi), cách tính lại phí-slot-thời gian giao, và có soft-hold slot khi bấm Proceed hay không - đang chờ QnA-88.</t>
        </is>
      </c>
      <c r="K141" s="5" t="inlineStr">
        <is>
          <t>TBD - chờ QnA-88; không được đưa khách vào Checkout với 60-Minute đã hết slot mà không xử lý.</t>
        </is>
      </c>
      <c r="L141" s="5" t="inlineStr">
        <is>
          <t>QnA-88</t>
        </is>
      </c>
      <c r="M141" s="5" t="inlineStr">
        <is>
          <t>Bổ sung theo yêu cầu review 31/08/2026 - test tình huống race condition giữa lúc chọn ở Cart và lúc checkout; khác với SCR-CRT-02-SC4 (store cấu hình 0 slot ngay từ đầu, QnA-65).</t>
        </is>
      </c>
    </row>
    <row r="142" ht="90" customHeight="1" s="19">
      <c r="A142" s="5" t="n">
        <v>140</v>
      </c>
      <c r="B142" s="5" t="inlineStr">
        <is>
          <t>SCR-CRT-02-SC8</t>
        </is>
      </c>
      <c r="C142" s="5" t="inlineStr">
        <is>
          <t>SCR-CRT-02</t>
        </is>
      </c>
      <c r="D142" s="5" t="inlineStr">
        <is>
          <t>CT - Cart</t>
        </is>
      </c>
      <c r="E142" s="5" t="inlineStr">
        <is>
          <t>CT-08 · BRL-21</t>
        </is>
      </c>
      <c r="F142" s="5" t="inlineStr">
        <is>
          <t>Functional</t>
        </is>
      </c>
      <c r="G142" s="5" t="inlineStr">
        <is>
          <t>Slot 60-Minute đang Closed (hết chỗ), 1 đơn khác được đánh dấu 'ready for delivery' giải phóng capacity → quan sát slot có tự mở lại không.</t>
        </is>
      </c>
      <c r="H142" s="5" t="inlineStr">
        <is>
          <t>Slot 60-Minute = Closed; giả lập backend đánh dấu 1 đơn 'ready for delivery' (giải phóng 1 suất).</t>
        </is>
      </c>
      <c r="I142" s="5" t="inlineStr">
        <is>
          <t>Đang ở SCR-CRT-02, slot 60-Minute hiện tại Closed, đang mở Cart.</t>
        </is>
      </c>
      <c r="J142" s="5" t="inlineStr">
        <is>
          <t>Khi capacity được giải phóng (đơn khác 'ready for delivery'), slot 60-Minute tự động mở lại trong Cart và khách chọn được 60-Minute mà KHÔNG cần load lại trang (BRL-21). Số slot còn lại / trạng thái (Healthy / còn 1) cập nhật đúng theo capacity mới.</t>
        </is>
      </c>
      <c r="K142" s="5" t="inlineStr">
        <is>
          <t>Slot re-open phải tự động theo tín hiệu capacity, không phụ thuộc thao tác refresh thủ công của khách.</t>
        </is>
      </c>
      <c r="L142" s="5" t="n"/>
      <c r="M142" s="5" t="inlineStr">
        <is>
          <t>Bổ sung theo yêu cầu review 31/08/2026 - trả lời câu hỏi review 'tự động mở lại khung giờ khi còn sức chứa'; BRL-21 đã mô tả cơ chế, không cần QnA.</t>
        </is>
      </c>
    </row>
    <row r="143" ht="150" customHeight="1" s="19">
      <c r="A143" s="5" t="n">
        <v>141</v>
      </c>
      <c r="B143" s="5" t="inlineStr">
        <is>
          <t>SCR-CRT-02-SC9</t>
        </is>
      </c>
      <c r="C143" s="5" t="inlineStr">
        <is>
          <t>SCR-CRT-02</t>
        </is>
      </c>
      <c r="D143" s="5" t="inlineStr">
        <is>
          <t>CT - Cart</t>
        </is>
      </c>
      <c r="E143" s="5" t="inlineStr">
        <is>
          <t>CT-04 · CT-08 · BRL-10</t>
        </is>
      </c>
      <c r="F143" s="5" t="inlineStr">
        <is>
          <t>Edge</t>
        </is>
      </c>
      <c r="G143" s="5" t="inlineStr">
        <is>
          <t>Chọn dịch vụ 60-Minute khi giỏ hàng có cả SKU đủ và KHÔNG đủ điều kiện 60-Minute.</t>
        </is>
      </c>
      <c r="H143" s="5" t="inlineStr">
        <is>
          <t>Giỏ có SKU-60M-OK và SKU-60M-NO; ở màn SCR-CRT-02 (địa chỉ trong bán kính 3-5km) chọn '60-Minute' trong section 'Delivery service'.</t>
        </is>
      </c>
      <c r="I143" s="5" t="inlineStr">
        <is>
          <t>Địa chỉ trong bán kính 60-Minute; giỏ hàng có ít nhất 1 SKU không gắn nhãn '60-Minute eligible'.</t>
        </is>
      </c>
      <c r="J143" s="5" t="inlineStr">
        <is>
          <t>Điều khiển chọn 60-Minute nằm ngay trong section 'Delivery service' của SCR-CRT-02, chỉ hiện khi địa chỉ trong bán kính 3-5km (không có màn config riêng). TBD - khi chọn 60-Minute với giỏ còn SKU không đủ điều kiện: các SKU đó bị loại / tách sang đơn Standard riêng / chỉ ẩn khỏi danh sách / hệ thống chặn chọn 60-Minute - đang chờ QnA-89 (và QnA-42 về eligibility theo SKU hay theo đơn). Có cảnh báo trước khi khách mất các SKU đó hay không cũng TBD.</t>
        </is>
      </c>
      <c r="K143" s="5" t="inlineStr">
        <is>
          <t>TBD - chờ QnA-89 &amp; QnA-42; không được âm thầm loại SKU khỏi đơn khi đổi sang 60-Minute mà không cảnh báo.</t>
        </is>
      </c>
      <c r="L143" s="5" t="inlineStr">
        <is>
          <t>QnA-89, QnA-42</t>
        </is>
      </c>
      <c r="M143" s="5" t="inlineStr">
        <is>
          <t>Bổ sung theo yêu cầu review 31/08/2026 - trả lời câu hỏi review 'màn config giao 60p ở đâu' + 'giỏ có SP không cho giao 60p thì có cho chọn không'.</t>
        </is>
      </c>
    </row>
  </sheetData>
  <autoFilter ref="A2:M95">
    <filterColumn colId="2" hiddenButton="0" showButton="1">
      <filters>
        <filter val="SCR-ONB-02"/>
      </filters>
    </filterColumn>
    <filterColumn colId="3" hiddenButton="0" showButton="1">
      <filters>
        <filter val="ONB - Onboarding"/>
      </filters>
    </filterColumn>
  </autoFilter>
  <mergeCells count="1">
    <mergeCell ref="A1:M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filterMode="1">
    <outlinePr summaryBelow="1" summaryRight="1"/>
    <pageSetUpPr/>
  </sheetPr>
  <dimension ref="A1:R200"/>
  <sheetViews>
    <sheetView showGridLines="0" tabSelected="1" zoomScaleNormal="100" workbookViewId="0">
      <pane ySplit="2" topLeftCell="A101" activePane="bottomLeft" state="frozen"/>
      <selection pane="bottomLeft" activeCell="A122" sqref="A122:XFD122"/>
    </sheetView>
  </sheetViews>
  <sheetFormatPr baseColWidth="8" defaultColWidth="8.7109375" defaultRowHeight="15"/>
  <cols>
    <col width="22" customWidth="1" style="19" min="1" max="1"/>
    <col width="20" customWidth="1" style="19" min="2" max="2"/>
    <col width="14" customWidth="1" style="19" min="3" max="3"/>
    <col width="20" customWidth="1" style="19" min="4" max="4"/>
    <col width="12" customWidth="1" style="19" min="5" max="5"/>
    <col width="38" customWidth="1" style="19" min="6" max="6"/>
    <col width="30" customWidth="1" style="19" min="7" max="7"/>
    <col width="48" customWidth="1" style="19" min="8" max="8"/>
    <col width="26" customWidth="1" style="19" min="9" max="9"/>
    <col width="48" customWidth="1" style="19" min="10" max="10"/>
    <col width="10" customWidth="1" style="19" min="11" max="11"/>
    <col width="14" customWidth="1" style="19" min="12" max="12"/>
    <col width="12" customWidth="1" style="19" min="13" max="13"/>
    <col width="10" customWidth="1" style="19" min="14" max="14"/>
    <col width="12" customWidth="1" style="19" min="15" max="16"/>
    <col width="40" customWidth="1" style="19" min="17" max="17"/>
    <col width="50" customWidth="1" style="19" min="18" max="18"/>
  </cols>
  <sheetData>
    <row r="1" ht="17.25" customHeight="1" s="19">
      <c r="A1" s="18" t="inlineStr">
        <is>
          <t>Simplify Checkout — Functional Detailed Test Cases (rooted in Functional Test Scenarios)</t>
        </is>
      </c>
    </row>
    <row r="2" ht="27.75" customHeight="1" s="19">
      <c r="A2" s="4" t="inlineStr">
        <is>
          <t>Test Case ID</t>
        </is>
      </c>
      <c r="B2" s="4" t="inlineStr">
        <is>
          <t>Parent Scenario ID</t>
        </is>
      </c>
      <c r="C2" s="4" t="inlineStr">
        <is>
          <t>Screen ID</t>
        </is>
      </c>
      <c r="D2" s="4" t="inlineStr">
        <is>
          <t>REQ ID (SRS)</t>
        </is>
      </c>
      <c r="E2" s="4" t="inlineStr">
        <is>
          <t>Test Case Type</t>
        </is>
      </c>
      <c r="F2" s="4" t="inlineStr">
        <is>
          <t>Test Case Title</t>
        </is>
      </c>
      <c r="G2" s="4" t="inlineStr">
        <is>
          <t>Preconditions</t>
        </is>
      </c>
      <c r="H2" s="4" t="inlineStr">
        <is>
          <t>Test Steps</t>
        </is>
      </c>
      <c r="I2" s="4" t="inlineStr">
        <is>
          <t>Test Data</t>
        </is>
      </c>
      <c r="J2" s="4" t="inlineStr">
        <is>
          <t>Expected Result</t>
        </is>
      </c>
      <c r="K2" s="4" t="inlineStr">
        <is>
          <t>Priority</t>
        </is>
      </c>
      <c r="L2" s="4" t="inlineStr">
        <is>
          <t>Actual Result</t>
        </is>
      </c>
      <c r="M2" s="4" t="inlineStr">
        <is>
          <t>Pass/Fail Status</t>
        </is>
      </c>
      <c r="N2" s="4" t="inlineStr">
        <is>
          <t>Tester</t>
        </is>
      </c>
      <c r="O2" s="4" t="inlineStr">
        <is>
          <t>Test Date</t>
        </is>
      </c>
      <c r="P2" s="4" t="inlineStr">
        <is>
          <t>QnA Ref</t>
        </is>
      </c>
      <c r="Q2" s="4" t="inlineStr">
        <is>
          <t>Comments</t>
        </is>
      </c>
      <c r="R2" s="4" t="inlineStr">
        <is>
          <t>Ghi chu Review (QC)</t>
        </is>
      </c>
    </row>
    <row r="3" hidden="1" ht="69.75" customHeight="1" s="19">
      <c r="A3" s="23" t="inlineStr">
        <is>
          <t>SCR-ONB-01-SC1-TC1</t>
        </is>
      </c>
      <c r="B3" s="23" t="inlineStr">
        <is>
          <t>SCR-ONB-01-SC1</t>
        </is>
      </c>
      <c r="C3" s="23" t="inlineStr">
        <is>
          <t>SCR-ONB-01</t>
        </is>
      </c>
      <c r="D3" s="23" t="inlineStr">
        <is>
          <t>ONB-01</t>
        </is>
      </c>
      <c r="E3" s="23" t="inlineStr">
        <is>
          <t>Functional</t>
        </is>
      </c>
      <c r="F3" s="23" t="inlineStr">
        <is>
          <t>Chọn từng ngôn ngữ trong 3 ngôn ngữ re-render giao diện ngay lập tức</t>
        </is>
      </c>
      <c r="G3" s="23" t="inlineStr">
        <is>
          <t>App vừa được cài đặt / vừa xoá dữ liệu, đang ở màn hình chọn ngôn ngữ đầu tiên.</t>
        </is>
      </c>
      <c r="H3" s="23" t="inlineStr">
        <is>
          <t>1. Mở app lần đầu.
2. Quan sát ngôn ngữ mặc định được chọn sẵn theo locale thiết bị.
3. Chạm chọn 'English'. Quan sát toàn bộ nhãn trên màn hình đổi sang tiếng Anh.
4. Chạm chọn '한국어', quan sát lại đổi sang tiếng Hàn.
5. Chạm 'Continue'.</t>
        </is>
      </c>
      <c r="I3" s="23" t="inlineStr">
        <is>
          <t>Thiết bị test có locale hệ thống = vi-VN.</t>
        </is>
      </c>
      <c r="J3" s="23" t="inlineStr">
        <is>
          <t>Ở bước 2, ứng với locale vi-VN thì 'Tiếng Việt' được chọn sẵn. Ở bước 3-4, toàn bộ nhãn đổi ngôn ngữ ngay khi chạm chọn, trước khi bấm Continue. Continue luôn bấm được. Sau Continue, chuyển sang SCR-ONB-02.</t>
        </is>
      </c>
      <c r="K3" s="23" t="inlineStr">
        <is>
          <t>High</t>
        </is>
      </c>
      <c r="L3" s="24" t="n"/>
      <c r="M3" s="24" t="inlineStr">
        <is>
          <t>Not Run</t>
        </is>
      </c>
      <c r="N3" s="24" t="n"/>
      <c r="O3" s="24" t="n"/>
      <c r="P3" s="23" t="n"/>
      <c r="Q3" s="23" t="n"/>
      <c r="R3" s="23" t="n"/>
    </row>
    <row r="4" hidden="1" ht="69.75" customHeight="1" s="19">
      <c r="A4" s="23" t="inlineStr">
        <is>
          <t>SCR-ONB-01-SC1-TC2</t>
        </is>
      </c>
      <c r="B4" s="23" t="inlineStr">
        <is>
          <t>SCR-ONB-01-SC1</t>
        </is>
      </c>
      <c r="C4" s="23" t="inlineStr">
        <is>
          <t>SCR-ONB-01</t>
        </is>
      </c>
      <c r="D4" s="23" t="inlineStr">
        <is>
          <t>ONB-01</t>
        </is>
      </c>
      <c r="E4" s="23" t="inlineStr">
        <is>
          <t>Boundary</t>
        </is>
      </c>
      <c r="F4" s="23" t="inlineStr">
        <is>
          <t>Locale thiết bị không khớp VN/EN/KR thì mặc định Tiếng Việt</t>
        </is>
      </c>
      <c r="G4" s="23" t="inlineStr">
        <is>
          <t>App vừa được cài đặt, thiết bị đặt locale hệ thống là một ngôn ngữ khác (ví dụ fr-FR).</t>
        </is>
      </c>
      <c r="H4" s="23" t="inlineStr">
        <is>
          <t>1. Đổi ngôn ngữ hệ thống thiết bị thành tiếng Pháp (fr-FR).
2. Cài lại / xoá data và mở app lần đầu.
3. Quan sát lựa chọn được pre-select trên màn hình chọn ngôn ngữ.</t>
        </is>
      </c>
      <c r="I4" s="23" t="inlineStr">
        <is>
          <t>Thiết bị: locale hệ thống = fr-FR (không thuộc VN/EN/KR).</t>
        </is>
      </c>
      <c r="J4" s="23" t="inlineStr">
        <is>
          <t>'Tiếng Việt' phải được pre-select vì đây là mặc định khi locale không khớp cả 3 lựa chọn (theo ONB-01).</t>
        </is>
      </c>
      <c r="K4" s="23" t="inlineStr">
        <is>
          <t>Medium</t>
        </is>
      </c>
      <c r="L4" s="24" t="n"/>
      <c r="M4" s="24" t="inlineStr">
        <is>
          <t>Not Run</t>
        </is>
      </c>
      <c r="N4" s="24" t="n"/>
      <c r="O4" s="24" t="n"/>
      <c r="P4" s="23" t="n"/>
      <c r="Q4" s="23" t="n"/>
      <c r="R4" s="23" t="n"/>
    </row>
    <row r="5" hidden="1" ht="69.75" customHeight="1" s="19">
      <c r="A5" s="23" t="inlineStr">
        <is>
          <t>SCR-ONB-01-SC2-TC1</t>
        </is>
      </c>
      <c r="B5" s="23" t="inlineStr">
        <is>
          <t>SCR-ONB-01-SC2</t>
        </is>
      </c>
      <c r="C5" s="23" t="inlineStr">
        <is>
          <t>SCR-ONB-01</t>
        </is>
      </c>
      <c r="D5" s="23" t="inlineStr">
        <is>
          <t>ONB-01</t>
        </is>
      </c>
      <c r="E5" s="23" t="inlineStr">
        <is>
          <t>Regression</t>
        </is>
      </c>
      <c r="F5" s="23" t="inlineStr">
        <is>
          <t>Màn hình chọn ngôn ngữ không hiện lại sau lần mở app đầu tiên, và Settings đổi được ngôn ngữ</t>
        </is>
      </c>
      <c r="G5" s="23" t="inlineStr">
        <is>
          <t>Đã hoàn tất toàn bộ Onboarding (bao gồm chọn store) ít nhất 1 lần.</t>
        </is>
      </c>
      <c r="H5" s="23" t="inlineStr">
        <is>
          <t>1. Đóng hoàn toàn app và mở lại.
2. Quan sát màn hình đầu tiên hiện ra.
3. Vào Settings &gt; Ngôn ngữ, đổi từ Tiếng Việt sang English.
4. Quay lại Homepage, kiểm tra nhãn giao diện.</t>
        </is>
      </c>
      <c r="I5" s="23" t="inlineStr">
        <is>
          <t>Tài khoản/thiết bị đã qua Onboarding trước đó 1 lần.</t>
        </is>
      </c>
      <c r="J5" s="23" t="inlineStr">
        <is>
          <t>Bước 2: app mở thẳng vào Homepage (state đã lưu), KHÔNG hiện lại SCR-ONB-01. Bước 4: toàn bộ nhãn Homepage đổi sang tiếng Anh ngay sau khi đổi trong Settings.</t>
        </is>
      </c>
      <c r="K5" s="23" t="inlineStr">
        <is>
          <t>Medium</t>
        </is>
      </c>
      <c r="L5" s="24" t="n"/>
      <c r="M5" s="24" t="inlineStr">
        <is>
          <t>Not Run</t>
        </is>
      </c>
      <c r="N5" s="24" t="n"/>
      <c r="O5" s="24" t="n"/>
      <c r="P5" s="23" t="n"/>
      <c r="Q5" s="23" t="n"/>
      <c r="R5" s="23" t="n"/>
    </row>
    <row r="6" hidden="1" ht="69.75" customHeight="1" s="19">
      <c r="A6" s="23" t="inlineStr">
        <is>
          <t>SCR-ONB-02-SC1-TC1</t>
        </is>
      </c>
      <c r="B6" s="23" t="inlineStr">
        <is>
          <t>SCR-ONB-02-SC1</t>
        </is>
      </c>
      <c r="C6" s="23" t="inlineStr">
        <is>
          <t>SCR-ONB-02</t>
        </is>
      </c>
      <c r="D6" s="23" t="inlineStr">
        <is>
          <t>ONB-02, ONB-03, ONB-04</t>
        </is>
      </c>
      <c r="E6" s="23" t="inlineStr">
        <is>
          <t>Functional</t>
        </is>
      </c>
      <c r="F6" s="23" t="inlineStr">
        <is>
          <t>Allow cả 3 quyền hệ thống dẫn đến store được pre-select ở bước sau</t>
        </is>
      </c>
      <c r="G6" s="23" t="inlineStr">
        <is>
          <t>Đã chọn ngôn ngữ, đang ở dialog quyền đầu tiên (Activity tracking).</t>
        </is>
      </c>
      <c r="H6" s="23" t="inlineStr">
        <is>
          <t>1. Bấm Allow trên dialog Activity tracking.
2. Bấm Allow trên dialog Notifications.
3. Bấm 'Allow While Using App' trên dialog Location.
4. Quan sát màn hình kế tiếp (SCR-ONB-03).</t>
        </is>
      </c>
      <c r="I6" s="23" t="inlineStr">
        <is>
          <t>Thiết bị test có GPS giả lập toạ độ gần 1 store LOTTE MART cụ thể (ví dụ Nam Sài Gòn).</t>
        </is>
      </c>
      <c r="J6" s="23" t="inlineStr">
        <is>
          <t>Cả 3 dialog là dialog OS gốc. Sau khi Allow cả 3, SCR-ONB-03 hiện store gần nhất theo GPS được PRE-SELECT và gắn nhãn 'Nearest' (BRL-02).</t>
        </is>
      </c>
      <c r="K6" s="23" t="inlineStr">
        <is>
          <t>High</t>
        </is>
      </c>
      <c r="L6" s="24" t="n"/>
      <c r="M6" s="24" t="inlineStr">
        <is>
          <t>Not Run</t>
        </is>
      </c>
      <c r="N6" s="24" t="n"/>
      <c r="O6" s="24" t="n"/>
      <c r="P6" s="23" t="n"/>
      <c r="Q6" s="23" t="n"/>
      <c r="R6" s="23" t="inlineStr">
        <is>
          <t>Sheet mới chỉ test 'Allow cả 3 quyền'. Nên bổ sung ít nhất 1 tổ hợp cho phép/từ chối RIÊNG LẺ (ví dụ: Allow vị trí nhưng Deny tracking + notification) vì vị trí là quyền duy nhất ảnh hưởng luồng (BRL-02) — tổ hợp hỗn hợp hiện chưa được test, chỉ có 2 thái cực Allow-all/Deny-all (SC1/SC2).</t>
        </is>
      </c>
    </row>
    <row r="7" hidden="1" ht="69.75" customHeight="1" s="19">
      <c r="A7" s="23" t="inlineStr">
        <is>
          <t>SCR-ONB-02-SC2-TC1</t>
        </is>
      </c>
      <c r="B7" s="23" t="inlineStr">
        <is>
          <t>SCR-ONB-02-SC2</t>
        </is>
      </c>
      <c r="C7" s="23" t="inlineStr">
        <is>
          <t>SCR-ONB-02</t>
        </is>
      </c>
      <c r="D7" s="23" t="inlineStr">
        <is>
          <t>ONB-02, ONB-03, ONB-04</t>
        </is>
      </c>
      <c r="E7" s="23" t="inlineStr">
        <is>
          <t>Negative</t>
        </is>
      </c>
      <c r="F7" s="23" t="inlineStr">
        <is>
          <t>Deny cả 3 quyền hệ thống không chặn hành trình nhưng bỏ mất store mặc định</t>
        </is>
      </c>
      <c r="G7" s="23" t="inlineStr">
        <is>
          <t>Đã chọn ngôn ngữ, đang ở dialog quyền đầu tiên.</t>
        </is>
      </c>
      <c r="H7" s="23" t="inlineStr">
        <is>
          <t>1. Bấm Don't Allow / Ask App Not to Track trên cả 3 dialog liên tiếp.
2. Quan sát màn hình kế tiếp (SCR-ONB-03).</t>
        </is>
      </c>
      <c r="I7" s="23" t="inlineStr">
        <is>
          <t>Không có dữ liệu vị trí (GPS bị từ chối).</t>
        </is>
      </c>
      <c r="J7" s="23" t="inlineStr">
        <is>
          <t>Khách vẫn chuyển sang được SCR-ONB-03 (không bị chặn). SCR-ONB-03 hiện State B: không có store nào pre-select, không hiện khoảng cách, banner vàng đề nghị bật vị trí; nút Continue disabled cho đến khi chọn store thủ công.</t>
        </is>
      </c>
      <c r="K7" s="23" t="inlineStr">
        <is>
          <t>High</t>
        </is>
      </c>
      <c r="L7" s="24" t="n"/>
      <c r="M7" s="24" t="inlineStr">
        <is>
          <t>Not Run</t>
        </is>
      </c>
      <c r="N7" s="24" t="n"/>
      <c r="O7" s="24" t="n"/>
      <c r="P7" s="23" t="n"/>
      <c r="Q7" s="23" t="n"/>
      <c r="R7" s="23" t="inlineStr">
        <is>
          <t>Xem ghi chú ở SCR-ONB-02-SC1-TC1 — cần thêm test tổ hợp cho phép/từ chối lẻ từng quyền, không chỉ 2 thái cực.</t>
        </is>
      </c>
    </row>
    <row r="8" hidden="1" ht="69.75" customHeight="1" s="19">
      <c r="A8" s="23" t="inlineStr">
        <is>
          <t>SCR-ONB-02-SC3-TC1</t>
        </is>
      </c>
      <c r="B8" s="23" t="inlineStr">
        <is>
          <t>SCR-ONB-02-SC3</t>
        </is>
      </c>
      <c r="C8" s="23" t="inlineStr">
        <is>
          <t>SCR-ONB-02</t>
        </is>
      </c>
      <c r="D8" s="23" t="inlineStr">
        <is>
          <t>ONB-02, ONB-03, ONB-04</t>
        </is>
      </c>
      <c r="E8" s="23" t="inlineStr">
        <is>
          <t>Functional</t>
        </is>
      </c>
      <c r="F8" s="23" t="inlineStr">
        <is>
          <t>Tổ hợp Allow vị trí / Deny tracking / Deny notification chỉ ảnh hưởng qua quyền vị trí</t>
        </is>
      </c>
      <c r="G8" s="23" t="inlineStr">
        <is>
          <t>App vừa cài đặt, đã chọn ngôn ngữ ở SCR-ONB-01.</t>
        </is>
      </c>
      <c r="H8" s="23" t="inlineStr">
        <is>
          <t>1. Ở dialog Activity tracking, bấm Deny.
2. Ở dialog Notification, bấm Deny.
3. Ở dialog Location, bấm Allow.
4. Quan sát màn hình SCR-ONB-03 tiếp theo.
5. So sánh với kịch bản Allow-cả-3 (SC1) để xác nhận kết quả pre-select store giống nhau.</t>
        </is>
      </c>
      <c r="I8" s="23" t="inlineStr">
        <is>
          <t>Thiết bị test có GPS giả lập toạ độ gần LOTTE Mart Nam Sài Gòn.</t>
        </is>
      </c>
      <c r="J8" s="23" t="inlineStr">
        <is>
          <t>Bước 4: SCR-ONB-03 hiện State A (store gần nhất được pre-select theo GPS, nhãn 'Nearest') - giống hệt kết quả của SC1 dù 2 quyền còn lại bị Deny. Bước 5: xác nhận Deny tracking/notification không gây khác biệt nào ở bước chọn store.</t>
        </is>
      </c>
      <c r="K8" s="23" t="inlineStr">
        <is>
          <t>Medium</t>
        </is>
      </c>
      <c r="L8" s="24" t="n"/>
      <c r="M8" s="24" t="inlineStr">
        <is>
          <t>Not Run</t>
        </is>
      </c>
      <c r="N8" s="24" t="n"/>
      <c r="O8" s="24" t="n"/>
      <c r="P8" s="23" t="n"/>
      <c r="Q8" s="23" t="inlineStr">
        <is>
          <t>Bổ sung theo Review 26/08/2026 - đóng gap 'thiếu tổ hợp hỗn hợp Allow/Deny' trong Review - Gaps &amp; Issues.</t>
        </is>
      </c>
      <c r="R8" s="23" t="n"/>
    </row>
    <row r="9" hidden="1" ht="69.75" customHeight="1" s="19">
      <c r="A9" s="25" t="inlineStr">
        <is>
          <t>SCR-ONB-02-SC4-TC1</t>
        </is>
      </c>
      <c r="B9" s="25" t="inlineStr">
        <is>
          <t>SCR-ONB-02-SC4</t>
        </is>
      </c>
      <c r="C9" s="25" t="inlineStr">
        <is>
          <t>SCR-ONB-02</t>
        </is>
      </c>
      <c r="D9" s="25" t="inlineStr">
        <is>
          <t>ONB-02</t>
        </is>
      </c>
      <c r="E9" s="25" t="inlineStr">
        <is>
          <t>Functional</t>
        </is>
      </c>
      <c r="F9" s="25" t="inlineStr">
        <is>
          <t>Verify Deny quyền tracking có ảnh hưởng đến việc ghi nhận sự kiện trên hệ thống tracking backend hay không - TBD chờ QnA-44</t>
        </is>
      </c>
      <c r="G9" s="25" t="inlineStr">
        <is>
          <t>Đã chọn ngôn ngữ ở SCR-ONB-01, đang ở dialog Activity tracking; có công cụ quan sát sự kiện gửi lên hệ thống tracking (network log / debug console của SDK analytics đang dùng).</t>
        </is>
      </c>
      <c r="H9" s="25" t="inlineStr">
        <is>
          <t>1. Bấm 'Ask App Not to Track' (Deny) trên dialog Activity tracking.
2. Tiếp tục Allow 2 dialog còn lại (Notification, Location) để không lẫn biến số.
3. Thao tác qua vài màn hình (Homepage, xem 1 sản phẩm) trong khi quan sát network log/debug console của hệ thống tracking.
4. GHI NHẬN chính xác: các sự kiện cơ bản (app-open, view-screen, view-product...) có còn được gửi lên hệ thống tracking nội bộ hay không, và nếu có thì có gắn cờ 'không cá nhân hoá / không cross-app' hay bị chặn hoàn toàn.</t>
        </is>
      </c>
      <c r="I9" s="25" t="inlineStr">
        <is>
          <t>N/A (quan sát network log thực tế).</t>
        </is>
      </c>
      <c r="J9" s="25" t="inlineStr">
        <is>
          <t>TBD - Expected Result cụ thể đang chờ câu trả lời QnA-44 (REQ ONB-02 hiện chỉ xác nhận không chặn LUỒNG ứng dụng, chưa xác nhận phạm vi ảnh hưởng lên hệ thống tracking backend). Người thực thi KHÔNG tự ý chấm Pass/Fail khi chưa có câu trả lời chính thức - chỉ ghi nhận hành vi thực tế.</t>
        </is>
      </c>
      <c r="K9" s="25" t="inlineStr">
        <is>
          <t>Medium</t>
        </is>
      </c>
      <c r="L9" s="24" t="n"/>
      <c r="M9" s="24" t="inlineStr">
        <is>
          <t>Not Run</t>
        </is>
      </c>
      <c r="N9" s="24" t="n"/>
      <c r="O9" s="24" t="n"/>
      <c r="P9" s="25" t="inlineStr">
        <is>
          <t>QnA-44</t>
        </is>
      </c>
      <c r="Q9" s="25" t="inlineStr">
        <is>
          <t>Bổ sung theo yêu cầu review 26/08/2026 - đóng gap "REQ ONB-02 chưa mô tả ảnh hưởng lên hệ thống tracking backend". Cập nhật Expected Result ngay khi QnA-44 được trả lời.</t>
        </is>
      </c>
      <c r="R9" s="23" t="n"/>
    </row>
    <row r="10" hidden="1" ht="69.75" customHeight="1" s="19">
      <c r="A10" s="25" t="inlineStr">
        <is>
          <t>SCR-ONB-02-SC5-TC1</t>
        </is>
      </c>
      <c r="B10" s="25" t="inlineStr">
        <is>
          <t>SCR-ONB-02-SC5</t>
        </is>
      </c>
      <c r="C10" s="25" t="inlineStr">
        <is>
          <t>SCR-ONB-02</t>
        </is>
      </c>
      <c r="D10" s="25" t="inlineStr">
        <is>
          <t>ONB-02, ONB-03, ONB-04</t>
        </is>
      </c>
      <c r="E10" s="25" t="inlineStr">
        <is>
          <t>Edge</t>
        </is>
      </c>
      <c r="F10" s="25" t="inlineStr">
        <is>
          <t>Tắt app giữa lúc đang xử lý dialog quyền hệ thống, mở lại app - TBD chờ QnA-47</t>
        </is>
      </c>
      <c r="G10" s="25" t="inlineStr">
        <is>
          <t>Đã chọn ngôn ngữ ở SCR-ONB-01; đã Allow tracking và notification, dialog Location đang hiển thị (chưa bấm gì).</t>
        </is>
      </c>
      <c r="H10" s="25" t="inlineStr">
        <is>
          <t>1. Tắt hẳn ứng dụng (kill app từ App Switcher, không phải chuyển nền/background) khi dialog Location đang hiện.
2. Mở lại app từ icon.
3. GHI NHẬN chính xác màn hình/dialog hiển thị đầu tiên sau khi mở lại: dialog Location tiếp tục hiện, quay lại dialog Activity tracking đầu tiên, hay quay lại SCR-ONB-01.
4. Hoàn tất luồng còn lại (Allow/Deny các dialog nếu còn) và xác nhận không bị kẹt hoặc lặp vô hạn.</t>
        </is>
      </c>
      <c r="I10" s="25" t="inlineStr">
        <is>
          <t>N/A (thao tác tắt/mở app thực tế).</t>
        </is>
      </c>
      <c r="J10" s="25" t="inlineStr">
        <is>
          <t>TBD - Expected Result cụ thể đang chờ câu trả lời QnA-47. Người thực thi KHÔNG tự ý chấm Pass/Fail cho bước 3 khi chưa có câu trả lời chính thức - chỉ ghi nhận hành vi thực tế, đồng thời xác nhận riêng bước 4 rằng khách KHÔNG bị kẹt (không thể hoàn tất Onboarding) dù hành vi resume là gì.</t>
        </is>
      </c>
      <c r="K10" s="25" t="inlineStr">
        <is>
          <t>Medium</t>
        </is>
      </c>
      <c r="L10" s="24" t="n"/>
      <c r="M10" s="24" t="inlineStr">
        <is>
          <t>Not Run</t>
        </is>
      </c>
      <c r="N10" s="24" t="n"/>
      <c r="O10" s="24" t="n"/>
      <c r="P10" s="25" t="inlineStr">
        <is>
          <t>QnA-47</t>
        </is>
      </c>
      <c r="Q10" s="25" t="inlineStr">
        <is>
          <t>Bổ sung theo yêu cầu review 26/08/2026.</t>
        </is>
      </c>
      <c r="R10" s="23" t="n"/>
    </row>
    <row r="11" hidden="1" ht="69.75" customHeight="1" s="19">
      <c r="A11" s="23" t="inlineStr">
        <is>
          <t>SCR-ONB-03-SC1-TC1</t>
        </is>
      </c>
      <c r="B11" s="23" t="inlineStr">
        <is>
          <t>SCR-ONB-03-SC1</t>
        </is>
      </c>
      <c r="C11" s="23" t="inlineStr">
        <is>
          <t>SCR-ONB-03</t>
        </is>
      </c>
      <c r="D11" s="23" t="inlineStr">
        <is>
          <t>ONB-05</t>
        </is>
      </c>
      <c r="E11" s="23" t="inlineStr">
        <is>
          <t>Functional</t>
        </is>
      </c>
      <c r="F11" s="23" t="inlineStr">
        <is>
          <t>Vị trí Allowed: store gần nhất được pre-select, Continue enabled ngay, xác nhận chuyển màn</t>
        </is>
      </c>
      <c r="G11" s="23" t="inlineStr">
        <is>
          <t>Quyền vị trí = Allowed, GPS giả lập gần LOTTE Mart Nam Sài Gòn (2.1km).</t>
        </is>
      </c>
      <c r="H11" s="23" t="inlineStr">
        <is>
          <t>1. Vào SCR-ONB-03 sau khi Allow vị trí.
2. Quan sát store đầu danh sách có nhãn 'Nearest' và đã được chọn (dấu tick).
3. Kiểm tra nút Continue có thể bấm được mà không cần thao tác thêm.
4. Bấm Continue.</t>
        </is>
      </c>
      <c r="I11" s="23" t="inlineStr">
        <is>
          <t>GPS: giả lập toạ độ cách LOTTE Mart Nam Sài Gòn 2.1km.</t>
        </is>
      </c>
      <c r="J11" s="23" t="inlineStr">
        <is>
          <t>LOTTE Mart Nam Sài Gòn được pre-select, nhãn 'Nearest', khoảng cách '2.1 km' hiện đúng; Continue enabled từ đầu; bấm Continue chuyển sang SCR-ONB-04.</t>
        </is>
      </c>
      <c r="K11" s="23" t="inlineStr">
        <is>
          <t>High</t>
        </is>
      </c>
      <c r="L11" s="24" t="n"/>
      <c r="M11" s="24" t="inlineStr">
        <is>
          <t>Not Run</t>
        </is>
      </c>
      <c r="N11" s="24" t="n"/>
      <c r="O11" s="24" t="n"/>
      <c r="P11" s="23" t="n"/>
      <c r="Q11" s="23" t="n"/>
      <c r="R11" s="23" t="n"/>
    </row>
    <row r="12" hidden="1" ht="69.75" customHeight="1" s="19">
      <c r="A12" s="23" t="inlineStr">
        <is>
          <t>SCR-ONB-03-SC2-TC1</t>
        </is>
      </c>
      <c r="B12" s="23" t="inlineStr">
        <is>
          <t>SCR-ONB-03-SC2</t>
        </is>
      </c>
      <c r="C12" s="23" t="inlineStr">
        <is>
          <t>SCR-ONB-03</t>
        </is>
      </c>
      <c r="D12" s="23" t="inlineStr">
        <is>
          <t>ONB-05</t>
        </is>
      </c>
      <c r="E12" s="23" t="inlineStr">
        <is>
          <t>Boundary</t>
        </is>
      </c>
      <c r="F12" s="23" t="inlineStr">
        <is>
          <t>Vị trí Denied: Continue phải disabled cho đến khi chọn 1 store (enforcement BRL-01)</t>
        </is>
      </c>
      <c r="G12" s="23" t="inlineStr">
        <is>
          <t>Quyền vị trí = Denied.</t>
        </is>
      </c>
      <c r="H12" s="23" t="inlineStr">
        <is>
          <t>1. Vào SCR-ONB-03 (State B) sau khi Deny vị trí.
2. Kiểm tra không có store nào được dấu tick sẵn, không store nào hiện khoảng cách.
3. Thử bấm Continue mà CHƯA chọn store nào. Xác nhận nút ở trạng thái disabled.
4. Chọn 1 store bất kỳ trong danh sách (ví dụ LOTTE Mart Gò Vấp).
5. Bấm lại Continue.</t>
        </is>
      </c>
      <c r="I12" s="23" t="inlineStr">
        <is>
          <t>Không có dữ liệu GPS.</t>
        </is>
      </c>
      <c r="J12" s="23" t="inlineStr">
        <is>
          <t>Bước 3: Continue không thể bấm được khi chưa chọn store. Bước 5: sau khi chọn store, Continue chuyển sang SCR-ONB-04 đúng store vừa chọn.</t>
        </is>
      </c>
      <c r="K12" s="23" t="inlineStr">
        <is>
          <t>High</t>
        </is>
      </c>
      <c r="L12" s="24" t="n"/>
      <c r="M12" s="24" t="inlineStr">
        <is>
          <t>Not Run</t>
        </is>
      </c>
      <c r="N12" s="24" t="n"/>
      <c r="O12" s="24" t="n"/>
      <c r="P12" s="23" t="n"/>
      <c r="Q12" s="23" t="n"/>
      <c r="R12" s="23" t="n"/>
    </row>
    <row r="13" hidden="1" ht="69.75" customHeight="1" s="19">
      <c r="A13" s="23" t="inlineStr">
        <is>
          <t>SCR-ONB-03-SC3-TC1</t>
        </is>
      </c>
      <c r="B13" s="23" t="inlineStr">
        <is>
          <t>SCR-ONB-03-SC3</t>
        </is>
      </c>
      <c r="C13" s="23" t="inlineStr">
        <is>
          <t>SCR-ONB-03</t>
        </is>
      </c>
      <c r="D13" s="23" t="inlineStr">
        <is>
          <t>ONB-05</t>
        </is>
      </c>
      <c r="E13" s="23" t="inlineStr">
        <is>
          <t>Functional</t>
        </is>
      </c>
      <c r="F13" s="23" t="inlineStr">
        <is>
          <t>Tìm kiếm store theo tên/quận lọc đúng danh sách</t>
        </is>
      </c>
      <c r="G13" s="23" t="inlineStr">
        <is>
          <t>Đang ở SCR-ONB-03, danh sách có ít nhất 4 store (Nam Sài Gòn, Tân Bình, Gò Vấp, Phú Thọ).</t>
        </is>
      </c>
      <c r="H13" s="23" t="inlineStr">
        <is>
          <t>1. Nhập 'Tân Bình' vào ô tìm kiếm.
2. Quan sát danh sách còn lại.
3. Xoá từ khoá, nhập 'Q.11'.
4. Quan sát danh sách còn lại.</t>
        </is>
      </c>
      <c r="I13" s="23" t="inlineStr">
        <is>
          <t>Từ khoá: 'Tân Bình' và 'Q.11'.</t>
        </is>
      </c>
      <c r="J13" s="23" t="inlineStr">
        <is>
          <t>Bước 2: chỉ còn 'LOTTE Mart Tân Bình'. Bước 4: chỉ còn store thuộc Q.11 (LOTTE Mart Phú Thọ). Kết quả lọc không làm mất yêu cầu bắt buộc chọn 1 store trước khi Continue.</t>
        </is>
      </c>
      <c r="K13" s="23" t="inlineStr">
        <is>
          <t>Low</t>
        </is>
      </c>
      <c r="L13" s="24" t="n"/>
      <c r="M13" s="24" t="inlineStr">
        <is>
          <t>Not Run</t>
        </is>
      </c>
      <c r="N13" s="24" t="n"/>
      <c r="O13" s="24" t="n"/>
      <c r="P13" s="23" t="n"/>
      <c r="Q13" s="23" t="n"/>
      <c r="R13" s="23" t="inlineStr">
        <is>
          <t>[Review trước đó, vẫn CHƯA được xử lý] Test mới chỉ kiểm tra khi gõ ĐÚNG tên/quận có kết quả. Còn thiếu trường hợp gõ tên KHÔNG TỒN TẠI (0 kết quả) — QC đã ghi nhận thành QnA-40 (25/08/2026), hiện vẫn đang chờ trả lời. Nên bổ sung 1 bước/test case riêng cho trạng thái '0 kết quả' ngay khi QnA-40 được trả lời.</t>
        </is>
      </c>
    </row>
    <row r="14" hidden="1" ht="69.75" customHeight="1" s="19">
      <c r="A14" s="25" t="inlineStr">
        <is>
          <t>SCR-ONB-03-SC4-TC1</t>
        </is>
      </c>
      <c r="B14" s="25" t="inlineStr">
        <is>
          <t>SCR-ONB-03-SC4</t>
        </is>
      </c>
      <c r="C14" s="25" t="inlineStr">
        <is>
          <t>SCR-ONB-03</t>
        </is>
      </c>
      <c r="D14" s="25" t="inlineStr">
        <is>
          <t>ONB-05</t>
        </is>
      </c>
      <c r="E14" s="25" t="inlineStr">
        <is>
          <t>Edge</t>
        </is>
      </c>
      <c r="F14" s="25" t="inlineStr">
        <is>
          <t>Tìm kiếm store với từ khoá không khớp store nào (0 kết quả) - TBD chờ QnA-40</t>
        </is>
      </c>
      <c r="G14" s="25" t="inlineStr">
        <is>
          <t>Đang ở màn hình chọn store (State A hoặc B).</t>
        </is>
      </c>
      <c r="H14" s="25" t="inlineStr">
        <is>
          <t>1. Nhập từ khoá không tồn tại (ví dụ 'Vũng Tàu' hoặc 'zzzxyz') vào ô tìm kiếm.
2. Quan sát danh sách store hiển thị.
3. GHI NHẬN chính xác giao diện thực tế: màn hình trống trơn, hay có dòng chữ thông báo, hay có gợi ý sửa từ khoá.
4. Xoá từ khoá, xác nhận danh sách đầy đủ store hiện lại bình thường.</t>
        </is>
      </c>
      <c r="I14" s="25" t="inlineStr">
        <is>
          <t>Từ khoá test: 'Vũng Tàu' (giả định chưa có store LOTTE MART tại khu vực này trong dữ liệu test).</t>
        </is>
      </c>
      <c r="J14" s="25" t="inlineStr">
        <is>
          <t>TBD - Expected Result cụ thể (nội dung/hình ảnh trạng thái 0 kết quả) đang chờ câu trả lời QnA-40. Người thực thi KHÔNG tự ý chấm Pass/Fail cho bước 3 khi chưa có câu trả lời chính thức - chỉ ghi nhận hành vi thực tế để đối chiếu.</t>
        </is>
      </c>
      <c r="K14" s="25" t="inlineStr">
        <is>
          <t>Medium</t>
        </is>
      </c>
      <c r="L14" s="24" t="n"/>
      <c r="M14" s="24" t="inlineStr">
        <is>
          <t>Not Run</t>
        </is>
      </c>
      <c r="N14" s="24" t="n"/>
      <c r="O14" s="24" t="n"/>
      <c r="P14" s="25" t="inlineStr">
        <is>
          <t>QnA-40</t>
        </is>
      </c>
      <c r="Q14" s="25" t="inlineStr">
        <is>
          <t>Đóng gap đã ghi nhận trong Ghi chu Review (QC) cũ của SCR-ONB-03-SC3-TC1 (Review 26/08/2026). Cập nhật lại Expected Result ngay khi QnA-40 được trả lời.</t>
        </is>
      </c>
      <c r="R14" s="23" t="n"/>
    </row>
    <row r="15" hidden="1" ht="69.75" customHeight="1" s="19">
      <c r="A15" s="25" t="inlineStr">
        <is>
          <t>SCR-ONB-03-SC5-TC1</t>
        </is>
      </c>
      <c r="B15" s="25" t="inlineStr">
        <is>
          <t>SCR-ONB-03-SC5</t>
        </is>
      </c>
      <c r="C15" s="25" t="inlineStr">
        <is>
          <t>SCR-ONB-03</t>
        </is>
      </c>
      <c r="D15" s="25" t="inlineStr">
        <is>
          <t>ONB-05</t>
        </is>
      </c>
      <c r="E15" s="25" t="inlineStr">
        <is>
          <t>Boundary</t>
        </is>
      </c>
      <c r="F15" s="25" t="inlineStr">
        <is>
          <t>Hai store có khoảng cách bằng nhau tới vị trí khách - xác nhận store nào được pre-select - TBD chờ QnA-45</t>
        </is>
      </c>
      <c r="G15" s="25" t="inlineStr">
        <is>
          <t>Quyền vị trí = Allowed; dữ liệu test có ít nhất 2 store cùng khoảng cách (hoặc cùng làm tròn hiển thị, ví dụ đều '2.1 km') tới vị trí giả lập.</t>
        </is>
      </c>
      <c r="H15" s="25" t="inlineStr">
        <is>
          <t>1. Cấu hình GPS giả lập tại vị trí cách đều 2 store cụ thể (ví dụ LOTTE Mart Nam Sài Gòn và 1 store khác, cùng 2.1 km).
2. Vào SCR-ONB-03, quan sát store nào được pre-select và gắn nhãn 'Nearest'.
3. GHI NHẬN thứ tự hiển thị của 2 store đồng khoảng cách trong danh sách.
4. Lặp lại test với vị trí giả lập cách đều 1 cặp store KHÁC để xác nhận quy tắc lặp lại nhất quán (không phải ngẫu nhiên).</t>
        </is>
      </c>
      <c r="I15" s="25" t="inlineStr">
        <is>
          <t>Toạ độ GPS: cách đều LOTTE Mart Nam Sài Gòn và 1 store lân cận, cùng khoảng cách 2.1 km (làm tròn 1 số thập phân).</t>
        </is>
      </c>
      <c r="J15" s="25" t="inlineStr">
        <is>
          <t>TBD - SRS/BRL-02 không có quy tắc tie-break. Expected Result cụ thể đang chờ câu trả lời QnA-45. Người thực thi KHÔNG tự ý chấm Pass/Fail - chỉ ghi nhận store thực tế được chọn và xác nhận tính NHẤT QUÁN (lặp lại nhiều lần cho cùng 1 cặp store phải luôn ra cùng 1 kết quả, không phải ngẫu nhiên).</t>
        </is>
      </c>
      <c r="K15" s="25" t="inlineStr">
        <is>
          <t>Medium</t>
        </is>
      </c>
      <c r="L15" s="24" t="n"/>
      <c r="M15" s="24" t="inlineStr">
        <is>
          <t>Not Run</t>
        </is>
      </c>
      <c r="N15" s="24" t="n"/>
      <c r="O15" s="24" t="n"/>
      <c r="P15" s="25" t="inlineStr">
        <is>
          <t>QnA-45</t>
        </is>
      </c>
      <c r="Q15" s="25" t="inlineStr">
        <is>
          <t>Bổ sung theo yêu cầu review 26/08/2026 - làm rõ định nghĩa 'nearest' và quy tắc tie-break.</t>
        </is>
      </c>
      <c r="R15" s="23" t="n"/>
    </row>
    <row r="16" hidden="1" ht="69.75" customHeight="1" s="19">
      <c r="A16" s="25" t="inlineStr">
        <is>
          <t>SCR-ONB-03-SC6-TC1</t>
        </is>
      </c>
      <c r="B16" s="25" t="inlineStr">
        <is>
          <t>SCR-ONB-03-SC6</t>
        </is>
      </c>
      <c r="C16" s="25" t="inlineStr">
        <is>
          <t>SCR-ONB-03</t>
        </is>
      </c>
      <c r="D16" s="25" t="inlineStr">
        <is>
          <t>ONB-05</t>
        </is>
      </c>
      <c r="E16" s="25" t="inlineStr">
        <is>
          <t>Functional</t>
        </is>
      </c>
      <c r="F16" s="25" t="inlineStr">
        <is>
          <t>Tìm kiếm store theo quận và nhãn địa giới hiển thị - xác nhận dùng địa giới hành chính cũ hay mới - TBD chờ QnA-46</t>
        </is>
      </c>
      <c r="G16" s="25" t="inlineStr">
        <is>
          <t>Đang ở màn hình chọn store (State A hoặc B).</t>
        </is>
      </c>
      <c r="H16" s="25" t="inlineStr">
        <is>
          <t>1. Quan sát nhãn quận/khu vực hiển thị kèm mỗi store trong danh sách (ví dụ 'Q.7', 'Q.11'...).
2. Nhập tên quận theo địa giới CŨ (trước sáp nhập) vào ô tìm kiếm, quan sát kết quả lọc.
3. Nếu có dữ liệu, thử nhập tên đơn vị hành chính theo địa giới MỚI (sau sáp nhập) tương ứng cùng khu vực, so sánh kết quả với bước 2.
4. GHI NHẬN nhãn địa giới hiển thị và kết quả tìm kiếm có nhất quán với địa chỉ khách nhập ở màn tạo địa chỉ (SCR-HOM-02) hay không (nếu có thể đối chiếu được ở giai đoạn test này).</t>
        </is>
      </c>
      <c r="I16" s="25" t="inlineStr">
        <is>
          <t>Tên quận cũ: 'Thủ Đức' (hoặc 1 quận/huyện đã bị sáp nhập gần thời điểm test); tên đơn vị hành chính mới tương ứng.</t>
        </is>
      </c>
      <c r="J16" s="25" t="inlineStr">
        <is>
          <t>TBD - Expected Result cụ thể đang chờ câu trả lời QnA-46 (nguồn dữ liệu địa giới hành chính dùng cho GPS/tìm kiếm store). Người thực thi KHÔNG tự ý chấm Pass/Fail - chỉ ghi nhận nhãn/kết quả tìm kiếm thực tế.</t>
        </is>
      </c>
      <c r="K16" s="25" t="inlineStr">
        <is>
          <t>Medium</t>
        </is>
      </c>
      <c r="L16" s="24" t="n"/>
      <c r="M16" s="24" t="inlineStr">
        <is>
          <t>Not Run</t>
        </is>
      </c>
      <c r="N16" s="24" t="n"/>
      <c r="O16" s="24" t="n"/>
      <c r="P16" s="25" t="inlineStr">
        <is>
          <t>QnA-46</t>
        </is>
      </c>
      <c r="Q16" s="25" t="inlineStr">
        <is>
          <t>Bổ sung theo yêu cầu review 26/08/2026.</t>
        </is>
      </c>
      <c r="R16" s="23" t="n"/>
    </row>
    <row r="17" hidden="1" ht="69.75" customHeight="1" s="19">
      <c r="A17" s="25" t="inlineStr">
        <is>
          <t>SCR-ONB-03-SC7-TC1</t>
        </is>
      </c>
      <c r="B17" s="25" t="inlineStr">
        <is>
          <t>SCR-ONB-03-SC7</t>
        </is>
      </c>
      <c r="C17" s="25" t="inlineStr">
        <is>
          <t>SCR-ONB-03</t>
        </is>
      </c>
      <c r="D17" s="25" t="inlineStr">
        <is>
          <t>ONB-05</t>
        </is>
      </c>
      <c r="E17" s="25" t="inlineStr">
        <is>
          <t>Edge</t>
        </is>
      </c>
      <c r="F17" s="25" t="inlineStr">
        <is>
          <t>Tắt app khi đang ở màn chọn store bắt buộc (chưa bấm Continue), mở lại app - TBD chờ QnA-47</t>
        </is>
      </c>
      <c r="G17" s="25" t="inlineStr">
        <is>
          <t>Đã qua bước xin quyền (SCR-ONB-02), đang ở SCR-ONB-03.</t>
        </is>
      </c>
      <c r="H17" s="25" t="inlineStr">
        <is>
          <t>1. Ở State B (vị trí Denied), chọn thủ công 1 store bất kỳ nhưng CHƯA bấm Continue.
2. Tắt hẳn ứng dụng (kill app).
3. Mở lại app từ icon, GHI NHẬN màn hình hiển thị đầu tiên và store đã chọn ở bước 1 có còn được giữ hay không.
4. Lặp lại bước 1-3 nhưng KHÔNG chọn store nào trước khi tắt app (State B, chưa chọn gì), xác nhận riêng trường hợp này.</t>
        </is>
      </c>
      <c r="I17" s="25" t="inlineStr">
        <is>
          <t>N/A (thao tác tắt/mở app thực tế).</t>
        </is>
      </c>
      <c r="J17" s="25" t="inlineStr">
        <is>
          <t>TBD - Expected Result cụ thể đang chờ câu trả lời QnA-47. Người thực thi KHÔNG tự ý chấm Pass/Fail - chỉ ghi nhận hành vi thực tế, đồng thời xác nhận khách KHÔNG bị bỏ qua bước chọn store bắt buộc (BRL-01) dù hành vi resume là gì (ví dụ không được nhảy thẳng vào Homepage mà chưa hề chọn store).</t>
        </is>
      </c>
      <c r="K17" s="25" t="inlineStr">
        <is>
          <t>High</t>
        </is>
      </c>
      <c r="L17" s="24" t="n"/>
      <c r="M17" s="24" t="inlineStr">
        <is>
          <t>Not Run</t>
        </is>
      </c>
      <c r="N17" s="24" t="n"/>
      <c r="O17" s="24" t="n"/>
      <c r="P17" s="25" t="inlineStr">
        <is>
          <t>QnA-47</t>
        </is>
      </c>
      <c r="Q17" s="25" t="inlineStr">
        <is>
          <t>Bổ sung theo yêu cầu review 26/08/2026 - rủi ro cao hơn SCR-ONB-02-SC5 vì đây là bước bắt buộc (BRL-01, mandatory store selection).</t>
        </is>
      </c>
      <c r="R17" s="23" t="n"/>
    </row>
    <row r="18" hidden="1" ht="69.75" customHeight="1" s="19">
      <c r="A18" s="25" t="inlineStr">
        <is>
          <t>SCR-ONB-04-SC1-TC1</t>
        </is>
      </c>
      <c r="B18" s="25" t="inlineStr">
        <is>
          <t>SCR-ONB-04-SC1</t>
        </is>
      </c>
      <c r="C18" s="25" t="inlineStr">
        <is>
          <t>SCR-ONB-04</t>
        </is>
      </c>
      <c r="D18" s="25" t="inlineStr">
        <is>
          <t>ONB-06</t>
        </is>
      </c>
      <c r="E18" s="25" t="inlineStr">
        <is>
          <t>Functional</t>
        </is>
      </c>
      <c r="F18" s="25" t="inlineStr">
        <is>
          <t>Vượt qua 3 màn carousel, progress dot cập nhật đúng vị trí</t>
        </is>
      </c>
      <c r="G18" s="25" t="inlineStr">
        <is>
          <t>Đã hoàn tất chọn store, đang ở màn carousel 1/3.</t>
        </is>
      </c>
      <c r="H18" s="25" t="inlineStr">
        <is>
          <t>1. Quan sát 3 chấm progress, chấm đầu tiên đang active (kéo dài).
2. Vuốt trái sang màn 2/3, quan sát chấm thứ 2 active.
3. Vuốt trái sang màn 3/3, quan sát chấm thứ 3 active và nút chính đổi thành 'Start shopping'.
4. Vuốt phải quay lại màn 2, kiểm tra điều hướng ngược chiều hoạt động.</t>
        </is>
      </c>
      <c r="I18" s="25" t="inlineStr">
        <is>
          <t>N/A (thao tác vuốt màn hình).</t>
        </is>
      </c>
      <c r="J18" s="25" t="inlineStr">
        <is>
          <t>Progress dot luôn phản ánh đúng vị trí hiện tại; vuốt được cả 2 chiều; nút chính chỉ đổi thành 'Start shopping' ở màn thứ 3.</t>
        </is>
      </c>
      <c r="K18" s="25" t="inlineStr">
        <is>
          <t>Low</t>
        </is>
      </c>
      <c r="L18" s="24" t="n"/>
      <c r="M18" s="24" t="inlineStr">
        <is>
          <t>Not Run</t>
        </is>
      </c>
      <c r="N18" s="24" t="n"/>
      <c r="O18" s="24" t="n"/>
      <c r="P18" s="25" t="inlineStr">
        <is>
          <t>QnA-06</t>
        </is>
      </c>
      <c r="Q18" s="25" t="inlineStr">
        <is>
          <t>Artwork/nội dung cụ thể của từng màn còn chờ LOTTE MART xác nhận (QnA-06) nhưng không chặn test điều hướng.</t>
        </is>
      </c>
      <c r="R18" s="23" t="n"/>
    </row>
    <row r="19" hidden="1" ht="69.75" customHeight="1" s="19">
      <c r="A19" s="23" t="inlineStr">
        <is>
          <t>SCR-ONB-04-SC2-TC1</t>
        </is>
      </c>
      <c r="B19" s="23" t="inlineStr">
        <is>
          <t>SCR-ONB-04-SC2</t>
        </is>
      </c>
      <c r="C19" s="23" t="inlineStr">
        <is>
          <t>SCR-ONB-04</t>
        </is>
      </c>
      <c r="D19" s="23" t="inlineStr">
        <is>
          <t>ONB-06, ONB-07</t>
        </is>
      </c>
      <c r="E19" s="23" t="inlineStr">
        <is>
          <t>Functional</t>
        </is>
      </c>
      <c r="F19" s="23" t="inlineStr">
        <is>
          <t>Bấm Skip từ màn carousel đầu tiên vào thẳng Homepage đúng store đã chọn</t>
        </is>
      </c>
      <c r="G19" s="23" t="inlineStr">
        <is>
          <t>Đã chọn store là 'LOTTE Mart Nam Sài Gòn' ở SCR-ONB-03, đang ở màn carousel 1/3.</t>
        </is>
      </c>
      <c r="H19" s="23" t="inlineStr">
        <is>
          <t>1. Bấm nút 'Skip' ở góc màn hình.
2. Quan sát màn hình đích đến.
3. Kiểm tra tên store hiện trên header Homepage.</t>
        </is>
      </c>
      <c r="I19" s="23" t="inlineStr">
        <is>
          <t>Store đã chọn trước đó: LOTTE Mart Nam Sài Gòn.</t>
        </is>
      </c>
      <c r="J19" s="23" t="inlineStr">
        <is>
          <t>Hệ thống bỏ qua màn 2 và 3, vào thẳng SCR-HOM-01 (Homepage) trạng thái Guest; header hiện đúng 'LOTTE Mart Nam Sài Gòn' (BR-03, ONB-07).</t>
        </is>
      </c>
      <c r="K19" s="23" t="inlineStr">
        <is>
          <t>Medium</t>
        </is>
      </c>
      <c r="L19" s="24" t="n"/>
      <c r="M19" s="24" t="inlineStr">
        <is>
          <t>Not Run</t>
        </is>
      </c>
      <c r="N19" s="24" t="n"/>
      <c r="O19" s="24" t="n"/>
      <c r="P19" s="23" t="n"/>
      <c r="Q19" s="23" t="n"/>
      <c r="R19" s="23" t="n"/>
    </row>
    <row r="20" hidden="1" ht="69.75" customHeight="1" s="19">
      <c r="A20" s="25" t="inlineStr">
        <is>
          <t>SCR-ONB-04-SC3-TC1</t>
        </is>
      </c>
      <c r="B20" s="25" t="inlineStr">
        <is>
          <t>SCR-ONB-04-SC3</t>
        </is>
      </c>
      <c r="C20" s="25" t="inlineStr">
        <is>
          <t>SCR-ONB-04</t>
        </is>
      </c>
      <c r="D20" s="25" t="inlineStr">
        <is>
          <t>ONB-06</t>
        </is>
      </c>
      <c r="E20" s="25" t="inlineStr">
        <is>
          <t>Edge</t>
        </is>
      </c>
      <c r="F20" s="25" t="inlineStr">
        <is>
          <t>Tắt app khi đang ở giữa carousel giới thiệu, mở lại app - TBD chờ QnA-48</t>
        </is>
      </c>
      <c r="G20" s="25" t="inlineStr">
        <is>
          <t>Đã hoàn tất chọn store bắt buộc ở SCR-ONB-03, đang ở carousel màn 2/3.</t>
        </is>
      </c>
      <c r="H20" s="25" t="inlineStr">
        <is>
          <t>1. Ở màn carousel 2/3, tắt hẳn ứng dụng (kill app).
2. Mở lại app từ icon.
3. GHI NHẬN chính xác màn hình hiển thị đầu tiên: tiếp tục carousel màn 2/3, carousel quay lại màn 1/3, hay vào thẳng Homepage (SCR-HOM-01).
4. Nếu carousel hiện lại, xác nhận store đã chọn ở SCR-ONB-03 vẫn được giữ đúng (không bị mất hay yêu cầu chọn lại).</t>
        </is>
      </c>
      <c r="I20" s="25" t="inlineStr">
        <is>
          <t>N/A (thao tác tắt/mở app thực tế).</t>
        </is>
      </c>
      <c r="J20" s="25" t="inlineStr">
        <is>
          <t>TBD - Expected Result cụ thể đang chờ câu trả lời QnA-48. Người thực thi KHÔNG tự ý chấm Pass/Fail cho bước 3 - chỉ ghi nhận hành vi thực tế; bước 4 luôn phải đúng (store đã chọn không bao giờ bị mất) bất kể carousel resume ra sao.</t>
        </is>
      </c>
      <c r="K20" s="25" t="inlineStr">
        <is>
          <t>Low</t>
        </is>
      </c>
      <c r="L20" s="24" t="n"/>
      <c r="M20" s="24" t="inlineStr">
        <is>
          <t>Not Run</t>
        </is>
      </c>
      <c r="N20" s="24" t="n"/>
      <c r="O20" s="24" t="n"/>
      <c r="P20" s="25" t="inlineStr">
        <is>
          <t>QnA-48</t>
        </is>
      </c>
      <c r="Q20" s="25" t="inlineStr">
        <is>
          <t>Bổ sung theo yêu cầu review 26/08/2026.</t>
        </is>
      </c>
      <c r="R20" s="23" t="n"/>
    </row>
    <row r="21" hidden="1" ht="69.75" customHeight="1" s="19">
      <c r="A21" s="23" t="inlineStr">
        <is>
          <t>SCR-HOM-01-SC1-TC1</t>
        </is>
      </c>
      <c r="B21" s="23" t="inlineStr">
        <is>
          <t>SCR-HOM-01-SC1</t>
        </is>
      </c>
      <c r="C21" s="23" t="inlineStr">
        <is>
          <t>SCR-HOM-01</t>
        </is>
      </c>
      <c r="D21" s="23" t="inlineStr">
        <is>
          <t>HP-01, HP-04</t>
        </is>
      </c>
      <c r="E21" s="23" t="inlineStr">
        <is>
          <t>Functional</t>
        </is>
      </c>
      <c r="F21" s="23" t="inlineStr">
        <is>
          <t>Guest xem Homepage khi chưa có địa chỉ - ước tính theo store, không bị chặn duyệt</t>
        </is>
      </c>
      <c r="G21" s="23" t="inlineStr">
        <is>
          <t>Guest vừa vào Homepage lần đầu, chưa tạo địa chỉ nào.</t>
        </is>
      </c>
      <c r="H21" s="23" t="inlineStr">
        <is>
          <t>1. Quan sát header: tên store, dòng địa chỉ giao hàng, ước tính giao hàng.
2. Chạm vào danh mục/sản phẩm bất kỳ để xác nhận duyệt được bình thường.
3. Chạm icon Cart để xác nhận vẫn hiển thị (chưa cần kiểm tra hành vi mở gate ở đây).</t>
        </is>
      </c>
      <c r="I21" s="23" t="inlineStr">
        <is>
          <t>Store đã chọn: LOTTE Mart Nam Sài Gòn.</t>
        </is>
      </c>
      <c r="J21" s="23" t="inlineStr">
        <is>
          <t>Header hiện 'Choose delivery address'; ước tính giao hàng hiện Standard + slot sớm nhất CỦA STORE (không phải theo địa chỉ vì chưa có); danh mục/giá/khuyến mãi đúng theo store đã chọn; duyệt danh mục không bị chặn bởi việc chưa đăng nhập hay chưa có địa chỉ (BR-04).</t>
        </is>
      </c>
      <c r="K21" s="23" t="inlineStr">
        <is>
          <t>High</t>
        </is>
      </c>
      <c r="L21" s="24" t="n"/>
      <c r="M21" s="24" t="inlineStr">
        <is>
          <t>Not Run</t>
        </is>
      </c>
      <c r="N21" s="24" t="n"/>
      <c r="O21" s="24" t="n"/>
      <c r="P21" s="23" t="n"/>
      <c r="Q21" s="23" t="n"/>
      <c r="R21" s="23" t="n"/>
    </row>
    <row r="22" hidden="1" ht="69.75" customHeight="1" s="19">
      <c r="A22" s="23" t="inlineStr">
        <is>
          <t>SCR-HOM-01-SC2-TC1</t>
        </is>
      </c>
      <c r="B22" s="23" t="inlineStr">
        <is>
          <t>SCR-HOM-01-SC2</t>
        </is>
      </c>
      <c r="C22" s="23" t="inlineStr">
        <is>
          <t>SCR-HOM-01</t>
        </is>
      </c>
      <c r="D22" s="23" t="inlineStr">
        <is>
          <t>HP-01, HP-04</t>
        </is>
      </c>
      <c r="E22" s="23" t="inlineStr">
        <is>
          <t>Functional</t>
        </is>
      </c>
      <c r="F22" s="23" t="inlineStr">
        <is>
          <t>Địa chỉ trong vùng 60-Minute hiện banner đề xuất nhưng Standard vẫn là mặc định</t>
        </is>
      </c>
      <c r="G22" s="23" t="inlineStr">
        <is>
          <t>Guest đã lưu 1 địa chỉ cách store 4km (trong bán kính 3-5km).</t>
        </is>
      </c>
      <c r="H22" s="23" t="inlineStr">
        <is>
          <t>1. Mở Homepage, quan sát địa chỉ hiện trên header.
2. Quan sát dòng ước tính giao hàng và banner bên dưới.
3. Kiểm tra dịch vụ đang được CHỌN là gì (Standard hay 60-Minute).</t>
        </is>
      </c>
      <c r="I22" s="23" t="inlineStr">
        <is>
          <t>Địa chỉ test: cách store 4km.</t>
        </is>
      </c>
      <c r="J22" s="23" t="inlineStr">
        <is>
          <t>Header hiện đúng địa chỉ đã lưu; ước tính hiện 'Standard - hôm nay HH:MM-HH:MM' kèm banner '60-Minute delivery is available for this address'; dịch vụ đang CHỌN vẫn là Standard (banner chỉ là đề xuất, không tự chuyển).</t>
        </is>
      </c>
      <c r="K22" s="23" t="inlineStr">
        <is>
          <t>Medium</t>
        </is>
      </c>
      <c r="L22" s="24" t="n"/>
      <c r="M22" s="24" t="inlineStr">
        <is>
          <t>Not Run</t>
        </is>
      </c>
      <c r="N22" s="24" t="n"/>
      <c r="O22" s="24" t="n"/>
      <c r="P22" s="23" t="n"/>
      <c r="Q22" s="23" t="n"/>
      <c r="R22" s="23" t="n"/>
    </row>
    <row r="23" hidden="1" ht="69.75" customHeight="1" s="19">
      <c r="A23" s="23" t="inlineStr">
        <is>
          <t>SCR-HOM-01-SC3-TC1</t>
        </is>
      </c>
      <c r="B23" s="23" t="inlineStr">
        <is>
          <t>SCR-HOM-01-SC3</t>
        </is>
      </c>
      <c r="C23" s="23" t="inlineStr">
        <is>
          <t>SCR-HOM-01</t>
        </is>
      </c>
      <c r="D23" s="23" t="inlineStr">
        <is>
          <t>HP-01, BR-06</t>
        </is>
      </c>
      <c r="E23" s="23" t="inlineStr">
        <is>
          <t>Functional</t>
        </is>
      </c>
      <c r="F23" s="23" t="inlineStr">
        <is>
          <t>Giá Guest và giá Member hiện đồng thời trên cùng 1 SKU khi đang ở trạng thái Guest</t>
        </is>
      </c>
      <c r="G23" s="23" t="inlineStr">
        <is>
          <t>Đang ở Homepage, trạng thái Guest, khu 'Best sellers at this store' có ít nhất 1 SKU có cả 2 mức giá.</t>
        </is>
      </c>
      <c r="H23" s="23" t="inlineStr">
        <is>
          <t>1. Cuộn đến khu 'Best sellers at this store'.
2. Quan sát 1 SKU có cả 2 giá.
3. Ghi nhận giá Guest và giá Member hiển thị.</t>
        </is>
      </c>
      <c r="I23" s="23" t="inlineStr">
        <is>
          <t>SKU mẫu: giá Guest 59.000đ, giá Member 49.000đ.</t>
        </is>
      </c>
      <c r="J23" s="23" t="inlineStr">
        <is>
          <t>Cả 2 giá (59.000đ và 49.000đ) hiển thị ĐỒNG THỜI trên cùng 1 thẻ sản phẩm, không bị ẩn giá nào.</t>
        </is>
      </c>
      <c r="K23" s="23" t="inlineStr">
        <is>
          <t>Low</t>
        </is>
      </c>
      <c r="L23" s="24" t="n"/>
      <c r="M23" s="24" t="inlineStr">
        <is>
          <t>Not Run</t>
        </is>
      </c>
      <c r="N23" s="24" t="n"/>
      <c r="O23" s="24" t="n"/>
      <c r="P23" s="23" t="n"/>
      <c r="Q23" s="23" t="n"/>
      <c r="R23" s="23" t="n"/>
    </row>
    <row r="24" hidden="1" ht="69.75" customHeight="1" s="19">
      <c r="A24" s="25" t="inlineStr">
        <is>
          <t>SCR-HOM-01-SC3-TC2</t>
        </is>
      </c>
      <c r="B24" s="25" t="inlineStr">
        <is>
          <t>SCR-HOM-01-SC3</t>
        </is>
      </c>
      <c r="C24" s="25" t="inlineStr">
        <is>
          <t>SCR-HOM-01</t>
        </is>
      </c>
      <c r="D24" s="25" t="inlineStr">
        <is>
          <t>HP-01, BR-06</t>
        </is>
      </c>
      <c r="E24" s="25" t="inlineStr">
        <is>
          <t>Boundary</t>
        </is>
      </c>
      <c r="F24" s="25" t="inlineStr">
        <is>
          <t>Member đã đăng nhập vẫn thấy đồng thời giá Guest và giá Member - TBD phần chênh lệch theo hạng chờ QnA-50</t>
        </is>
      </c>
      <c r="G24" s="25" t="inlineStr">
        <is>
          <t>Đã đăng nhập Member có tier cụ thể (ví dụ Bạc), đang xem 1 SKU có cả giá Guest và Member.</t>
        </is>
      </c>
      <c r="H24" s="25" t="inlineStr">
        <is>
          <t>1. Quan sát thẻ SKU sau khi đã đăng nhập.
2. Xác nhận cả 2 giá (Guest và Member) vẫn hiện đồng thời (theo SCR-HOM-06-SC1, chỉ đổi thứ tự ưu tiên, không ẩn giá nào).
3. GHI NHẬN chính xác giá Member hiển thị có ghi rõ theo hạng (ví dụ 'Giá Bạc') hay chỉ ghi chung 'Giá Member'.</t>
        </is>
      </c>
      <c r="I24" s="25" t="inlineStr">
        <is>
          <t>Tài khoản Member tier Bạc; SKU mẫu: giá Guest 59.000đ, giá Member 49.000đ.</t>
        </is>
      </c>
      <c r="J24" s="25" t="inlineStr">
        <is>
          <t>TBD - Expected Result cụ thể (giá Member có phân biệt theo hạng hay không) đang chờ câu trả lời QnA-50. Người thực thi KHÔNG tự ý chấm Pass/Fail cho phần chênh lệch theo hạng khi chưa có câu trả lời chính thức.</t>
        </is>
      </c>
      <c r="K24" s="25" t="inlineStr">
        <is>
          <t>Medium</t>
        </is>
      </c>
      <c r="L24" s="24" t="n"/>
      <c r="M24" s="24" t="inlineStr">
        <is>
          <t>Not Run</t>
        </is>
      </c>
      <c r="N24" s="24" t="n"/>
      <c r="O24" s="24" t="n"/>
      <c r="P24" s="25" t="inlineStr">
        <is>
          <t>QnA-50</t>
        </is>
      </c>
      <c r="Q24" s="25" t="inlineStr">
        <is>
          <t>Bổ sung theo yêu cầu review 27/08/2026.</t>
        </is>
      </c>
      <c r="R24" s="23" t="n"/>
    </row>
    <row r="25" hidden="1" ht="69.75" customHeight="1" s="19">
      <c r="A25" s="23" t="inlineStr">
        <is>
          <t>SCR-HOM-01-SC4-TC1</t>
        </is>
      </c>
      <c r="B25" s="23" t="inlineStr">
        <is>
          <t>SCR-HOM-01-SC4</t>
        </is>
      </c>
      <c r="C25" s="23" t="inlineStr">
        <is>
          <t>SCR-HOM-01</t>
        </is>
      </c>
      <c r="D25" s="23" t="inlineStr">
        <is>
          <t>HP-01, HP-04</t>
        </is>
      </c>
      <c r="E25" s="23" t="inlineStr">
        <is>
          <t>Negative</t>
        </is>
      </c>
      <c r="F25" s="23" t="inlineStr">
        <is>
          <t>Địa chỉ ngoài vùng 60-Minute (chỉ đủ điều kiện Standard) KHÔNG hiển thị banner đề xuất 60-Minute</t>
        </is>
      </c>
      <c r="G25" s="23" t="inlineStr">
        <is>
          <t>Guest/Member đã lưu 1 địa chỉ cách store 12km (ngoài bán kính 60-Minute, trong bán kính Standard).</t>
        </is>
      </c>
      <c r="H25" s="23" t="inlineStr">
        <is>
          <t>1. Mở Homepage, quan sát địa chỉ hiện trên header.
2. Quan sát dòng ước tính giao hàng và khu vực banner bên dưới (nếu có).
3. Xác nhận KHÔNG có banner nào đề cập đến 60-Minute.</t>
        </is>
      </c>
      <c r="I25" s="23" t="inlineStr">
        <is>
          <t>Địa chỉ test: cách store 12km.</t>
        </is>
      </c>
      <c r="J25" s="23" t="inlineStr">
        <is>
          <t>Header hiện đúng địa chỉ đã lưu; ước tính CHỈ hiện 'Standard' (không có lựa chọn/đề xuất 60-Minute); KHÔNG xuất hiện banner '60-Minute delivery is available' hay tương tự - khác với SC2 (địa chỉ trong vùng 60-Minute).</t>
        </is>
      </c>
      <c r="K25" s="23" t="inlineStr">
        <is>
          <t>Medium</t>
        </is>
      </c>
      <c r="L25" s="24" t="n"/>
      <c r="M25" s="24" t="inlineStr">
        <is>
          <t>Not Run</t>
        </is>
      </c>
      <c r="N25" s="24" t="n"/>
      <c r="O25" s="24" t="n"/>
      <c r="P25" s="23" t="n"/>
      <c r="Q25" s="23" t="inlineStr">
        <is>
          <t>Bổ sung theo yêu cầu review 27/08/2026 - đối xứng với SC2 (banner CÓ hiện khi trong vùng), đảm bảo banner KHÔNG hiện sai khi ngoài vùng.</t>
        </is>
      </c>
      <c r="R25" s="23" t="n"/>
    </row>
    <row r="26" hidden="1" ht="69.75" customHeight="1" s="19">
      <c r="A26" s="25" t="inlineStr">
        <is>
          <t>SCR-HOM-01-SC4-TC2</t>
        </is>
      </c>
      <c r="B26" s="25" t="inlineStr">
        <is>
          <t>SCR-HOM-01-SC4</t>
        </is>
      </c>
      <c r="C26" s="25" t="inlineStr">
        <is>
          <t>SCR-HOM-01</t>
        </is>
      </c>
      <c r="D26" s="25" t="inlineStr">
        <is>
          <t>HP-01, HP-04</t>
        </is>
      </c>
      <c r="E26" s="25" t="inlineStr">
        <is>
          <t>Boundary</t>
        </is>
      </c>
      <c r="F26" s="25" t="inlineStr">
        <is>
          <t>2 địa chỉ khác nhau cùng trong vùng Standard-only có cùng slot giờ hay khác nhau - TBD chờ QnA-49</t>
        </is>
      </c>
      <c r="G26" s="25" t="inlineStr">
        <is>
          <t>Chuẩn bị 2 địa chỉ khác nhau nhưng đều chỉ đủ điều kiện Standard (không 60-Minute), ví dụ cách store 8km và 14km.</t>
        </is>
      </c>
      <c r="H26" s="25" t="inlineStr">
        <is>
          <t>1. Lưu địa chỉ A (8km), ghi nhận slot giờ Standard hiển thị (ví dụ '14:00-16:00').
2. Đổi sang địa chỉ B (14km, vẫn trong bán kính Standard), ghi nhận lại slot giờ hiển thị.
3. So sánh slot giờ giữa 2 địa chỉ.</t>
        </is>
      </c>
      <c r="I26" s="25" t="inlineStr">
        <is>
          <t>Địa chỉ A: 8km. Địa chỉ B: 14km. Cả 2 đều chỉ đủ điều kiện Standard.</t>
        </is>
      </c>
      <c r="J26" s="25" t="inlineStr">
        <is>
          <t>TBD - Expected Result (slot giờ có giống nhau giữa 2 địa chỉ cùng tier hay khác nhau theo từng địa chỉ) đang chờ câu trả lời QnA-49. Người thực thi CHỈ ghi nhận hành vi thực tế, không tự chấm Pass/Fail.</t>
        </is>
      </c>
      <c r="K26" s="25" t="inlineStr">
        <is>
          <t>Medium</t>
        </is>
      </c>
      <c r="L26" s="24" t="n"/>
      <c r="M26" s="24" t="inlineStr">
        <is>
          <t>Not Run</t>
        </is>
      </c>
      <c r="N26" s="24" t="n"/>
      <c r="O26" s="24" t="n"/>
      <c r="P26" s="25" t="inlineStr">
        <is>
          <t>QnA-49</t>
        </is>
      </c>
      <c r="Q26" s="25" t="inlineStr">
        <is>
          <t>Bổ sung theo yêu cầu review 27/08/2026.</t>
        </is>
      </c>
      <c r="R26" s="23" t="n"/>
    </row>
    <row r="27" hidden="1" ht="69.75" customHeight="1" s="19">
      <c r="A27" s="23" t="inlineStr">
        <is>
          <t>SCR-HOM-01-SC5-TC1</t>
        </is>
      </c>
      <c r="B27" s="23" t="inlineStr">
        <is>
          <t>SCR-HOM-01-SC5</t>
        </is>
      </c>
      <c r="C27" s="23" t="inlineStr">
        <is>
          <t>SCR-HOM-01</t>
        </is>
      </c>
      <c r="D27" s="23" t="inlineStr">
        <is>
          <t>HP-01</t>
        </is>
      </c>
      <c r="E27" s="23" t="inlineStr">
        <is>
          <t>Regression</t>
        </is>
      </c>
      <c r="F27" s="23" t="inlineStr">
        <is>
          <t>Icon giỏ hàng (Cart) luôn hiển thị trên thanh tab của Homepage</t>
        </is>
      </c>
      <c r="G27" s="23" t="inlineStr">
        <is>
          <t>Đang ở Homepage, thử lần lượt: Guest giỏ hàng trống, Guest có sản phẩm, Member giỏ hàng trống, Member có sản phẩm.</t>
        </is>
      </c>
      <c r="H27" s="23" t="inlineStr">
        <is>
          <t>1. Ở trạng thái Guest, giỏ hàng trống: quan sát thanh tab, xác nhận icon Cart hiện diện.
2. Thêm 1 sản phẩm vào giỏ, quan sát badge số lượng trên icon Cart.
3. Đăng nhập Member, lặp lại bước 1-2.</t>
        </is>
      </c>
      <c r="I27" s="23" t="inlineStr">
        <is>
          <t>SKU bất kỳ để thêm vào giỏ hàng.</t>
        </is>
      </c>
      <c r="J27" s="23" t="inlineStr">
        <is>
          <t>Icon Cart hiện diện trên thanh tab ở CẢ 4 tổ hợp trạng thái (Guest/Member x trống/có sản phẩm); badge số lượng cập nhật đúng khi thêm sản phẩm, không hiện badge khi giỏ hàng trống.</t>
        </is>
      </c>
      <c r="K27" s="23" t="inlineStr">
        <is>
          <t>Low</t>
        </is>
      </c>
      <c r="L27" s="24" t="n"/>
      <c r="M27" s="24" t="inlineStr">
        <is>
          <t>Not Run</t>
        </is>
      </c>
      <c r="N27" s="24" t="n"/>
      <c r="O27" s="24" t="n"/>
      <c r="P27" s="23" t="n"/>
      <c r="Q27" s="23" t="inlineStr">
        <is>
          <t>Bổ sung theo yêu cầu review 27/08/2026.</t>
        </is>
      </c>
      <c r="R27" s="23" t="n"/>
    </row>
    <row r="28" hidden="1" ht="69.75" customHeight="1" s="19">
      <c r="A28" s="23" t="inlineStr">
        <is>
          <t>SCR-HOM-02-SC1-TC1</t>
        </is>
      </c>
      <c r="B28" s="23" t="inlineStr">
        <is>
          <t>SCR-HOM-02-SC1</t>
        </is>
      </c>
      <c r="C28" s="23" t="inlineStr">
        <is>
          <t>SCR-HOM-02</t>
        </is>
      </c>
      <c r="D28" s="23" t="inlineStr">
        <is>
          <t>HP-02, HP-03</t>
        </is>
      </c>
      <c r="E28" s="23" t="inlineStr">
        <is>
          <t>Functional</t>
        </is>
      </c>
      <c r="F28" s="23" t="inlineStr">
        <is>
          <t>GPS chỉ pre-fill gợi ý, Guest phải tự bổ sung chi tiết rồi mới Save được</t>
        </is>
      </c>
      <c r="G28" s="23" t="inlineStr">
        <is>
          <t>Guest chưa có địa chỉ, quyền vị trí đã Allow, đang ở SCR-HOM-02.</t>
        </is>
      </c>
      <c r="H28" s="23" t="inlineStr">
        <is>
          <t>1. Chạm 'Use my location'.
2. Quan sát ô địa chỉ được GPS điền sẵn 1 gợi ý (ví dụ '123 Nguyễn Thị Thập, Tân Phú, Q.7').
3. Bổ sung thêm số nhà/tầng/block vào ô địa chỉ.
4. Xác nhận form KHÔNG có trường tên/SĐT người nhận (vì là Guest).
5. Bấm Save.</t>
        </is>
      </c>
      <c r="I28" s="23" t="inlineStr">
        <is>
          <t>GPS giả lập gợi ý: '123 Nguyễn Thị Thập, Tân Phú, Q.7'.</t>
        </is>
      </c>
      <c r="J28" s="23" t="inlineStr">
        <is>
          <t>Bước 2: địa chỉ GPS chỉ là gợi ý, chưa được lưu. Bước 4: form Guest KHÔNG hiện trường tên/SĐT người nhận. Bước 5: Save chỉ thành công SAU KHI khách đã xác nhận/bổ sung chi tiết (không tự động Save ngay khi GPS trả về toạ độ).</t>
        </is>
      </c>
      <c r="K28" s="23" t="inlineStr">
        <is>
          <t>High</t>
        </is>
      </c>
      <c r="L28" s="24" t="n"/>
      <c r="M28" s="24" t="inlineStr">
        <is>
          <t>Not Run</t>
        </is>
      </c>
      <c r="N28" s="24" t="n"/>
      <c r="O28" s="24" t="n"/>
      <c r="P28" s="23" t="n"/>
      <c r="Q28" s="23" t="n"/>
      <c r="R28" s="23" t="inlineStr">
        <is>
          <t>[Review trước đó, vẫn CHƯA được xử lý] Test này chỉ đi qua đường 'định vị GPS rồi bổ sung'. Đường nhập tay 100% (không bấm 'Use my location' lần nào) vẫn chưa có test case riêng — nên bổ sung để chắc chắn cả 2 cách nhập đều tạo địa chỉ hợp lệ.</t>
        </is>
      </c>
    </row>
    <row r="29" hidden="1" ht="69.75" customHeight="1" s="19">
      <c r="A29" s="23" t="inlineStr">
        <is>
          <t>SCR-HOM-02-SC2-TC1</t>
        </is>
      </c>
      <c r="B29" s="23" t="inlineStr">
        <is>
          <t>SCR-HOM-02-SC2</t>
        </is>
      </c>
      <c r="C29" s="23" t="inlineStr">
        <is>
          <t>SCR-HOM-02</t>
        </is>
      </c>
      <c r="D29" s="23" t="inlineStr">
        <is>
          <t>HP-03</t>
        </is>
      </c>
      <c r="E29" s="23" t="inlineStr">
        <is>
          <t>Validation</t>
        </is>
      </c>
      <c r="F29" s="23" t="inlineStr">
        <is>
          <t>Tên/SĐT người nhận là bắt buộc và được mặc định từ tài khoản khi là Member</t>
        </is>
      </c>
      <c r="G29" s="23" t="inlineStr">
        <is>
          <t>Đã đăng nhập (Member), đang ở SCR-HOM-02 State B tạo địa chỉ mới.</t>
        </is>
      </c>
      <c r="H29" s="23" t="inlineStr">
        <is>
          <t>1. Quan sát trường Tên người nhận / SĐT người nhận - kiểm tra có được điền sẵn từ tài khoản không.
2. Xoá trống trường Tên người nhận.
3. Bấm Save.
4. Điền lại Tên người nhận, bấm Save.</t>
        </is>
      </c>
      <c r="I29" s="23" t="inlineStr">
        <is>
          <t>Tài khoản Member: Thái Bảo Ngọc / 09xxxxxxxx.</t>
        </is>
      </c>
      <c r="J29" s="23" t="inlineStr">
        <is>
          <t>Bước 1: cả 2 trường được điền sẵn từ tài khoản (có thể sửa). Bước 3: Save bị CHẶN khi Tên người nhận trống (báo lỗi bắt buộc). Bước 4: sau khi điền lại, Save thành công.</t>
        </is>
      </c>
      <c r="K29" s="23" t="inlineStr">
        <is>
          <t>High</t>
        </is>
      </c>
      <c r="L29" s="24" t="n"/>
      <c r="M29" s="24" t="inlineStr">
        <is>
          <t>Not Run</t>
        </is>
      </c>
      <c r="N29" s="24" t="n"/>
      <c r="O29" s="24" t="n"/>
      <c r="P29" s="23" t="n"/>
      <c r="Q29" s="23" t="n"/>
      <c r="R29" s="23" t="n"/>
    </row>
    <row r="30" hidden="1" ht="69.75" customHeight="1" s="19">
      <c r="A30" s="23" t="inlineStr">
        <is>
          <t>SCR-HOM-02-SC2-TC2</t>
        </is>
      </c>
      <c r="B30" s="23" t="inlineStr">
        <is>
          <t>SCR-HOM-02-SC2</t>
        </is>
      </c>
      <c r="C30" s="23" t="inlineStr">
        <is>
          <t>SCR-HOM-02</t>
        </is>
      </c>
      <c r="D30" s="23" t="inlineStr">
        <is>
          <t>HP-03</t>
        </is>
      </c>
      <c r="E30" s="23" t="inlineStr">
        <is>
          <t>Negative</t>
        </is>
      </c>
      <c r="F30" s="23" t="inlineStr">
        <is>
          <t>Sửa tên/SĐT người nhận cho địa chỉ mới KHÔNG làm thay đổi thông tin hồ sơ Member gốc</t>
        </is>
      </c>
      <c r="G30" s="23" t="inlineStr">
        <is>
          <t>Đã đăng nhập Member có tên/SĐT hồ sơ gốc: Thái Bảo Ngọc / 09xxxxxxxx, đang tạo 1 địa chỉ mới tại SCR-HOM-02.</t>
        </is>
      </c>
      <c r="H30" s="23" t="inlineStr">
        <is>
          <t>1. Sửa trường Tên người nhận thành 1 tên khác (ví dụ 'Nguyễn Văn B') và SĐT khác cho địa chỉ mới này.
2. Bấm Save.
3. Vào Hồ sơ/Settings tài khoản, kiểm tra lại Tên/SĐT chính của tài khoản.</t>
        </is>
      </c>
      <c r="I30" s="23" t="inlineStr">
        <is>
          <t>Tên/SĐT người nhận mới (chỉ riêng cho địa chỉ này): Nguyễn Văn B / 09yyyyyyyy.</t>
        </is>
      </c>
      <c r="J30" s="23" t="inlineStr">
        <is>
          <t>Địa chỉ mới được lưu với Tên/SĐT người nhận đã sửa (Nguyễn Văn B). Hồ sơ/thông tin tài khoản Member GỐC (Thái Bảo Ngọc / 09xxxxxxxx) KHÔNG bị thay đổi - 2 thông tin này độc lập với nhau.</t>
        </is>
      </c>
      <c r="K30" s="23" t="inlineStr">
        <is>
          <t>High</t>
        </is>
      </c>
      <c r="L30" s="24" t="n"/>
      <c r="M30" s="24" t="inlineStr">
        <is>
          <t>Not Run</t>
        </is>
      </c>
      <c r="N30" s="24" t="n"/>
      <c r="O30" s="24" t="n"/>
      <c r="P30" s="23" t="n"/>
      <c r="Q30" s="23" t="inlineStr">
        <is>
          <t>Bổ sung theo yêu cầu review 27/08/2026.</t>
        </is>
      </c>
      <c r="R30" s="23" t="n"/>
    </row>
    <row r="31" hidden="1" ht="69.75" customHeight="1" s="19">
      <c r="A31" s="23" t="inlineStr">
        <is>
          <t>SCR-HOM-02-SC3-TC1</t>
        </is>
      </c>
      <c r="B31" s="23" t="inlineStr">
        <is>
          <t>SCR-HOM-02-SC3</t>
        </is>
      </c>
      <c r="C31" s="23" t="inlineStr">
        <is>
          <t>SCR-HOM-02</t>
        </is>
      </c>
      <c r="D31" s="23" t="inlineStr">
        <is>
          <t>HP-04, HP-05</t>
        </is>
      </c>
      <c r="E31" s="23" t="inlineStr">
        <is>
          <t>Functional</t>
        </is>
      </c>
      <c r="F31" s="23" t="inlineStr">
        <is>
          <t>Lưu địa chỉ ngoài mọi vùng phục vụ chuyển header sang trạng thái 'không được phục vụ' ngay lập tức</t>
        </is>
      </c>
      <c r="G31" s="23" t="inlineStr">
        <is>
          <t>Đang ở SCR-HOM-02, chuẩn bị nhập 1 địa chỉ ngoài bán kính Standard và ngoài mọi khu Next-day của store.</t>
        </is>
      </c>
      <c r="H31" s="23" t="inlineStr">
        <is>
          <t>1. Nhập và Save 1 địa chỉ nằm ngoài mọi vùng phục vụ của store hiện tại.
2. Quan sát header Homepage ngay sau khi Save.
3. Kiểm tra danh mục/duyệt và Pickup vẫn hoạt động bình thường.</t>
        </is>
      </c>
      <c r="I31" s="23" t="inlineStr">
        <is>
          <t>Địa chỉ mẫu: ngoài mọi vùng cấu hình (ví dụ 1 tỉnh chưa có Next-day).</t>
        </is>
      </c>
      <c r="J31" s="23" t="inlineStr">
        <is>
          <t>Header KHÔNG hiện ngày/giờ giao, chỉ hiện thông báo + CTA 'Change address'; duyệt danh mục và lựa chọn Pickup vẫn hoạt động bình thường (chỉ Delivery bị ảnh hưởng).</t>
        </is>
      </c>
      <c r="K31" s="23" t="inlineStr">
        <is>
          <t>High</t>
        </is>
      </c>
      <c r="L31" s="24" t="n"/>
      <c r="M31" s="24" t="inlineStr">
        <is>
          <t>Not Run</t>
        </is>
      </c>
      <c r="N31" s="24" t="n"/>
      <c r="O31" s="24" t="n"/>
      <c r="P31" s="23" t="n"/>
      <c r="Q31" s="23" t="inlineStr">
        <is>
          <t>Câu hỏi 'chọn địa chỉ trong vùng giao thì thời gian giao có khác gì không' (review 27/08/2026) đã được gộp vào SCR-HOM-01-SC4-TC2 / QnA-49 - không tạo test case riêng ở đây để tránh trùng lặp, vì TC này đang test trường hợp địa chỉ NGOÀI vùng phục vụ, còn câu hỏi mới là về địa chỉ TRONG vùng.</t>
        </is>
      </c>
      <c r="R31" s="23" t="n"/>
    </row>
    <row r="32" hidden="1" ht="69.75" customHeight="1" s="19">
      <c r="A32" s="25" t="inlineStr">
        <is>
          <t>SCR-HOM-02-SC4-TC1</t>
        </is>
      </c>
      <c r="B32" s="25" t="inlineStr">
        <is>
          <t>SCR-HOM-02-SC4</t>
        </is>
      </c>
      <c r="C32" s="25" t="inlineStr">
        <is>
          <t>SCR-HOM-02</t>
        </is>
      </c>
      <c r="D32" s="25" t="inlineStr">
        <is>
          <t>HP-02, HP-03</t>
        </is>
      </c>
      <c r="E32" s="25" t="inlineStr">
        <is>
          <t>Functional</t>
        </is>
      </c>
      <c r="F32" s="25" t="inlineStr">
        <is>
          <t>TBD: vai trò và hành vi trường what3words tại màn tạo địa chỉ - chờ QnA-51</t>
        </is>
      </c>
      <c r="G32" s="25" t="inlineStr">
        <is>
          <t>Đang ở SCR-HOM-02, tạo địa chỉ mới.</t>
        </is>
      </c>
      <c r="H32" s="25" t="inlineStr">
        <is>
          <t>1. Quan sát toàn bộ màn hình, xác nhận có trường/nhãn/nút liên quan 'what3words' không.
2. Nếu có, thử tương tác (nhập 3 từ, hoặc quan sát 3 từ tự sinh) và ghi nhận hành vi.
3. Thử Save địa chỉ mà KHÔNG dùng đến what3words (nếu có thể), xác nhận Save vẫn thành công hay bị chặn.</t>
        </is>
      </c>
      <c r="I32" s="25" t="inlineStr">
        <is>
          <t>N/A - cần xác nhận từ BA/Design trước khi có Test Data cụ thể (QnA-51).</t>
        </is>
      </c>
      <c r="J32" s="25" t="inlineStr">
        <is>
          <t>TBD - Expected Result đang chờ câu trả lời QnA-51 (what3words là input thay thế hay chỉ là thông tin hiển thị thêm, có bắt buộc không).</t>
        </is>
      </c>
      <c r="K32" s="25" t="inlineStr">
        <is>
          <t>Low</t>
        </is>
      </c>
      <c r="L32" s="24" t="n"/>
      <c r="M32" s="24" t="inlineStr">
        <is>
          <t>Not Run</t>
        </is>
      </c>
      <c r="N32" s="24" t="n"/>
      <c r="O32" s="24" t="n"/>
      <c r="P32" s="25" t="inlineStr">
        <is>
          <t>QnA-51</t>
        </is>
      </c>
      <c r="Q32" s="25" t="inlineStr">
        <is>
          <t>Bổ sung theo yêu cầu review 27/08/2026.</t>
        </is>
      </c>
      <c r="R32" s="23" t="n"/>
    </row>
    <row r="33" hidden="1" ht="69.75" customHeight="1" s="19">
      <c r="A33" s="25" t="inlineStr">
        <is>
          <t>SCR-HOM-02-SC5-TC1</t>
        </is>
      </c>
      <c r="B33" s="25" t="inlineStr">
        <is>
          <t>SCR-HOM-02-SC5</t>
        </is>
      </c>
      <c r="C33" s="25" t="inlineStr">
        <is>
          <t>SCR-HOM-02</t>
        </is>
      </c>
      <c r="D33" s="25" t="inlineStr">
        <is>
          <t>HP-02, HP-03</t>
        </is>
      </c>
      <c r="E33" s="25" t="inlineStr">
        <is>
          <t>Negative</t>
        </is>
      </c>
      <c r="F33" s="25" t="inlineStr">
        <is>
          <t>TBD: hành vi bản đồ/nút Use my location/trường địa chỉ initial khi quyền vị trí Denied - chờ QnA-52</t>
        </is>
      </c>
      <c r="G33" s="25" t="inlineStr">
        <is>
          <t>Quyền vị trí = Denied, Guest/Member chưa có địa chỉ, chuẩn bị vào SCR-HOM-02.</t>
        </is>
      </c>
      <c r="H33" s="25" t="inlineStr">
        <is>
          <t>1. Vào SCR-HOM-02 với quyền vị trí đang Denied.
2. GHI NHẬN chính xác phần bản đồ hiển thị gì (trống/mặc định khu vực store/ẩn hẳn).
3. GHI NHẬN nội dung trường địa chỉ ban đầu (trống hay có gợi ý).
4. Chạm nút 'Use my location', GHI NHẬN phản ứng của hệ thống.</t>
        </is>
      </c>
      <c r="I33" s="25" t="inlineStr">
        <is>
          <t>Quyền vị trí: Denied. Chưa có địa chỉ nào được lưu trước đó.</t>
        </is>
      </c>
      <c r="J33" s="25" t="inlineStr">
        <is>
          <t>TBD - Expected Result cho cả 3 điểm (bản đồ/trường địa chỉ initial/phản ứng nút Use my location) đang chờ câu trả lời QnA-52. Người thực thi CHỈ ghi nhận hành vi thực tế.</t>
        </is>
      </c>
      <c r="K33" s="25" t="inlineStr">
        <is>
          <t>Medium</t>
        </is>
      </c>
      <c r="L33" s="24" t="n"/>
      <c r="M33" s="24" t="inlineStr">
        <is>
          <t>Not Run</t>
        </is>
      </c>
      <c r="N33" s="24" t="n"/>
      <c r="O33" s="24" t="n"/>
      <c r="P33" s="25" t="inlineStr">
        <is>
          <t>QnA-52</t>
        </is>
      </c>
      <c r="Q33" s="25" t="inlineStr">
        <is>
          <t>Bổ sung theo yêu cầu review 27/08/2026.</t>
        </is>
      </c>
      <c r="R33" s="23" t="n"/>
    </row>
    <row r="34" hidden="1" ht="69.75" customHeight="1" s="19">
      <c r="A34" s="25" t="inlineStr">
        <is>
          <t>SCR-HOM-02-SC6-TC1</t>
        </is>
      </c>
      <c r="B34" s="25" t="inlineStr">
        <is>
          <t>SCR-HOM-02-SC6</t>
        </is>
      </c>
      <c r="C34" s="25" t="inlineStr">
        <is>
          <t>SCR-HOM-02</t>
        </is>
      </c>
      <c r="D34" s="25" t="inlineStr">
        <is>
          <t>HP-02, HP-03</t>
        </is>
      </c>
      <c r="E34" s="25" t="inlineStr">
        <is>
          <t>Functional</t>
        </is>
      </c>
      <c r="F34" s="25" t="inlineStr">
        <is>
          <t>TBD: đồng bộ 2 chiều bản đồ và ô địa chỉ chữ - chờ QnA-53</t>
        </is>
      </c>
      <c r="G34" s="25" t="inlineStr">
        <is>
          <t>Đang ở SCR-HOM-02, có sẵn địa chỉ/pin bản đồ đã hiển thị từ 1 lần nhập trước.</t>
        </is>
      </c>
      <c r="H34" s="25" t="inlineStr">
        <is>
          <t>1. Sửa trực tiếp nội dung ô địa chỉ chữ (gõ tay 1 địa chỉ khác).
2. GHI NHẬN pin trên bản đồ có tự di chuyển theo không.
3. Kéo/thả pin trên bản đồ sang 1 vị trí khác.
4. GHI NHẬN ô địa chỉ chữ có tự cập nhật theo vị trí pin mới không.</t>
        </is>
      </c>
      <c r="I34" s="25" t="inlineStr">
        <is>
          <t>Địa chỉ gõ tay khác với vị trí pin hiện tại, để kiểm tra đồng bộ rõ ràng.</t>
        </is>
      </c>
      <c r="J34" s="25" t="inlineStr">
        <is>
          <t>TBD - Expected Result (có đồng bộ 1 chiều, 2 chiều, hay không đồng bộ cho đến khi Save) đang chờ câu trả lời QnA-53. Người thực thi CHỈ ghi nhận hành vi thực tế.</t>
        </is>
      </c>
      <c r="K34" s="25" t="inlineStr">
        <is>
          <t>Medium</t>
        </is>
      </c>
      <c r="L34" s="24" t="n"/>
      <c r="M34" s="24" t="inlineStr">
        <is>
          <t>Not Run</t>
        </is>
      </c>
      <c r="N34" s="24" t="n"/>
      <c r="O34" s="24" t="n"/>
      <c r="P34" s="25" t="inlineStr">
        <is>
          <t>QnA-53</t>
        </is>
      </c>
      <c r="Q34" s="25" t="inlineStr">
        <is>
          <t>Bổ sung theo yêu cầu review 27/08/2026.</t>
        </is>
      </c>
      <c r="R34" s="23" t="n"/>
    </row>
    <row r="35" hidden="1" ht="69.75" customHeight="1" s="19">
      <c r="A35" s="25" t="inlineStr">
        <is>
          <t>SCR-HOM-02-SC7-TC1</t>
        </is>
      </c>
      <c r="B35" s="25" t="inlineStr">
        <is>
          <t>SCR-HOM-02-SC7</t>
        </is>
      </c>
      <c r="C35" s="25" t="inlineStr">
        <is>
          <t>SCR-HOM-02</t>
        </is>
      </c>
      <c r="D35" s="25" t="inlineStr">
        <is>
          <t>HP-03, HP-09</t>
        </is>
      </c>
      <c r="E35" s="25" t="inlineStr">
        <is>
          <t>Functional</t>
        </is>
      </c>
      <c r="F35" s="25" t="inlineStr">
        <is>
          <t>TBD: địa chỉ mới vào address book, tuỳ chọn mặc định, quy tắc load địa chỉ phiên sau - chờ QnA-54</t>
        </is>
      </c>
      <c r="G35" s="25" t="inlineStr">
        <is>
          <t>Member đã có sẵn 1-2 địa chỉ cũ trong address book, đang tạo thêm 1 địa chỉ mới tại SCR-HOM-02.</t>
        </is>
      </c>
      <c r="H35" s="25" t="inlineStr">
        <is>
          <t>1. Lưu địa chỉ mới, sau đó vào SCR-HOM-03 (danh sách địa chỉ đã lưu), xác nhận địa chỉ mới có xuất hiện không.
2. Quan sát màn lưu địa chỉ, xác nhận có tuỳ chọn 'Đặt làm mặc định' không.
3. Thoát app hoàn toàn, mở lại app, quan sát địa chỉ nào được load trên Homepage.</t>
        </is>
      </c>
      <c r="I35" s="25" t="inlineStr">
        <is>
          <t>Member có sẵn 2 địa chỉ cũ (ví dụ 'Nhà', 'Công ty'), vừa tạo thêm địa chỉ thứ 3.</t>
        </is>
      </c>
      <c r="J35" s="25" t="inlineStr">
        <is>
          <t>TBD - Expected Result cho cả 3 điểm (có vào address book không / có tuỳ chọn mặc định không / địa chỉ nào load ở phiên sau) đang chờ câu trả lời QnA-54.</t>
        </is>
      </c>
      <c r="K35" s="25" t="inlineStr">
        <is>
          <t>Medium</t>
        </is>
      </c>
      <c r="L35" s="24" t="n"/>
      <c r="M35" s="24" t="inlineStr">
        <is>
          <t>Not Run</t>
        </is>
      </c>
      <c r="N35" s="24" t="n"/>
      <c r="O35" s="24" t="n"/>
      <c r="P35" s="25" t="inlineStr">
        <is>
          <t>QnA-54</t>
        </is>
      </c>
      <c r="Q35" s="25" t="inlineStr">
        <is>
          <t>Bổ sung theo yêu cầu review 27/08/2026.</t>
        </is>
      </c>
      <c r="R35" s="23" t="n"/>
    </row>
    <row r="36" hidden="1" ht="69.75" customHeight="1" s="19">
      <c r="A36" s="25" t="inlineStr">
        <is>
          <t>SCR-HOM-02-SC8-TC1</t>
        </is>
      </c>
      <c r="B36" s="25" t="inlineStr">
        <is>
          <t>SCR-HOM-02-SC8</t>
        </is>
      </c>
      <c r="C36" s="25" t="inlineStr">
        <is>
          <t>SCR-HOM-02</t>
        </is>
      </c>
      <c r="D36" s="25" t="inlineStr">
        <is>
          <t>HP-03</t>
        </is>
      </c>
      <c r="E36" s="25" t="inlineStr">
        <is>
          <t>Functional</t>
        </is>
      </c>
      <c r="F36" s="25" t="inlineStr">
        <is>
          <t>TBD: nhãn loại địa chỉ khi lưu, xử lý khi chọn 'Khác' - chờ QnA-55</t>
        </is>
      </c>
      <c r="G36" s="25" t="inlineStr">
        <is>
          <t>Đang ở SCR-HOM-02, ở bước lưu địa chỉ có phần chọn loại nhãn.</t>
        </is>
      </c>
      <c r="H36" s="25" t="inlineStr">
        <is>
          <t>1. Quan sát danh sách các loại nhãn có sẵn (ví dụ Nhà/Công ty/Khác).
2. Chọn nhãn 'Khác', GHI NHẬN hệ thống có yêu cầu nhập thêm tên tuỳ chỉnh không.
3. Lưu địa chỉ, vào SCR-HOM-03 xác nhận nhãn này hiển thị ở đâu/dạng gì.</t>
        </is>
      </c>
      <c r="I36" s="25" t="inlineStr">
        <is>
          <t>Thử cả 3 loại nhãn (nếu có): Nhà, Công ty, Khác.</t>
        </is>
      </c>
      <c r="J36" s="25" t="inlineStr">
        <is>
          <t>TBD - Expected Result (danh sách nhãn có sẵn, rule khi chọn 'Khác', cách hiển thị tại SCR-HOM-03) đang chờ câu trả lời QnA-55.</t>
        </is>
      </c>
      <c r="K36" s="25" t="inlineStr">
        <is>
          <t>Low</t>
        </is>
      </c>
      <c r="L36" s="24" t="n"/>
      <c r="M36" s="24" t="inlineStr">
        <is>
          <t>Not Run</t>
        </is>
      </c>
      <c r="N36" s="24" t="n"/>
      <c r="O36" s="24" t="n"/>
      <c r="P36" s="25" t="inlineStr">
        <is>
          <t>QnA-55</t>
        </is>
      </c>
      <c r="Q36" s="25" t="inlineStr">
        <is>
          <t>Bổ sung theo yêu cầu review 27/08/2026.</t>
        </is>
      </c>
      <c r="R36" s="23" t="n"/>
    </row>
    <row r="37" hidden="1" ht="75" customHeight="1" s="19">
      <c r="A37" s="23" t="inlineStr">
        <is>
          <t>SCR-HOM-02-SC9-TC1</t>
        </is>
      </c>
      <c r="B37" s="23" t="inlineStr">
        <is>
          <t>SCR-HOM-02-SC9</t>
        </is>
      </c>
      <c r="C37" s="23" t="inlineStr">
        <is>
          <t>SCR-HOM-02</t>
        </is>
      </c>
      <c r="D37" s="23" t="inlineStr">
        <is>
          <t>HP-10, NFR-03</t>
        </is>
      </c>
      <c r="E37" s="23" t="inlineStr">
        <is>
          <t>Regression</t>
        </is>
      </c>
      <c r="F37" s="23" t="inlineStr">
        <is>
          <t>Mở lại app sau khi Member logout không tự khôi phục địa chỉ đã dùng</t>
        </is>
      </c>
      <c r="G37" s="23" t="inlineStr">
        <is>
          <t>Đang đăng nhập Member, đã lưu và đang active địa chỉ 'Home' trên Homepage.</t>
        </is>
      </c>
      <c r="H37" s="23" t="inlineStr">
        <is>
          <t>1. Bấm Logout, xác nhận trong dialog.
2. Kiểm tra Homepage ngay sau logout (store, địa chỉ).
3. Đóng hẳn app (kill), mở lại app ở trạng thái Guest (không đăng nhập lại).
4. Kiểm tra lại store và địa chỉ trên Homepage.</t>
        </is>
      </c>
      <c r="I37" s="23" t="inlineStr">
        <is>
          <t>Tài khoản Member có 1 địa chỉ 'Home' đang active trước khi logout.</t>
        </is>
      </c>
      <c r="J37" s="23" t="inlineStr">
        <is>
          <t>Bước 2: store giữ nguyên, địa chỉ bị xoá (về State A). Bước 4: sau khi mở lại app ở Guest, Homepage vẫn ở State A - hiện 'Choose delivery address', KHÔNG hiện lại địa chỉ 'Home' của Member cũ.</t>
        </is>
      </c>
      <c r="K37" s="23" t="inlineStr">
        <is>
          <t>High</t>
        </is>
      </c>
      <c r="L37" s="24" t="n"/>
      <c r="M37" s="24" t="inlineStr">
        <is>
          <t>Not Run</t>
        </is>
      </c>
      <c r="N37" s="24" t="n"/>
      <c r="O37" s="24" t="n"/>
      <c r="P37" s="23" t="n"/>
      <c r="Q37" s="23" t="inlineStr">
        <is>
          <t>Bổ sung theo yêu cầu review 28/08/2026 - phân biệt với QnA-26 (địa chỉ nào active SAU KHI đăng nhập LẠI, vẫn còn mở).</t>
        </is>
      </c>
      <c r="R37" s="23" t="n"/>
    </row>
    <row r="38" hidden="1" ht="90" customHeight="1" s="19">
      <c r="A38" s="25" t="inlineStr">
        <is>
          <t>SCR-HOM-02-SC10-TC1</t>
        </is>
      </c>
      <c r="B38" s="25" t="inlineStr">
        <is>
          <t>SCR-HOM-02-SC10</t>
        </is>
      </c>
      <c r="C38" s="25" t="inlineStr">
        <is>
          <t>SCR-HOM-02</t>
        </is>
      </c>
      <c r="D38" s="25" t="inlineStr">
        <is>
          <t>HP-03, HP-05</t>
        </is>
      </c>
      <c r="E38" s="25" t="inlineStr">
        <is>
          <t>Negative</t>
        </is>
      </c>
      <c r="F38" s="25" t="inlineStr">
        <is>
          <t>Xác nhận SCR-HOM-02 không có luồng Sửa (Edit) địa chỉ đã lưu</t>
        </is>
      </c>
      <c r="G38" s="25" t="inlineStr">
        <is>
          <t>Tài khoản đã có 1 địa chỉ đã lưu ('Home'), đang ở Homepage State B.</t>
        </is>
      </c>
      <c r="H38" s="25" t="inlineStr">
        <is>
          <t>1. Chạm vào địa chỉ đang hiển thị trên header.
2. Quan sát màn hình mở ra (SCR-HOM-02 hay SCR-HOM-03).
3. Trong danh sách địa chỉ (nếu có), tìm nút Sửa/Edit trên dòng địa chỉ 'Home'.
4. Tìm nút Xoá/Delete trên dòng địa chỉ 'Home'.</t>
        </is>
      </c>
      <c r="I38" s="25" t="inlineStr">
        <is>
          <t>Địa chỉ 'Home' đã lưu, chưa có thao tác Edit/Delete nào được thực hiện trước đó.</t>
        </is>
      </c>
      <c r="J38" s="25" t="inlineStr">
        <is>
          <t>TBD - bước 2: chạm địa chỉ ở State B kỳ vọng mở SCR-HOM-03 (danh sách), không mở thẳng SCR-HOM-02. Bước 3-4: kỳ vọng ban đầu là KHÔNG có nút Edit/Delete nào, chỉ có '+ Thêm địa chỉ mới' - cần QC ghi nhận thực tế và đối chiếu QnA-58.</t>
        </is>
      </c>
      <c r="K38" s="25" t="inlineStr">
        <is>
          <t>Medium</t>
        </is>
      </c>
      <c r="L38" s="24" t="n"/>
      <c r="M38" s="24" t="inlineStr">
        <is>
          <t>Not Run</t>
        </is>
      </c>
      <c r="N38" s="24" t="n"/>
      <c r="O38" s="24" t="n"/>
      <c r="P38" s="25" t="inlineStr">
        <is>
          <t>QnA-58</t>
        </is>
      </c>
      <c r="Q38" s="25" t="inlineStr">
        <is>
          <t>Bổ sung theo yêu cầu review 28/08/2026.</t>
        </is>
      </c>
      <c r="R38" s="23" t="n"/>
    </row>
    <row r="39" hidden="1" ht="69.75" customHeight="1" s="19">
      <c r="A39" s="23" t="inlineStr">
        <is>
          <t>SCR-HOM-03-SC1-TC1</t>
        </is>
      </c>
      <c r="B39" s="23" t="inlineStr">
        <is>
          <t>SCR-HOM-03-SC1</t>
        </is>
      </c>
      <c r="C39" s="23" t="inlineStr">
        <is>
          <t>SCR-HOM-03</t>
        </is>
      </c>
      <c r="D39" s="23" t="inlineStr">
        <is>
          <t>HP-09</t>
        </is>
      </c>
      <c r="E39" s="23" t="inlineStr">
        <is>
          <t>Functional</t>
        </is>
      </c>
      <c r="F39" s="23" t="inlineStr">
        <is>
          <t>Đổi sang địa chỉ đã lưu khác mà cùng store vẫn phục vụ được - áp dụng ngay không xác nhận</t>
        </is>
      </c>
      <c r="G39" s="23" t="inlineStr">
        <is>
          <t>Tài khoản có 2 địa chỉ đã lưu (Home, Office) đều được Nam Sài Gòn phục vụ.</t>
        </is>
      </c>
      <c r="H39" s="23" t="inlineStr">
        <is>
          <t>1. Mở danh sách địa chỉ đã lưu từ header.
2. Chọn địa chỉ 'Office'.
3. Quan sát có dialog xác nhận nào xuất hiện không.
4. Kiểm tra store và ước tính giao hàng sau khi đổi.</t>
        </is>
      </c>
      <c r="I39" s="23" t="inlineStr">
        <is>
          <t>Địa chỉ 'Office': 72 Lê Thánh Tôn, Q.1 - vẫn do Nam Sài Gòn phục vụ.</t>
        </is>
      </c>
      <c r="J39" s="23" t="inlineStr">
        <is>
          <t>Bước 3: KHÔNG có dialog xác nhận nào. Bước 4: store giữ nguyên 'Nam Sài Gòn', chỉ địa chỉ và ước tính giao hàng được làm mới theo địa chỉ 'Office'.</t>
        </is>
      </c>
      <c r="K39" s="23" t="inlineStr">
        <is>
          <t>Medium</t>
        </is>
      </c>
      <c r="L39" s="24" t="n"/>
      <c r="M39" s="24" t="inlineStr">
        <is>
          <t>Not Run</t>
        </is>
      </c>
      <c r="N39" s="24" t="n"/>
      <c r="O39" s="24" t="n"/>
      <c r="P39" s="23" t="n"/>
      <c r="Q39" s="23" t="n"/>
      <c r="R39" s="23" t="n"/>
    </row>
    <row r="40" hidden="1" ht="69.75" customHeight="1" s="19">
      <c r="A40" s="25" t="inlineStr">
        <is>
          <t>SCR-HOM-03-SC2-TC1</t>
        </is>
      </c>
      <c r="B40" s="25" t="inlineStr">
        <is>
          <t>SCR-HOM-03-SC2</t>
        </is>
      </c>
      <c r="C40" s="25" t="inlineStr">
        <is>
          <t>SCR-HOM-03</t>
        </is>
      </c>
      <c r="D40" s="25" t="inlineStr">
        <is>
          <t>HP-09</t>
        </is>
      </c>
      <c r="E40" s="25" t="inlineStr">
        <is>
          <t>Edge</t>
        </is>
      </c>
      <c r="F40" s="25" t="inlineStr">
        <is>
          <t>Đổi sang địa chỉ khác tỉnh/thành tự động chuyển store phục vụ kèm thông báo toast</t>
        </is>
      </c>
      <c r="G40" s="25" t="inlineStr">
        <is>
          <t>Tài khoản có địa chỉ 'Parents' ở Hà Nội, hiện đang dùng store Nam Sài Gòn (TP.HCM).</t>
        </is>
      </c>
      <c r="H40" s="25" t="inlineStr">
        <is>
          <t>1. Mở danh sách địa chỉ đã lưu từ header.
2. Chọn địa chỉ 'Parents' (Hà Nội).
3. Quan sát store hiện trên header và toast thông báo.
4. Kiểm tra ước tính giao hàng mới.</t>
        </is>
      </c>
      <c r="I40" s="25" t="inlineStr">
        <is>
          <t>Địa chỉ 'Parents': 45 Nguyễn Văn Cừ, Long Biên, Hà Nội.</t>
        </is>
      </c>
      <c r="J40" s="25" t="inlineStr">
        <is>
          <t>Store TỰ ĐỘNG chuyển sang 'LOTTE Mart Long Biên' KHÔNG hỏi xác nhận; toast hiện 'Store changed to LOTTE Mart Long Biên'; ước tính giao hàng chuyển sang dạng Next-day (chọn ngày thay vì khung giờ) vì đây là vùng Next-day của store mới.</t>
        </is>
      </c>
      <c r="K40" s="25" t="inlineStr">
        <is>
          <t>High</t>
        </is>
      </c>
      <c r="L40" s="24" t="n"/>
      <c r="M40" s="24" t="inlineStr">
        <is>
          <t>Not Run</t>
        </is>
      </c>
      <c r="N40" s="24" t="n"/>
      <c r="O40" s="24" t="n"/>
      <c r="P40" s="25" t="inlineStr">
        <is>
          <t>QnA-01</t>
        </is>
      </c>
      <c r="Q40" s="25" t="inlineStr">
        <is>
          <t>Nếu địa chỉ vừa chọn lại không còn hợp lệ sau khi đổi store khác nữa, thứ tự chọn địa chỉ thay thế vẫn là OQ-01/QnA-01.</t>
        </is>
      </c>
      <c r="R40" s="23" t="n"/>
    </row>
    <row r="41" hidden="1" ht="90" customHeight="1" s="19">
      <c r="A41" s="23" t="inlineStr">
        <is>
          <t>SCR-HOM-03-SC2-TC2</t>
        </is>
      </c>
      <c r="B41" s="23" t="inlineStr">
        <is>
          <t>SCR-HOM-03-SC2</t>
        </is>
      </c>
      <c r="C41" s="23" t="inlineStr">
        <is>
          <t>SCR-HOM-03</t>
        </is>
      </c>
      <c r="D41" s="23" t="inlineStr">
        <is>
          <t>HP-09</t>
        </is>
      </c>
      <c r="E41" s="23" t="inlineStr">
        <is>
          <t>Edge</t>
        </is>
      </c>
      <c r="F41" s="23" t="inlineStr">
        <is>
          <t>Đổi sang địa chỉ khác tỉnh/thành nhưng store mới vẫn chỉ đủ Standard (không phải Next-day)</t>
        </is>
      </c>
      <c r="G41" s="23" t="inlineStr">
        <is>
          <t>Tài khoản có địa chỉ 'Cousin' ở Cần Thơ, hiện đang dùng store Nam Sài Gòn.</t>
        </is>
      </c>
      <c r="H41" s="23" t="inlineStr">
        <is>
          <t>1. Mở danh sách địa chỉ đã lưu từ header.
2. Chọn địa chỉ 'Cousin' (Cần Thơ).
3. Quan sát store hiện trên header và toast thông báo.
4. Kiểm tra ước tính giao hàng mới - xác nhận ĐÂY LÀ Standard (theo khoảng cách thực), không tự động là Next-day.</t>
        </is>
      </c>
      <c r="I41" s="23" t="inlineStr">
        <is>
          <t>Địa chỉ 'Cousin': trong bán kính Standard (không phải Next-day) của store 'LOTTE Mart Cần Thơ'.</t>
        </is>
      </c>
      <c r="J41" s="23" t="inlineStr">
        <is>
          <t>Store TỰ ĐỘNG chuyển sang 'LOTTE Mart Cần Thơ' KHÔNG hỏi xác nhận; toast hiện đúng tên store mới; ước tính giao hàng hiện Standard (khung giờ cụ thể) - KHÔNG bị mặc định thành Next-day chỉ vì khác tỉnh/thành với địa chỉ cũ.</t>
        </is>
      </c>
      <c r="K41" s="23" t="inlineStr">
        <is>
          <t>Medium</t>
        </is>
      </c>
      <c r="L41" s="24" t="n"/>
      <c r="M41" s="24" t="inlineStr">
        <is>
          <t>Not Run</t>
        </is>
      </c>
      <c r="N41" s="24" t="n"/>
      <c r="O41" s="24" t="n"/>
      <c r="P41" s="23" t="n"/>
      <c r="Q41" s="23" t="inlineStr">
        <is>
          <t>Bổ sung theo yêu cầu review 28/08/2026 - làm rõ: tier sau khi đổi store phụ thuộc khoảng cách thực (BRL-10..12), không phải luôn Next-day như ví dụ ở SC2-TC1.</t>
        </is>
      </c>
      <c r="R41" s="23" t="n"/>
    </row>
    <row r="42" hidden="1" ht="120" customHeight="1" s="19">
      <c r="A42" s="23" t="inlineStr">
        <is>
          <t>SCR-HOM-03-SC3-TC1</t>
        </is>
      </c>
      <c r="B42" s="23" t="inlineStr">
        <is>
          <t>SCR-HOM-03-SC3</t>
        </is>
      </c>
      <c r="C42" s="23" t="inlineStr">
        <is>
          <t>SCR-HOM-03</t>
        </is>
      </c>
      <c r="D42" s="23" t="inlineStr">
        <is>
          <t>HP-09</t>
        </is>
      </c>
      <c r="E42" s="23" t="inlineStr">
        <is>
          <t>Functional</t>
        </is>
      </c>
      <c r="F42" s="23" t="inlineStr">
        <is>
          <t>Nút '+ Thêm địa chỉ mới' mở đúng SCR-HOM-02 ở chế độ tạo mới</t>
        </is>
      </c>
      <c r="G42" s="23" t="inlineStr">
        <is>
          <t>Tài khoản đã có 1 địa chỉ đã lưu, đang mở danh sách địa chỉ (SCR-HOM-03).</t>
        </is>
      </c>
      <c r="H42" s="23" t="inlineStr">
        <is>
          <t>1. Cuộn xuống cuối danh sách địa chỉ.
2. Bấm '+ Thêm địa chỉ mới'.
3. Kiểm tra các trường trên form vừa mở (có bị pre-fill dữ liệu địa chỉ cũ không).
4. Bấm back/Cancel, kiểm tra màn hình quay về.</t>
        </is>
      </c>
      <c r="I42" s="23" t="inlineStr">
        <is>
          <t>Danh sách địa chỉ hiện có: 'Home'.</t>
        </is>
      </c>
      <c r="J42" s="23" t="inlineStr">
        <is>
          <t>Bước 2-3: mở đúng SCR-HOM-02, toàn bộ trường trống (không pre-fill từ địa chỉ 'Home'). Bước 4: quay lại đúng danh sách địa chỉ (SCR-HOM-03), không nhảy thẳng về Homepage.</t>
        </is>
      </c>
      <c r="K42" s="23" t="inlineStr">
        <is>
          <t>Medium</t>
        </is>
      </c>
      <c r="L42" s="24" t="n"/>
      <c r="M42" s="24" t="inlineStr">
        <is>
          <t>Not Run</t>
        </is>
      </c>
      <c r="N42" s="24" t="n"/>
      <c r="O42" s="24" t="n"/>
      <c r="P42" s="23" t="n"/>
      <c r="Q42" s="23" t="inlineStr">
        <is>
          <t>Bổ sung theo yêu cầu review 28/08/2026.</t>
        </is>
      </c>
      <c r="R42" s="23" t="n"/>
    </row>
    <row r="43" hidden="1" ht="105" customHeight="1" s="19">
      <c r="A43" s="23" t="inlineStr">
        <is>
          <t>SCR-HOM-03-SC4-TC1</t>
        </is>
      </c>
      <c r="B43" s="23" t="inlineStr">
        <is>
          <t>SCR-HOM-03-SC4</t>
        </is>
      </c>
      <c r="C43" s="23" t="inlineStr">
        <is>
          <t>SCR-HOM-03</t>
        </is>
      </c>
      <c r="D43" s="23" t="inlineStr">
        <is>
          <t>HP-09</t>
        </is>
      </c>
      <c r="E43" s="23" t="inlineStr">
        <is>
          <t>Functional</t>
        </is>
      </c>
      <c r="F43" s="23" t="inlineStr">
        <is>
          <t>Gợi ý 'Served by X' trên danh sách khớp đúng store thực tải lên header</t>
        </is>
      </c>
      <c r="G43" s="23" t="inlineStr">
        <is>
          <t>Tài khoản có 3 địa chỉ: 'Home' và 'Office' (cùng do Nam Sài Gòn phục vụ), 'Parents' (do Long Biên phục vụ).</t>
        </is>
      </c>
      <c r="H43" s="23" t="inlineStr">
        <is>
          <t>1. Mở danh sách địa chỉ, ghi lại chữ 'Served by X' của từng dòng.
2. Chọn lần lượt từng địa chỉ.
3. Sau mỗi lần chọn, kiểm tra store hiện trên header.
4. Đối chiếu store trên header với chữ 'Served by X' đã ghi ở bước 1 cho đúng địa chỉ đó.</t>
        </is>
      </c>
      <c r="I43" s="23" t="inlineStr">
        <is>
          <t>'Home', 'Office': Served by Nam Sài Gòn. 'Parents': Served by Long Biên.</t>
        </is>
      </c>
      <c r="J43" s="23" t="inlineStr">
        <is>
          <t>Với cả 3 địa chỉ, store hiện lên header sau khi chọn khớp 100% với gợi ý 'Served by X' đã hiển thị trước đó trên đúng dòng địa chỉ đó - không có sai lệch.</t>
        </is>
      </c>
      <c r="K43" s="23" t="inlineStr">
        <is>
          <t>Medium</t>
        </is>
      </c>
      <c r="L43" s="24" t="n"/>
      <c r="M43" s="24" t="inlineStr">
        <is>
          <t>Not Run</t>
        </is>
      </c>
      <c r="N43" s="24" t="n"/>
      <c r="O43" s="24" t="n"/>
      <c r="P43" s="23" t="n"/>
      <c r="Q43" s="23" t="inlineStr">
        <is>
          <t>Bổ sung theo yêu cầu review 28/08/2026.</t>
        </is>
      </c>
      <c r="R43" s="23" t="n"/>
    </row>
    <row r="44" hidden="1" ht="135" customHeight="1" s="19">
      <c r="A44" s="25" t="inlineStr">
        <is>
          <t>SCR-HOM-03-SC5-TC1</t>
        </is>
      </c>
      <c r="B44" s="25" t="inlineStr">
        <is>
          <t>SCR-HOM-03-SC5</t>
        </is>
      </c>
      <c r="C44" s="25" t="inlineStr">
        <is>
          <t>SCR-HOM-03</t>
        </is>
      </c>
      <c r="D44" s="25" t="inlineStr">
        <is>
          <t>HP-09</t>
        </is>
      </c>
      <c r="E44" s="25" t="inlineStr">
        <is>
          <t>Edge</t>
        </is>
      </c>
      <c r="F44" s="25" t="inlineStr">
        <is>
          <t>Kiểm tra thứ tự hiển thị địa chỉ khi có địa chỉ cùng store hiện tại và khác store</t>
        </is>
      </c>
      <c r="G44" s="25" t="inlineStr">
        <is>
          <t>Đang ở store Nam Sài Gòn, tài khoản có 4 địa chỉ: 2 do Nam Sài Gòn phục vụ, 2 do store khác phục vụ.</t>
        </is>
      </c>
      <c r="H44" s="25" t="inlineStr">
        <is>
          <t>1. Mở danh sách địa chỉ.
2. Ghi lại thứ tự hiển thị của cả 4 địa chỉ.
3. Đối chiếu thứ tự này với giả thuyết 'ưu tiên cùng store hiện tại lên đầu' và với thứ tự tạo/alphabet.</t>
        </is>
      </c>
      <c r="I44" s="25" t="inlineStr">
        <is>
          <t>4 địa chỉ mẫu như mô tả ở Preconditions, tạo theo thứ tự thời gian khác nhau.</t>
        </is>
      </c>
      <c r="J44" s="25" t="inlineStr">
        <is>
          <t>TBD - ghi nhận đúng thứ tự thực tế hiển thị (không giả định trước); đối chiếu với câu trả lời BA cho QnA-59 khi có.</t>
        </is>
      </c>
      <c r="K44" s="25" t="inlineStr">
        <is>
          <t>Low</t>
        </is>
      </c>
      <c r="L44" s="24" t="n"/>
      <c r="M44" s="24" t="inlineStr">
        <is>
          <t>Not Run</t>
        </is>
      </c>
      <c r="N44" s="24" t="n"/>
      <c r="O44" s="24" t="n"/>
      <c r="P44" s="25" t="inlineStr">
        <is>
          <t>QnA-59</t>
        </is>
      </c>
      <c r="Q44" s="25" t="inlineStr">
        <is>
          <t>Bổ sung theo yêu cầu review 28/08/2026.</t>
        </is>
      </c>
      <c r="R44" s="23" t="n"/>
    </row>
    <row r="45" hidden="1" ht="105" customHeight="1" s="19">
      <c r="A45" s="25" t="inlineStr">
        <is>
          <t>SCR-HOM-03-SC6-TC1</t>
        </is>
      </c>
      <c r="B45" s="25" t="inlineStr">
        <is>
          <t>SCR-HOM-03-SC6</t>
        </is>
      </c>
      <c r="C45" s="25" t="inlineStr">
        <is>
          <t>SCR-HOM-03</t>
        </is>
      </c>
      <c r="D45" s="25" t="inlineStr">
        <is>
          <t>HP-09</t>
        </is>
      </c>
      <c r="E45" s="25" t="inlineStr">
        <is>
          <t>Edge</t>
        </is>
      </c>
      <c r="F45" s="25" t="inlineStr">
        <is>
          <t>Chọn địa chỉ nằm ngoài vùng phục vụ của TẤT CẢ store</t>
        </is>
      </c>
      <c r="G45" s="25" t="inlineStr">
        <is>
          <t>Tài khoản có 1 địa chỉ ở khu vực chưa được store nào cấu hình phục vụ.</t>
        </is>
      </c>
      <c r="H45" s="25" t="inlineStr">
        <is>
          <t>1. Mở danh sách địa chỉ, quan sát gợi ý store trên dòng địa chỉ này.
2. Chọn địa chỉ đó.
3. Kiểm tra store hiện trên header sau khi chọn.
4. Kiểm tra trạng thái Delivery/Pickup/Browsing sau khi chọn.</t>
        </is>
      </c>
      <c r="I45" s="25" t="inlineStr">
        <is>
          <t>Địa chỉ test nằm ngoài mọi vùng phục vụ đã cấu hình (ví dụ vùng chưa mở dịch vụ).</t>
        </is>
      </c>
      <c r="J45" s="25" t="inlineStr">
        <is>
          <t>TBD - bước 1: gợi ý store hiển thị gì (để trống/thông báo riêng/ẩn) chưa xác định. Bước 3-4: store hiện tại có được giữ nguyên hay không, Delivery chuyển 'not served', Browsing/Pickup có còn hoạt động không - chờ xác nhận QnA-60. Yêu cầu tối thiểu: không được có màn hình lỗi hoặc treo.</t>
        </is>
      </c>
      <c r="K45" s="25" t="inlineStr">
        <is>
          <t>High</t>
        </is>
      </c>
      <c r="L45" s="24" t="n"/>
      <c r="M45" s="24" t="inlineStr">
        <is>
          <t>Not Run</t>
        </is>
      </c>
      <c r="N45" s="24" t="n"/>
      <c r="O45" s="24" t="n"/>
      <c r="P45" s="25" t="inlineStr">
        <is>
          <t>QnA-60</t>
        </is>
      </c>
      <c r="Q45" s="25" t="inlineStr">
        <is>
          <t>Bổ sung theo yêu cầu review 28/08/2026 - phát hiện rule HP-09 thiếu nhánh xử lý 0 store phù hợp.</t>
        </is>
      </c>
      <c r="R45" s="23" t="n"/>
    </row>
    <row r="46" hidden="1" ht="90" customHeight="1" s="19">
      <c r="A46" s="25" t="inlineStr">
        <is>
          <t>SCR-HOM-03-SC7-TC1</t>
        </is>
      </c>
      <c r="B46" s="25" t="inlineStr">
        <is>
          <t>SCR-HOM-03-SC7</t>
        </is>
      </c>
      <c r="C46" s="25" t="inlineStr">
        <is>
          <t>SCR-HOM-03</t>
        </is>
      </c>
      <c r="D46" s="25" t="inlineStr">
        <is>
          <t>HP-09</t>
        </is>
      </c>
      <c r="E46" s="25" t="inlineStr">
        <is>
          <t>Negative</t>
        </is>
      </c>
      <c r="F46" s="25" t="inlineStr">
        <is>
          <t>Đổi địa chỉ đã lưu khi quyền định vị đang tắt vẫn xác định đúng store</t>
        </is>
      </c>
      <c r="G46" s="25" t="inlineStr">
        <is>
          <t>Quyền định vị của thiết bị = Denied/Off. Tài khoản có địa chỉ 'Home' (Nam Sài Gòn) và 'Parents' (Long Biên).</t>
        </is>
      </c>
      <c r="H46" s="25" t="inlineStr">
        <is>
          <t>1. Tắt quyền định vị trong Settings thiết bị.
2. Mở app, mở danh sách địa chỉ từ header.
3. Chọn địa chỉ 'Parents'.
4. Kiểm tra store và ước tính giao hàng sau khi chọn.</t>
        </is>
      </c>
      <c r="I46" s="25" t="inlineStr">
        <is>
          <t>Quyền định vị: Denied/Off trong suốt test.</t>
        </is>
      </c>
      <c r="J46" s="25" t="inlineStr">
        <is>
          <t>TBD - kỳ vọng ban đầu: việc đổi store vẫn hoạt động đúng (dùng toạ độ đã lưu của địa chỉ, không cần định vị sống) - store chuyển đúng sang Long Biên như SCR-HOM-03-SC2. Cần QC ghi nhận thực tế và đối chiếu QnA-61.</t>
        </is>
      </c>
      <c r="K46" s="25" t="inlineStr">
        <is>
          <t>Medium</t>
        </is>
      </c>
      <c r="L46" s="24" t="n"/>
      <c r="M46" s="24" t="inlineStr">
        <is>
          <t>Not Run</t>
        </is>
      </c>
      <c r="N46" s="24" t="n"/>
      <c r="O46" s="24" t="n"/>
      <c r="P46" s="25" t="inlineStr">
        <is>
          <t>QnA-61</t>
        </is>
      </c>
      <c r="Q46" s="25" t="inlineStr">
        <is>
          <t>Bổ sung theo yêu cầu review 28/08/2026.</t>
        </is>
      </c>
      <c r="R46" s="23" t="n"/>
    </row>
    <row r="47" hidden="1" ht="69.75" customHeight="1" s="19">
      <c r="A47" s="23" t="inlineStr">
        <is>
          <t>SCR-HOM-04-SC1-TC1</t>
        </is>
      </c>
      <c r="B47" s="23" t="inlineStr">
        <is>
          <t>SCR-HOM-04-SC1</t>
        </is>
      </c>
      <c r="C47" s="23" t="inlineStr">
        <is>
          <t>SCR-HOM-04</t>
        </is>
      </c>
      <c r="D47" s="23" t="inlineStr">
        <is>
          <t>HP-08</t>
        </is>
      </c>
      <c r="E47" s="23" t="inlineStr">
        <is>
          <t>Functional</t>
        </is>
      </c>
      <c r="F47" s="23" t="inlineStr">
        <is>
          <t>Đổi store từ header áp dụng ngay lập tức không cần xác nhận khi dịch vụ không đổi</t>
        </is>
      </c>
      <c r="G47" s="23" t="inlineStr">
        <is>
          <t>Địa chỉ hiện tại vẫn hợp lệ Standard ở cả store cũ và store mới.</t>
        </is>
      </c>
      <c r="H47" s="23" t="inlineStr">
        <is>
          <t>1. Mở store sheet từ header, chọn 'LOTTE Mart Tân Bình'.
2. Quan sát có dialog xác nhận không.
3. Kiểm tra danh mục/giá trên Homepage sau khi đổi.</t>
        </is>
      </c>
      <c r="I47" s="23" t="inlineStr">
        <is>
          <t>Store mới: LOTTE Mart Tân Bình (Standard vẫn khả dụng cho địa chỉ hiện tại).</t>
        </is>
      </c>
      <c r="J47" s="23" t="inlineStr">
        <is>
          <t>KHÔNG có dialog xác nhận; store đổi ngay; danh mục/giá/tồn kho re-render theo đúng 'LOTTE Mart Tân Bình'.</t>
        </is>
      </c>
      <c r="K47" s="23" t="inlineStr">
        <is>
          <t>High</t>
        </is>
      </c>
      <c r="L47" s="24" t="n"/>
      <c r="M47" s="24" t="inlineStr">
        <is>
          <t>Not Run</t>
        </is>
      </c>
      <c r="N47" s="24" t="n"/>
      <c r="O47" s="24" t="n"/>
      <c r="P47" s="23" t="n"/>
      <c r="Q47" s="23" t="n"/>
      <c r="R47" s="23" t="n"/>
    </row>
    <row r="48" hidden="1" ht="69.75" customHeight="1" s="19">
      <c r="A48" s="25" t="inlineStr">
        <is>
          <t>SCR-HOM-04-SC2-TC1</t>
        </is>
      </c>
      <c r="B48" s="25" t="inlineStr">
        <is>
          <t>SCR-HOM-04-SC2</t>
        </is>
      </c>
      <c r="C48" s="25" t="inlineStr">
        <is>
          <t>SCR-HOM-04</t>
        </is>
      </c>
      <c r="D48" s="25" t="inlineStr">
        <is>
          <t>HP-08</t>
        </is>
      </c>
      <c r="E48" s="25" t="inlineStr">
        <is>
          <t>Edge</t>
        </is>
      </c>
      <c r="F48" s="25" t="inlineStr">
        <is>
          <t>Đổi store làm mất 60-Minute phải hiện thông báo fallback dịch vụ rõ ràng, không âm thầm đổi</t>
        </is>
      </c>
      <c r="G48" s="25" t="inlineStr">
        <is>
          <t>Địa chỉ hiện tại đang ở vùng 60-Minute của store cũ (Nam Sài Gòn).</t>
        </is>
      </c>
      <c r="H48" s="25" t="inlineStr">
        <is>
          <t>1. Mở store sheet, chọn store mà địa chỉ hiện tại chỉ còn nằm trong Standard radius (mất 60-Minute).
2. Quan sát thông báo xuất hiện ngay sau khi đổi.
3. Kiểm tra dịch vụ đang hiện trên header.</t>
        </is>
      </c>
      <c r="I48" s="25" t="inlineStr">
        <is>
          <t>Store mới: địa chỉ hiện tại chỉ còn ở Standard radius (không còn 60-Minute).</t>
        </is>
      </c>
      <c r="J48" s="25" t="inlineStr">
        <is>
          <t>Thông báo rõ ràng hiện ngay ('Store changed. 60-Minute is not available for this address at [store]'); header chuyển sang chỉ còn Standard - không được âm thầm rớt dịch vụ mà không báo.</t>
        </is>
      </c>
      <c r="K48" s="25" t="inlineStr">
        <is>
          <t>High</t>
        </is>
      </c>
      <c r="L48" s="24" t="n"/>
      <c r="M48" s="24" t="inlineStr">
        <is>
          <t>Not Run</t>
        </is>
      </c>
      <c r="N48" s="24" t="n"/>
      <c r="O48" s="24" t="n"/>
      <c r="P48" s="25" t="inlineStr">
        <is>
          <t>QnA-01</t>
        </is>
      </c>
      <c r="Q48" s="25" t="n"/>
      <c r="R48" s="23" t="n"/>
    </row>
    <row r="49" hidden="1" ht="69.75" customHeight="1" s="19">
      <c r="A49" s="23" t="inlineStr">
        <is>
          <t>SCR-HOM-04-SC3-TC1</t>
        </is>
      </c>
      <c r="B49" s="23" t="inlineStr">
        <is>
          <t>SCR-HOM-04-SC3</t>
        </is>
      </c>
      <c r="C49" s="23" t="inlineStr">
        <is>
          <t>SCR-HOM-04</t>
        </is>
      </c>
      <c r="D49" s="23" t="inlineStr">
        <is>
          <t>HP-08</t>
        </is>
      </c>
      <c r="E49" s="23" t="inlineStr">
        <is>
          <t>Edge</t>
        </is>
      </c>
      <c r="F49" s="23" t="inlineStr">
        <is>
          <t>Store không thể giao đến địa chỉ hiện tại vẫn chọn được, chỉ riêng Delivery bị ảnh hưởng</t>
        </is>
      </c>
      <c r="G49" s="23" t="inlineStr">
        <is>
          <t>Địa chỉ hiện tại ở TP.HCM, danh sách store có 'LOTTE Mart Long Biên' (Hà Nội, không phục vụ được địa chỉ này).</t>
        </is>
      </c>
      <c r="H49" s="23" t="inlineStr">
        <is>
          <t>1. Mở store sheet, quan sát dòng 'LOTTE Mart Long Biên' - kiểm tra có bị khoá/ẩn không.
2. Chọn 'LOTTE Mart Long Biên'.
3. Kiểm tra trạng thái Delivery và Pickup sau khi chọn.</t>
        </is>
      </c>
      <c r="I49" s="23" t="inlineStr">
        <is>
          <t>Store: LOTTE Mart Long Biên, địa chỉ hiện tại: TP.HCM.</t>
        </is>
      </c>
      <c r="J49" s="23" t="inlineStr">
        <is>
          <t>Bước 1: dòng store vẫn hiện và CHỌN ĐƯỢC (không bị khoá), chỉ có ghi chú 'Does not serve this address'. Bước 3: Delivery chuyển sang trạng thái 'not served' cho địa chỉ này, nhưng duyệt danh mục và Pickup tại store đó vẫn hoạt động bình thường.</t>
        </is>
      </c>
      <c r="K49" s="23" t="inlineStr">
        <is>
          <t>Medium</t>
        </is>
      </c>
      <c r="L49" s="24" t="n"/>
      <c r="M49" s="24" t="inlineStr">
        <is>
          <t>Not Run</t>
        </is>
      </c>
      <c r="N49" s="24" t="n"/>
      <c r="O49" s="24" t="n"/>
      <c r="P49" s="23" t="n"/>
      <c r="Q49" s="23" t="n"/>
      <c r="R49" s="23" t="n"/>
    </row>
    <row r="50" hidden="1" ht="120" customHeight="1" s="19">
      <c r="A50" s="23" t="inlineStr">
        <is>
          <t>SCR-HOM-04-SC4-TC1</t>
        </is>
      </c>
      <c r="B50" s="23" t="inlineStr">
        <is>
          <t>SCR-HOM-04-SC4</t>
        </is>
      </c>
      <c r="C50" s="23" t="inlineStr">
        <is>
          <t>SCR-HOM-04</t>
        </is>
      </c>
      <c r="D50" s="23" t="inlineStr">
        <is>
          <t>HP-08, BRL-10, BRL-11, BRL-12</t>
        </is>
      </c>
      <c r="E50" s="23" t="inlineStr">
        <is>
          <t>Functional</t>
        </is>
      </c>
      <c r="F50" s="23" t="inlineStr">
        <is>
          <t>Badge dịch vụ trên store sheet khớp đúng ngưỡng khoảng cách cho từng store</t>
        </is>
      </c>
      <c r="G50" s="23" t="inlineStr">
        <is>
          <t>Địa chỉ hiện tại: 123 Nguyễn Thị Thập, Q.7. Danh sách store: Nam Sài Gòn, Tân Bình, Gò Vấp, Long Biên.</t>
        </is>
      </c>
      <c r="H50" s="23" t="inlineStr">
        <is>
          <t>1. Mở store sheet từ header.
2. Đọc badge của từng store trong danh sách.
3. Đối chiếu badge với khoảng cách thực tế của từng store tới địa chỉ hiện tại.</t>
        </is>
      </c>
      <c r="I50" s="23" t="inlineStr">
        <is>
          <t>Nam Sài Gòn 2.1km, Tân Bình 6.8km, Gò Vấp 9.4km, Long Biên 1.150km.</t>
        </is>
      </c>
      <c r="J50" s="23" t="inlineStr">
        <is>
          <t>Nam Sài Gòn: '60-Minute + Standard'. Tân Bình, Gò Vấp: 'Standard only'. Long Biên: 'Does not serve this address'. Badge khớp đúng ngưỡng BRL-10..12, không có store nào hiển thị badge sai hoặc mặc định.</t>
        </is>
      </c>
      <c r="K50" s="23" t="inlineStr">
        <is>
          <t>Medium</t>
        </is>
      </c>
      <c r="L50" s="24" t="n"/>
      <c r="M50" s="24" t="inlineStr">
        <is>
          <t>Not Run</t>
        </is>
      </c>
      <c r="N50" s="24" t="n"/>
      <c r="O50" s="24" t="n"/>
      <c r="P50" s="23" t="n"/>
      <c r="Q50" s="23" t="inlineStr">
        <is>
          <t>Bổ sung theo yêu cầu review 28/08/2026 - dùng đúng bộ dữ liệu mẫu Figma Slide 45.</t>
        </is>
      </c>
      <c r="R50" s="23" t="n"/>
    </row>
    <row r="51" hidden="1" ht="120" customHeight="1" s="19">
      <c r="A51" s="25" t="inlineStr">
        <is>
          <t>SCR-HOM-04-SC5-TC1</t>
        </is>
      </c>
      <c r="B51" s="25" t="inlineStr">
        <is>
          <t>SCR-HOM-04-SC5</t>
        </is>
      </c>
      <c r="C51" s="25" t="inlineStr">
        <is>
          <t>SCR-HOM-04</t>
        </is>
      </c>
      <c r="D51" s="25" t="inlineStr">
        <is>
          <t>HP-08</t>
        </is>
      </c>
      <c r="E51" s="25" t="inlineStr">
        <is>
          <t>Functional</t>
        </is>
      </c>
      <c r="F51" s="25" t="inlineStr">
        <is>
          <t>Tìm kiếm store theo tên và theo quận (địa giới cũ/mới)</t>
        </is>
      </c>
      <c r="G51" s="25" t="inlineStr">
        <is>
          <t>Đang mở store sheet (SCR-HOM-04), danh sách store có nhãn quận theo địa giới cũ.</t>
        </is>
      </c>
      <c r="H51" s="25" t="inlineStr">
        <is>
          <t>1. Gõ tên store 'Tân Bình' vào ô tìm kiếm, kiểm tra kết quả.
2. Xoá ô tìm kiếm, gõ tên quận theo địa giới CŨ (ví dụ 'Q.7'), kiểm tra kết quả.
3. Xoá ô tìm kiếm, gõ tên phường/quận theo địa giới MỚI sau sáp nhập (nếu có), kiểm tra kết quả.</t>
        </is>
      </c>
      <c r="I51" s="25" t="inlineStr">
        <is>
          <t>Từ khoá: 'Tân Bình' (tên store), 'Q.7' (quận cũ), tên đơn vị hành chính mới tương ứng (nếu có, cần dữ liệu từ Data team).</t>
        </is>
      </c>
      <c r="J51" s="25" t="inlineStr">
        <is>
          <t>Bước 1: trả đúng store 'LOTTE Mart Tân Bình'. Bước 2-3: TBD - chưa xác định được có trả đúng kết quả ở CẢ 2 dạng địa giới hay chỉ 1 dạng - liên quan trực tiếp QnA-46 (đã mở rộng áp dụng cho màn này).</t>
        </is>
      </c>
      <c r="K51" s="25" t="inlineStr">
        <is>
          <t>Medium</t>
        </is>
      </c>
      <c r="L51" s="24" t="n"/>
      <c r="M51" s="24" t="inlineStr">
        <is>
          <t>Not Run</t>
        </is>
      </c>
      <c r="N51" s="24" t="n"/>
      <c r="O51" s="24" t="n"/>
      <c r="P51" s="25" t="inlineStr">
        <is>
          <t>QnA-46</t>
        </is>
      </c>
      <c r="Q51" s="25" t="inlineStr">
        <is>
          <t>Bổ sung theo yêu cầu review 28/08/2026 - mở rộng phạm vi QnA-46 sang SCR-HOM-04.</t>
        </is>
      </c>
      <c r="R51" s="23" t="n"/>
    </row>
    <row r="52" hidden="1" ht="135" customHeight="1" s="19">
      <c r="A52" s="25" t="inlineStr">
        <is>
          <t>SCR-HOM-04-SC6-TC1</t>
        </is>
      </c>
      <c r="B52" s="25" t="inlineStr">
        <is>
          <t>SCR-HOM-04-SC6</t>
        </is>
      </c>
      <c r="C52" s="25" t="inlineStr">
        <is>
          <t>SCR-HOM-04</t>
        </is>
      </c>
      <c r="D52" s="25" t="inlineStr">
        <is>
          <t>HP-08, BRL-10, BRL-11, BRL-12</t>
        </is>
      </c>
      <c r="E52" s="25" t="inlineStr">
        <is>
          <t>Edge</t>
        </is>
      </c>
      <c r="F52" s="25" t="inlineStr">
        <is>
          <t>Badge dịch vụ trên store sheet khi chưa có địa chỉ hoặc quyền định vị đang tắt</t>
        </is>
      </c>
      <c r="G52" s="25" t="inlineStr">
        <is>
          <t>(a) Guest/Member chưa từng tạo địa chỉ, Homepage đang ở State A. (b) Quyền định vị = Denied/Off.</t>
        </is>
      </c>
      <c r="H52" s="25" t="inlineStr">
        <is>
          <t>1. Case (a): mở store sheet khi chưa có địa chỉ, quan sát badge dịch vụ của từng store.
2. Case (b): tắt quyền định vị, mở store sheet, quan sát lại badge.</t>
        </is>
      </c>
      <c r="I52" s="25" t="inlineStr">
        <is>
          <t>Không có địa chỉ nào đã lưu; quyền định vị Denied/Off ở case (b).</t>
        </is>
      </c>
      <c r="J52" s="25" t="inlineStr">
        <is>
          <t>TBD - chưa xác định badge dựa trên vị trí thiết bị hiện tại (cần định vị Allow) hay ẩn/không hiển thị badge cho đến khi có địa chỉ - chờ xác nhận QnA-62. Yêu cầu tối thiểu: không hiển thị badge sai/gây hiểu nhầm.</t>
        </is>
      </c>
      <c r="K52" s="25" t="inlineStr">
        <is>
          <t>Medium</t>
        </is>
      </c>
      <c r="L52" s="24" t="n"/>
      <c r="M52" s="24" t="inlineStr">
        <is>
          <t>Not Run</t>
        </is>
      </c>
      <c r="N52" s="24" t="n"/>
      <c r="O52" s="24" t="n"/>
      <c r="P52" s="25" t="inlineStr">
        <is>
          <t>QnA-62</t>
        </is>
      </c>
      <c r="Q52" s="25" t="inlineStr">
        <is>
          <t>Bổ sung theo yêu cầu review 28/08/2026.</t>
        </is>
      </c>
      <c r="R52" s="23" t="n"/>
    </row>
    <row r="53" hidden="1" ht="150" customHeight="1" s="19">
      <c r="A53" s="25" t="inlineStr">
        <is>
          <t>SCR-HOM-04-SC7-TC1</t>
        </is>
      </c>
      <c r="B53" s="25" t="inlineStr">
        <is>
          <t>SCR-HOM-04-SC7</t>
        </is>
      </c>
      <c r="C53" s="25" t="inlineStr">
        <is>
          <t>SCR-HOM-04</t>
        </is>
      </c>
      <c r="D53" s="25" t="inlineStr">
        <is>
          <t>HP-08, BRL-08</t>
        </is>
      </c>
      <c r="E53" s="25" t="inlineStr">
        <is>
          <t>Edge</t>
        </is>
      </c>
      <c r="F53" s="25" t="inlineStr">
        <is>
          <t>Đổi store làm địa chỉ hiện tại đủ điều kiện nâng lên 60-Minute (chiều ngược case rớt dịch vụ)</t>
        </is>
      </c>
      <c r="G53" s="25" t="inlineStr">
        <is>
          <t>Địa chỉ hiện tại đang ở vùng chỉ-Standard của store cũ (Tân Bình).</t>
        </is>
      </c>
      <c r="H53" s="25" t="inlineStr">
        <is>
          <t>1. Mở store sheet, chọn store mà địa chỉ hiện tại lọt vào bán kính 60-Minute (Nam Sài Gòn).
2. Quan sát thông báo xuất hiện ngay sau khi đổi (nếu có).
3. Kiểm tra dịch vụ đang hiện trên header sau khi đổi - Standard hay đã tự nâng lên 60-Minute.</t>
        </is>
      </c>
      <c r="I53" s="25" t="inlineStr">
        <is>
          <t>Store mới: Nam Sài Gòn (địa chỉ hiện tại đủ điều kiện 60-Minute tại đây).</t>
        </is>
      </c>
      <c r="J53" s="25" t="inlineStr">
        <is>
          <t>TBD - chưa xác định hệ thống tự nâng dịch vụ lên 60-Minute hay giữ nguyên Standard cho khách tự đổi, và có thông báo tương tự case rớt dịch vụ không - chờ xác nhận QnA-63.</t>
        </is>
      </c>
      <c r="K53" s="25" t="inlineStr">
        <is>
          <t>Medium</t>
        </is>
      </c>
      <c r="L53" s="24" t="n"/>
      <c r="M53" s="24" t="inlineStr">
        <is>
          <t>Not Run</t>
        </is>
      </c>
      <c r="N53" s="24" t="n"/>
      <c r="O53" s="24" t="n"/>
      <c r="P53" s="25" t="inlineStr">
        <is>
          <t>QnA-63</t>
        </is>
      </c>
      <c r="Q53" s="25" t="inlineStr">
        <is>
          <t>Bổ sung theo yêu cầu review 28/08/2026 - bổ sung chiều ngược lại của SCR-HOM-04-SC2.</t>
        </is>
      </c>
      <c r="R53" s="23" t="n"/>
    </row>
    <row r="54" hidden="1" ht="60" customHeight="1" s="19">
      <c r="A54" s="25" t="inlineStr">
        <is>
          <t>SCR-HOM-04-SC8-TC1</t>
        </is>
      </c>
      <c r="B54" s="25" t="inlineStr">
        <is>
          <t>SCR-HOM-04-SC8</t>
        </is>
      </c>
      <c r="C54" s="25" t="inlineStr">
        <is>
          <t>SCR-HOM-04</t>
        </is>
      </c>
      <c r="D54" s="25" t="inlineStr">
        <is>
          <t>HP-08, BRL-08, CT-07, BRL-24</t>
        </is>
      </c>
      <c r="E54" s="25" t="inlineStr">
        <is>
          <t>Edge</t>
        </is>
      </c>
      <c r="F54" s="25" t="inlineStr">
        <is>
          <t>Đổi store từ Homepage khi giỏ hàng đang có sản phẩm từ store cũ</t>
        </is>
      </c>
      <c r="G54" s="25" t="inlineStr">
        <is>
          <t>Giỏ hàng đang có 2 SKU từ store cũ (Nam Sài Gòn); 1 SKU sẽ hết hàng, 1 SKU sẽ đổi giá tại store mới.</t>
        </is>
      </c>
      <c r="H54" s="25" t="inlineStr">
        <is>
          <t>1. Xác nhận giỏ hàng hiện có 2 SKU nêu trên.
2. Mở SCR-HOM-04 (đổi store từ Homepage, không phải từ Cart), chọn store mới (Tân Bình).
3. Quan sát có cảnh báo nào xuất hiện trước khi đổi không.
4. Sau khi đổi, mở lại Cart và kiểm tra 2 SKU (còn nguyên giá cũ, đã đổi giá, hay đã chuyển nhóm hết hàng).</t>
        </is>
      </c>
      <c r="I54" s="25" t="inlineStr">
        <is>
          <t>Store mới: Tân Bình - gây hết hàng 1 SKU và đổi giá 1 SKU trong giỏ hàng hiện có.</t>
        </is>
      </c>
      <c r="J54" s="25" t="inlineStr">
        <is>
          <t>TBD - chưa xác định Homepage có cảnh báo/chặn giống SCR-CRT-06 khi đổi store lúc đang có giỏ hàng bị ảnh hưởng hay không (BRL-08 hiện quy định không cảnh báo trên Homepage). Yêu cầu tối thiểu: giỏ hàng không được âm thầm sai lệch (mất SKU/đổi giá) mà không có BẤT KỲ cảnh báo nào ở Homepage hoặc khi mở lại Cart - chờ xác nhận QnA-64.</t>
        </is>
      </c>
      <c r="K54" s="25" t="inlineStr">
        <is>
          <t>High</t>
        </is>
      </c>
      <c r="L54" s="24" t="n"/>
      <c r="M54" s="24" t="inlineStr">
        <is>
          <t>Not Run</t>
        </is>
      </c>
      <c r="N54" s="24" t="n"/>
      <c r="O54" s="24" t="n"/>
      <c r="P54" s="25" t="inlineStr">
        <is>
          <t>QnA-64</t>
        </is>
      </c>
      <c r="Q54" s="25" t="inlineStr">
        <is>
          <t>Bổ sung theo yêu cầu review 28/08/2026 - xung đột trực tiếp giữa rule SCR-HOM-04 (không cảnh báo) và SCR-CRT-06 (bắt buộc cảnh báo khi có ảnh hưởng).</t>
        </is>
      </c>
      <c r="R54" s="23" t="n"/>
    </row>
    <row r="55" hidden="1" ht="69.75" customHeight="1" s="19">
      <c r="A55" s="23" t="inlineStr">
        <is>
          <t>SCR-HOM-05-SC1-TC1</t>
        </is>
      </c>
      <c r="B55" s="23" t="inlineStr">
        <is>
          <t>SCR-HOM-05-SC1</t>
        </is>
      </c>
      <c r="C55" s="23" t="inlineStr">
        <is>
          <t>SCR-HOM-05</t>
        </is>
      </c>
      <c r="D55" s="23" t="inlineStr">
        <is>
          <t>HP-04</t>
        </is>
      </c>
      <c r="E55" s="23" t="inlineStr">
        <is>
          <t>Boundary</t>
        </is>
      </c>
      <c r="F55" s="23" t="inlineStr">
        <is>
          <t>4 trạng thái ước tính giao hàng loại trừ nhau đúng theo từng ngưỡng khoảng cách</t>
        </is>
      </c>
      <c r="G55" s="23" t="inlineStr">
        <is>
          <t>4 địa chỉ mẫu đã chuẩn bị sẵn khớp đúng 4 khoảng: 4km, 12km, thuộc Next-day, ngoài mọi vùng.</t>
        </is>
      </c>
      <c r="H55" s="23" t="inlineStr">
        <is>
          <t>1. Lưu địa chỉ 'A' (4km) - quan sát ước tính.
2. Đổi sang địa chỉ 'B' (12km) - quan sát ước tính.
3. Đổi sang địa chỉ 'C' (thuộc khu Next-day) - quan sát ước tính.
4. Đổi sang địa chỉ 'D' (ngoài mọi vùng) - quan sát ước tính.
5. Từ địa chỉ 'A' (4km), đổi sang địa chỉ 'A2' KHÁC nhưng CÙNG khoảng cách 3-5km (ví dụ 4.5km) - quan sát các option đang hiện (60-Minute + Standard) có bị clear/nhấp nháy về trạng thái rỗng trước khi hiện lại không, hay giữ nguyên mượt mà.
6. Từ địa chỉ 'D' (ngoài mọi vùng), đổi sang địa chỉ 'D2' KHÁC cũng ngoài mọi vùng - quan sát thông báo 'không được phục vụ' có bị clear/nhấp nháy trước khi hiện lại không.</t>
        </is>
      </c>
      <c r="I55" s="23" t="inlineStr">
        <is>
          <t>Địa chỉ A: 4km. B: 12km. C: khu Next-day đã cấu hình. D: ngoài mọi vùng. Địa chỉ A2: 4.5km (cùng bucket 60-Minute với A). Địa chỉ D2: ngoài mọi vùng (cùng bucket với D).</t>
        </is>
      </c>
      <c r="J55" s="23" t="inlineStr">
        <is>
          <t>A: hiện 60-Minute + Standard (Standard là mặc định). B: chỉ Standard, không có affordance 60-Minute. C: chỉ hiện ngày giao (không khung giờ). D: không ngày/giờ, chỉ thông báo 'không được phục vụ' + CTA đổi địa chỉ. 4 trạng thái không chồng lấn. Bước 5: đổi giữa 2 địa chỉ CÙNG bucket khoảng cách (A -&gt; A2) phải giữ nguyên đúng các option đang hiện (60-Minute + Standard) liên tục, KHÔNG bị clear về rỗng rồi hiện lại (không nhấp nháy/giật). Bước 6: tương tự, thông báo 'không được phục vụ' (D -&gt; D2) không bị clear/nhấp nháy khi đổi giữa 2 địa chỉ cùng thuộc bucket 'ngoài mọi vùng'.</t>
        </is>
      </c>
      <c r="K55" s="23" t="inlineStr">
        <is>
          <t>High Đổi địa chỉ trong CÙNG 1 bucket khoảng cách không được gây hiệu ứng clear/reset tạm thời cho các option đang hiển thị.</t>
        </is>
      </c>
      <c r="L55" s="24" t="n"/>
      <c r="M55" s="24" t="inlineStr">
        <is>
          <t>Not Run</t>
        </is>
      </c>
      <c r="N55" s="24" t="n"/>
      <c r="O55" s="24" t="n"/>
      <c r="P55" s="23" t="n"/>
      <c r="Q55" s="23" t="inlineStr">
        <is>
          <t>Bổ sung bước 5-6 theo yêu cầu review 28/08/2026 - kiểm tra đổi địa chỉ trong cùng bucket khoảng cách không làm options bị clear.</t>
        </is>
      </c>
      <c r="R55" s="23" t="n"/>
    </row>
    <row r="56" hidden="1" ht="105" customHeight="1" s="19">
      <c r="A56" s="25" t="inlineStr">
        <is>
          <t>SCR-HOM-05-SC2-TC1</t>
        </is>
      </c>
      <c r="B56" s="25" t="inlineStr">
        <is>
          <t>SCR-HOM-05-SC2</t>
        </is>
      </c>
      <c r="C56" s="25" t="inlineStr">
        <is>
          <t>SCR-HOM-05</t>
        </is>
      </c>
      <c r="D56" s="25" t="inlineStr">
        <is>
          <t>HP-04</t>
        </is>
      </c>
      <c r="E56" s="25" t="inlineStr">
        <is>
          <t>Edge</t>
        </is>
      </c>
      <c r="F56" s="25" t="inlineStr">
        <is>
          <t>Ước tính giao hàng ở giờ cao điểm/lễ Tết/thiên tai - TBD chờ QnA-66</t>
        </is>
      </c>
      <c r="G56" s="25" t="inlineStr">
        <is>
          <t>Có địa chỉ hợp lệ trong vùng phục vụ; có khả năng giả lập/cấu hình 3 tình huống test.</t>
        </is>
      </c>
      <c r="H56" s="25" t="inlineStr">
        <is>
          <t>1. Giả lập truy cập vào khung giờ cao điểm (ví dụ 18:00-20:00), quan sát ước tính giao hàng có thay đổi (phí/slot/thời gian) so với giờ thường không.
2. Giả lập ngày test trùng 1 ngày lễ/Tết theo lịch, quan sát ước tính giao hàng - có bị chặn hoàn toàn, giảm capacity, hay không đổi gì.
3. Đánh dấu 1 store test ở trạng thái 'tạm ngưng nhận đơn' (giả lập bất khả kháng), quan sát Homepage/Cart hiển thị thông báo gì cho khách.
4. Ghi nhận đầy đủ hành vi thực tế ở cả 3 bước.</t>
        </is>
      </c>
      <c r="I56" s="25" t="inlineStr">
        <is>
          <t>Cấu hình test riêng cho giờ cao điểm, ngày lễ/Tết, và trạng thái store tạm ngưng.</t>
        </is>
      </c>
      <c r="J56" s="25" t="inlineStr">
        <is>
          <t>TBD - chờ câu trả lời QnA-66. Người thực thi KHÔNG tự ý chấm Pass/Fail - chỉ ghi nhận hành vi thực tế ở cả 3 tình huống.</t>
        </is>
      </c>
      <c r="K56" s="25" t="inlineStr">
        <is>
          <t>High</t>
        </is>
      </c>
      <c r="L56" s="24" t="n"/>
      <c r="M56" s="24" t="inlineStr">
        <is>
          <t>Not Run</t>
        </is>
      </c>
      <c r="N56" s="24" t="n"/>
      <c r="O56" s="24" t="n"/>
      <c r="P56" s="25" t="inlineStr">
        <is>
          <t>QnA-66</t>
        </is>
      </c>
      <c r="Q56" s="25" t="inlineStr">
        <is>
          <t>Bổ sung theo yêu cầu review 28/08/2026 - rủi ro cao vì đây là 3 tình huống vận hành thực tế, không phải lý thuyết.</t>
        </is>
      </c>
      <c r="R56" s="23" t="n"/>
    </row>
    <row r="57" hidden="1" ht="69.75" customHeight="1" s="19">
      <c r="A57" s="23" t="inlineStr">
        <is>
          <t>SCR-HOM-06-SC1-TC1</t>
        </is>
      </c>
      <c r="B57" s="23" t="inlineStr">
        <is>
          <t>SCR-HOM-06-SC1</t>
        </is>
      </c>
      <c r="C57" s="23" t="inlineStr">
        <is>
          <t>SCR-HOM-06</t>
        </is>
      </c>
      <c r="D57" s="23" t="inlineStr">
        <is>
          <t>HP-01, BR-06</t>
        </is>
      </c>
      <c r="E57" s="23" t="inlineStr">
        <is>
          <t>Functional</t>
        </is>
      </c>
      <c r="F57" s="23" t="inlineStr">
        <is>
          <t>Đăng nhập thành công đổi thứ tự ưu tiên giá hiển thị từ Guest sang Member</t>
        </is>
      </c>
      <c r="G57" s="23" t="inlineStr">
        <is>
          <t>Trước khi đăng nhập: đang xem 1 SKU có cả giá Guest và Member ở trạng thái Guest.</t>
        </is>
      </c>
      <c r="H57" s="23" t="inlineStr">
        <is>
          <t>1. Ghi nhận thứ tự hiển thị giá (Guest trước, Member sau) khi còn là Guest.
2. Đăng nhập thành công bằng tài khoản Member có tier/điểm/coupon.
3. Quan sát lại thẻ SKU đó và strip thông tin Member trên header.</t>
        </is>
      </c>
      <c r="I57" s="23" t="inlineStr">
        <is>
          <t>Tài khoản Member: có tier Bạc, 500 điểm, 2 coupon khả dụng.</t>
        </is>
      </c>
      <c r="J57" s="23" t="inlineStr">
        <is>
          <t>Sau đăng nhập: strip Member (tên, tier, điểm, coupon) xuất hiện trên Homepage; giá Member trở thành giá CHÍNH (nổi bật hơn), giá Guest bị làm mờ/thu nhỏ - đảo ngược thứ tự so với bước 1.</t>
        </is>
      </c>
      <c r="K57" s="23" t="inlineStr">
        <is>
          <t>Medium</t>
        </is>
      </c>
      <c r="L57" s="24" t="n"/>
      <c r="M57" s="24" t="inlineStr">
        <is>
          <t>Not Run</t>
        </is>
      </c>
      <c r="N57" s="24" t="n"/>
      <c r="O57" s="24" t="n"/>
      <c r="P57" s="23" t="n"/>
      <c r="Q57" s="23" t="n"/>
      <c r="R57" s="23" t="n"/>
    </row>
    <row r="58" hidden="1" ht="75" customHeight="1" s="19">
      <c r="A58" s="23" t="inlineStr">
        <is>
          <t>SCR-HOM-06-SC1-TC2</t>
        </is>
      </c>
      <c r="B58" s="23" t="inlineStr">
        <is>
          <t>SCR-HOM-06-SC1</t>
        </is>
      </c>
      <c r="C58" s="23" t="inlineStr">
        <is>
          <t>SCR-HOM-06</t>
        </is>
      </c>
      <c r="D58" s="23" t="inlineStr">
        <is>
          <t>HP-01, BR-06</t>
        </is>
      </c>
      <c r="E58" s="23" t="inlineStr">
        <is>
          <t>Edge</t>
        </is>
      </c>
      <c r="F58" s="23" t="inlineStr">
        <is>
          <t>Đăng nhập Member không có tier/điểm/coupon (tài khoản mới) - strip Member hiển thị đúng ở trạng thái rỗng</t>
        </is>
      </c>
      <c r="G58" s="23" t="inlineStr">
        <is>
          <t>Trước khi đăng nhập: đang xem 1 SKU có cả giá Guest và Member ở trạng thái Guest.</t>
        </is>
      </c>
      <c r="H58" s="23" t="inlineStr">
        <is>
          <t>1. Đăng nhập bằng tài khoản Member MỚI TẠO, chưa có tier/điểm/coupon nào.
2. Quan sát strip thông tin Member trên Homepage (tên, tier, điểm, coupon).
3. Quan sát giá SKU có đổi thứ tự ưu tiên như tài khoản có đầy đủ dữ liệu không.</t>
        </is>
      </c>
      <c r="I58" s="23" t="inlineStr">
        <is>
          <t>Tài khoản Member mới: 0 điểm, chưa có tier, 0 coupon khả dụng.</t>
        </is>
      </c>
      <c r="J58" s="23" t="inlineStr">
        <is>
          <t>Strip Member vẫn hiển thị đúng (tên tài khoản), các phần tier/điểm/coupon hiện trạng thái RỖNG hợp lý (ví dụ '0 điểm', ẩn phần coupon nếu không có, hoặc nhãn tier mặc định) - không lỗi/không hiện ô trống vô nghĩa. Giá Member vẫn trở thành giá chính giống SC1, không phụ thuộc vào có tier/điểm/coupon hay không.</t>
        </is>
      </c>
      <c r="K58" s="23" t="inlineStr">
        <is>
          <t>Low</t>
        </is>
      </c>
      <c r="L58" s="24" t="n"/>
      <c r="M58" s="24" t="inlineStr">
        <is>
          <t>Not Run</t>
        </is>
      </c>
      <c r="N58" s="24" t="n"/>
      <c r="O58" s="24" t="n"/>
      <c r="P58" s="23" t="n"/>
      <c r="Q58" s="23" t="inlineStr">
        <is>
          <t>Bổ sung theo yêu cầu review 27/08/2026 - SCR-HOM-06-SC1-TC1 chỉ test tài khoản CÓ đầy đủ tier/điểm/coupon, chưa test trạng thái rỗng của tài khoản mới.</t>
        </is>
      </c>
      <c r="R58" s="23" t="n"/>
    </row>
    <row r="59" hidden="1" ht="69.75" customHeight="1" s="19">
      <c r="A59" s="25" t="inlineStr">
        <is>
          <t>SCR-HOM-06-SC2-TC1</t>
        </is>
      </c>
      <c r="B59" s="25" t="inlineStr">
        <is>
          <t>SCR-HOM-06-SC2</t>
        </is>
      </c>
      <c r="C59" s="25" t="inlineStr">
        <is>
          <t>SCR-HOM-06</t>
        </is>
      </c>
      <c r="D59" s="25" t="inlineStr">
        <is>
          <t>HP-10, NFR-03</t>
        </is>
      </c>
      <c r="E59" s="25" t="inlineStr">
        <is>
          <t>Functional</t>
        </is>
      </c>
      <c r="F59" s="25" t="inlineStr">
        <is>
          <t>Đăng xuất giữ nguyên store, xoá địa chỉ, Cart icon vẫn hiển thị</t>
        </is>
      </c>
      <c r="G59" s="25" t="inlineStr">
        <is>
          <t>Đang đăng nhập, store = Nam Sài Gòn, địa chỉ đã lưu = '123 Nguyễn Thị Thập, Q.7'.</t>
        </is>
      </c>
      <c r="H59" s="25" t="inlineStr">
        <is>
          <t>1. Vào Account, bấm Logout.
2. Xác nhận trong dialog cảnh báo logout.
3. Quan sát header Homepage sau khi logout.</t>
        </is>
      </c>
      <c r="I59" s="25" t="inlineStr">
        <is>
          <t>Trước logout: store Nam Sài Gòn, địa chỉ đã chọn.</t>
        </is>
      </c>
      <c r="J59" s="25" t="inlineStr">
        <is>
          <t>Dialog xác nhận nêu rõ điều gì được giữ (store) và điều gì bị xoá (địa chỉ) TRƯỚC khi khách xác nhận. Sau khi xác nhận: quay về SCR-HOM-01 State A - store VẪN LÀ 'Nam Sài Gòn' (giữ nguyên), địa chỉ bị XOÁ (hiện lại 'Choose delivery address'), Cart icon vẫn hiển thị bình thường.</t>
        </is>
      </c>
      <c r="K59" s="25" t="inlineStr">
        <is>
          <t>High</t>
        </is>
      </c>
      <c r="L59" s="24" t="n"/>
      <c r="M59" s="24" t="inlineStr">
        <is>
          <t>Not Run</t>
        </is>
      </c>
      <c r="N59" s="24" t="n"/>
      <c r="O59" s="24" t="n"/>
      <c r="P59" s="25" t="inlineStr">
        <is>
          <t>QnA-26</t>
        </is>
      </c>
      <c r="Q59" s="25" t="inlineStr">
        <is>
          <t>Địa chỉ nào active khi đăng nhập lại vẫn là OQ-26/QnA-26.</t>
        </is>
      </c>
      <c r="R59" s="23" t="n"/>
    </row>
    <row r="60" hidden="1" ht="105" customHeight="1" s="19">
      <c r="A60" s="23" t="inlineStr">
        <is>
          <t>SCR-HOM-06-SC2-TC2</t>
        </is>
      </c>
      <c r="B60" s="23" t="inlineStr">
        <is>
          <t>SCR-HOM-06-SC2</t>
        </is>
      </c>
      <c r="C60" s="23" t="inlineStr">
        <is>
          <t>SCR-HOM-06</t>
        </is>
      </c>
      <c r="D60" s="23" t="inlineStr">
        <is>
          <t>HP-10, NFR-03</t>
        </is>
      </c>
      <c r="E60" s="23" t="inlineStr">
        <is>
          <t>Negative</t>
        </is>
      </c>
      <c r="F60" s="23" t="inlineStr">
        <is>
          <t>Bấm Cancel trên dialog xác nhận Logout giữ nguyên 100% trạng thái đăng nhập</t>
        </is>
      </c>
      <c r="G60" s="23" t="inlineStr">
        <is>
          <t>Đang đăng nhập, store = Nam Sài Gòn, địa chỉ đã lưu = '123 Nguyễn Thị Thập, Q.7'.</t>
        </is>
      </c>
      <c r="H60" s="23" t="inlineStr">
        <is>
          <t>1. Vào Account, bấm Logout.
2. Ở dialog xác nhận, bấm 'Cancel' / huỷ (không xác nhận logout).
3. Kiểm tra trạng thái đăng nhập, store, địa chỉ trên Homepage.</t>
        </is>
      </c>
      <c r="I60" s="23" t="inlineStr">
        <is>
          <t>Trạng thái trước khi bấm Logout: đã đăng nhập, store Nam Sài Gòn, địa chỉ đã chọn - dùng làm baseline so sánh.</t>
        </is>
      </c>
      <c r="J60" s="23" t="inlineStr">
        <is>
          <t>Sau khi bấm Cancel: vẫn ĐANG đăng nhập (không bị logout), store và địa chỉ giữ nguyên y hệt baseline - không có thay đổi từng phần nào được áp dụng, khác hẳn với xác nhận Logout ở SC2-TC1.</t>
        </is>
      </c>
      <c r="K60" s="23" t="inlineStr">
        <is>
          <t>Medium</t>
        </is>
      </c>
      <c r="L60" s="24" t="n"/>
      <c r="M60" s="24" t="inlineStr">
        <is>
          <t>Not Run</t>
        </is>
      </c>
      <c r="N60" s="24" t="n"/>
      <c r="O60" s="24" t="n"/>
      <c r="P60" s="23" t="n"/>
      <c r="Q60" s="23" t="inlineStr">
        <is>
          <t>Bổ sung theo yêu cầu review 27/08/2026 - SCR-HOM-06-SC2 trước đó chỉ test đường XÁC NHẬN logout, chưa test đường Cancel - cùng pattern với SCR-CRT-06-SC3-TC1 (Cancel đổi store).</t>
        </is>
      </c>
      <c r="R60" s="23" t="n"/>
    </row>
    <row r="61" hidden="1" ht="75" customHeight="1" s="19">
      <c r="A61" s="25" t="inlineStr">
        <is>
          <t>SCR-HOM-06-SC3-TC1</t>
        </is>
      </c>
      <c r="B61" s="25" t="inlineStr">
        <is>
          <t>SCR-HOM-06-SC3</t>
        </is>
      </c>
      <c r="C61" s="25" t="inlineStr">
        <is>
          <t>SCR-HOM-06</t>
        </is>
      </c>
      <c r="D61" s="25" t="inlineStr">
        <is>
          <t>HP-01</t>
        </is>
      </c>
      <c r="E61" s="25" t="inlineStr">
        <is>
          <t>Functional</t>
        </is>
      </c>
      <c r="F61" s="25" t="inlineStr">
        <is>
          <t>Bấm 'View more' ở strip Member - TBD chờ QnA-67</t>
        </is>
      </c>
      <c r="G61" s="25" t="inlineStr">
        <is>
          <t>Đã đăng nhập Member có tier/điểm/coupon, đang ở Homepage State A.</t>
        </is>
      </c>
      <c r="H61" s="25" t="inlineStr">
        <is>
          <t>1. Quan sát strip Member: tên, tier, điểm, 'Barcode', nút 'View more'.
2. Bấm 'View more'.
3. GHI NHẬN chính xác màn hình/nội dung mở ra.</t>
        </is>
      </c>
      <c r="I61" s="25" t="inlineStr">
        <is>
          <t>Tài khoản Member có tier Bạc, 500 điểm.</t>
        </is>
      </c>
      <c r="J61" s="25" t="inlineStr">
        <is>
          <t>TBD - chờ câu trả lời QnA-67. Người thực thi KHÔNG tự ý chấm Pass/Fail - chỉ ghi nhận màn đích thực tế.</t>
        </is>
      </c>
      <c r="K61" s="25" t="inlineStr">
        <is>
          <t>Low</t>
        </is>
      </c>
      <c r="L61" s="24" t="n"/>
      <c r="M61" s="24" t="inlineStr">
        <is>
          <t>Not Run</t>
        </is>
      </c>
      <c r="N61" s="24" t="n"/>
      <c r="O61" s="24" t="n"/>
      <c r="P61" s="25" t="inlineStr">
        <is>
          <t>QnA-67</t>
        </is>
      </c>
      <c r="Q61" s="25" t="inlineStr">
        <is>
          <t>Bổ sung theo yêu cầu review 28/08/2026.</t>
        </is>
      </c>
      <c r="R61" s="23" t="n"/>
    </row>
    <row r="62" hidden="1" ht="105" customHeight="1" s="19">
      <c r="A62" s="25" t="inlineStr">
        <is>
          <t>SCR-HOM-06-SC4-TC1</t>
        </is>
      </c>
      <c r="B62" s="25" t="inlineStr">
        <is>
          <t>SCR-HOM-06-SC4</t>
        </is>
      </c>
      <c r="C62" s="25" t="inlineStr">
        <is>
          <t>SCR-HOM-06</t>
        </is>
      </c>
      <c r="D62" s="25" t="inlineStr">
        <is>
          <t>HP-05, SU-05</t>
        </is>
      </c>
      <c r="E62" s="25" t="inlineStr">
        <is>
          <t>Edge</t>
        </is>
      </c>
      <c r="F62" s="25" t="inlineStr">
        <is>
          <t>Guest có địa chỉ/store cục bộ đăng nhập vào Member đã tồn tại sẵn - TBD chờ QnA-68</t>
        </is>
      </c>
      <c r="G62" s="25" t="inlineStr">
        <is>
          <t>Tài khoản Member test đã có sẵn 1 địa chỉ đã lưu (khác địa chỉ Guest sẽ dùng) và Registered store riêng (khác store Guest sẽ duyệt).</t>
        </is>
      </c>
      <c r="H62" s="25" t="inlineStr">
        <is>
          <t>1. Ở trạng thái Guest, tự chọn 1 địa chỉ cục bộ 'X' và duyệt tại store 'A' trên thiết bị.
2. Bấm 'Sign in' (không phải Register), đăng nhập vào tài khoản Member đã có sẵn ở trên.
3. GHI NHẬN chính xác địa chỉ hiển thị sau đăng nhập (địa chỉ Guest 'X', hay 1 địa chỉ đã lưu của Member).
4. GHI NHẬN chính xác store hiển thị sau đăng nhập (store Guest 'A', hay Registered store của Member).</t>
        </is>
      </c>
      <c r="I62" s="25" t="inlineStr">
        <is>
          <t>Tài khoản Member có địa chỉ đã lưu 'Y' (khác 'X') và Registered store 'B' (khác 'A').</t>
        </is>
      </c>
      <c r="J62" s="25" t="inlineStr">
        <is>
          <t>TBD - chờ câu trả lời QnA-68. Người thực thi KHÔNG tự ý chấm Pass/Fail - chỉ ghi nhận địa chỉ/store thực tế hiển thị ở bước 3-4.</t>
        </is>
      </c>
      <c r="K62" s="25" t="inlineStr">
        <is>
          <t>High</t>
        </is>
      </c>
      <c r="L62" s="24" t="n"/>
      <c r="M62" s="24" t="inlineStr">
        <is>
          <t>Not Run</t>
        </is>
      </c>
      <c r="N62" s="24" t="n"/>
      <c r="O62" s="24" t="n"/>
      <c r="P62" s="25" t="inlineStr">
        <is>
          <t>QnA-68</t>
        </is>
      </c>
      <c r="Q62" s="25" t="inlineStr">
        <is>
          <t>Bổ sung theo yêu cầu review 28/08/2026 - rủi ro cao vì ảnh hưởng trải nghiệm ngay sau đăng nhập.</t>
        </is>
      </c>
      <c r="R62" s="23" t="n"/>
    </row>
    <row r="63" hidden="1" ht="69.75" customHeight="1" s="19">
      <c r="A63" s="23" t="inlineStr">
        <is>
          <t>SCR-AUT-01-SC1-TC1</t>
        </is>
      </c>
      <c r="B63" s="23" t="inlineStr">
        <is>
          <t>SCR-AUT-01-SC1</t>
        </is>
      </c>
      <c r="C63" s="23" t="inlineStr">
        <is>
          <t>SCR-AUT-01</t>
        </is>
      </c>
      <c r="D63" s="23" t="inlineStr">
        <is>
          <t>HP-06</t>
        </is>
      </c>
      <c r="E63" s="23" t="inlineStr">
        <is>
          <t>Functional</t>
        </is>
      </c>
      <c r="F63" s="23" t="inlineStr">
        <is>
          <t>Add to Cart bị chặn bởi login gate, đăng nhập xong sản phẩm được tự động thêm</t>
        </is>
      </c>
      <c r="G63" s="23" t="inlineStr">
        <is>
          <t>Guest chưa đăng nhập, đang xem SKU-A có thể thêm vào giỏ.</t>
        </is>
      </c>
      <c r="H63" s="23" t="inlineStr">
        <is>
          <t>1. Bấm 'Add to Cart' trên SKU-A.
2. Quan sát bottom sheet đăng nhập/đăng ký mở ra (không phải full-screen).
3. Chọn 'Sign in', hoàn tất đăng nhập thành công (SĐT+PIN hợp lệ).
4. Kiểm tra giỏ hàng và toast thông báo.</t>
        </is>
      </c>
      <c r="I63" s="23" t="inlineStr">
        <is>
          <t>SKU-A: còn hàng. Tài khoản Member test có sẵn.</t>
        </is>
      </c>
      <c r="J63" s="23" t="inlineStr">
        <is>
          <t>Bước 2: sheet mở đúng ngay khi bấm Add to Cart (chặn trước khi thêm); tiêu đề sheet nêu rõ đang gate cho hành động 'thêm vào giỏ'. Bước 4: SKU-A ĐÃ được tự động thêm vào giỏ (không cần bấm Add to Cart lại), có toast xác nhận; nếu Guest đã có địa chỉ cục bộ, địa chỉ đó đã được đồng bộ lên tài khoản.</t>
        </is>
      </c>
      <c r="K63" s="23" t="inlineStr">
        <is>
          <t>High</t>
        </is>
      </c>
      <c r="L63" s="24" t="n"/>
      <c r="M63" s="24" t="inlineStr">
        <is>
          <t>Not Run</t>
        </is>
      </c>
      <c r="N63" s="24" t="n"/>
      <c r="O63" s="24" t="n"/>
      <c r="P63" s="23" t="n"/>
      <c r="Q63" s="23" t="n"/>
      <c r="R63" s="23" t="n"/>
    </row>
    <row r="64" hidden="1" ht="69.75" customHeight="1" s="19">
      <c r="A64" s="23" t="inlineStr">
        <is>
          <t>SCR-AUT-01-SC2-TC1</t>
        </is>
      </c>
      <c r="B64" s="23" t="inlineStr">
        <is>
          <t>SCR-AUT-01-SC2</t>
        </is>
      </c>
      <c r="C64" s="23" t="inlineStr">
        <is>
          <t>SCR-AUT-01</t>
        </is>
      </c>
      <c r="D64" s="23" t="inlineStr">
        <is>
          <t>HP-07, CT-01</t>
        </is>
      </c>
      <c r="E64" s="23" t="inlineStr">
        <is>
          <t>Functional</t>
        </is>
      </c>
      <c r="F64" s="23" t="inlineStr">
        <is>
          <t>Bấm icon Cart bị chặn bởi login gate, đăng nhập xong Cart mở trực tiếp</t>
        </is>
      </c>
      <c r="G64" s="23" t="inlineStr">
        <is>
          <t>Guest chưa đăng nhập, đã chọn địa chỉ/dịch vụ/khung giờ trên Homepage.</t>
        </is>
      </c>
      <c r="H64" s="23" t="inlineStr">
        <is>
          <t>1. Bấm icon Cart ở tab bar.
2. Quan sát bottom sheet đăng nhập/đăng ký với nội dung riêng cho ngữ cảnh mở Cart.
3. Đăng nhập thành công.
4. Quan sát màn hình kế tiếp và các giá trị địa chỉ/dịch vụ/khung giờ trong Cart.</t>
        </is>
      </c>
      <c r="I64" s="23" t="inlineStr">
        <is>
          <t>Địa chỉ/dịch vụ/khung giờ đã chọn trên Homepage trước khi bấm icon Cart.</t>
        </is>
      </c>
      <c r="J64" s="23" t="inlineStr">
        <is>
          <t>Bước 2: icon Cart luôn hiển thị và tap được (không bị ẩn/disable - BRL-06), mở đúng gate với copy riêng cho 'mở Cart' (khác copy của Add to Cart). Bước 4: Cart MỞ TRỰC TIẾP (không phải thêm sản phẩm); địa chỉ/dịch vụ/khung giờ từ Homepage được mang nguyên vào Cart.</t>
        </is>
      </c>
      <c r="K64" s="23" t="inlineStr">
        <is>
          <t>High</t>
        </is>
      </c>
      <c r="L64" s="24" t="n"/>
      <c r="M64" s="24" t="inlineStr">
        <is>
          <t>Not Run</t>
        </is>
      </c>
      <c r="N64" s="24" t="n"/>
      <c r="O64" s="24" t="n"/>
      <c r="P64" s="23" t="n"/>
      <c r="Q64" s="23" t="n"/>
      <c r="R64" s="23" t="n"/>
    </row>
    <row r="65" hidden="1" ht="69.75" customHeight="1" s="19">
      <c r="A65" s="23" t="inlineStr">
        <is>
          <t>SCR-AUT-01-SC3-TC1</t>
        </is>
      </c>
      <c r="B65" s="23" t="inlineStr">
        <is>
          <t>SCR-AUT-01-SC3</t>
        </is>
      </c>
      <c r="C65" s="23" t="inlineStr">
        <is>
          <t>SCR-AUT-01</t>
        </is>
      </c>
      <c r="D65" s="23" t="inlineStr">
        <is>
          <t>HP-06, HP-07</t>
        </is>
      </c>
      <c r="E65" s="23" t="inlineStr">
        <is>
          <t>Negative</t>
        </is>
      </c>
      <c r="F65" s="23" t="inlineStr">
        <is>
          <t>Huỷ (Cancel) sheet đăng nhập từ cả 2 lối vào không làm mất ngữ cảnh đang duyệt</t>
        </is>
      </c>
      <c r="G65" s="23" t="inlineStr">
        <is>
          <t>Guest chưa đăng nhập.</t>
        </is>
      </c>
      <c r="H65" s="23" t="inlineStr">
        <is>
          <t>1. Bấm Add to Cart trên SKU-B, khi sheet đăng nhập mở, bấm Cancel/vuốt đóng sheet.
2. Kiểm tra giỏ hàng và màn hình hiện tại.
3. Bấm icon Cart, khi sheet đăng nhập mở, bấm Cancel.
4. Kiểm tra Cart và màn hình hiện tại.</t>
        </is>
      </c>
      <c r="I65" s="23" t="inlineStr">
        <is>
          <t>SKU-B: còn hàng, chưa có trong giỏ.</t>
        </is>
      </c>
      <c r="J65" s="23" t="inlineStr">
        <is>
          <t>Bước 2: quay về đúng trang sản phẩm/Homepage như trước đó, SKU-B KHÔNG được thêm vào giỏ. Bước 4: quay về Homepage, Cart KHÔNG được mở. Cả 2 trường hợp đều không mất dữ liệu/ngữ cảnh đang duyệt (BRL-08).</t>
        </is>
      </c>
      <c r="K65" s="23" t="inlineStr">
        <is>
          <t>High</t>
        </is>
      </c>
      <c r="L65" s="24" t="n"/>
      <c r="M65" s="24" t="inlineStr">
        <is>
          <t>Not Run</t>
        </is>
      </c>
      <c r="N65" s="24" t="n"/>
      <c r="O65" s="24" t="n"/>
      <c r="P65" s="23" t="n"/>
      <c r="Q65" s="23" t="n"/>
      <c r="R65" s="23" t="n"/>
    </row>
    <row r="66" hidden="1" ht="90" customHeight="1" s="19">
      <c r="A66" s="23" t="inlineStr">
        <is>
          <t>SCR-AUT-01-SC4-TC1</t>
        </is>
      </c>
      <c r="B66" s="23" t="inlineStr">
        <is>
          <t>SCR-AUT-01-SC4</t>
        </is>
      </c>
      <c r="C66" s="23" t="inlineStr">
        <is>
          <t>SCR-AUT-01</t>
        </is>
      </c>
      <c r="D66" s="23" t="inlineStr">
        <is>
          <t>HP-06</t>
        </is>
      </c>
      <c r="E66" s="23" t="inlineStr">
        <is>
          <t>Normal</t>
        </is>
      </c>
      <c r="F66" s="23" t="inlineStr">
        <is>
          <t>Bấm 'Register' từ login gate mở đúng luồng đăng ký và resume đúng thao tác ban đầu</t>
        </is>
      </c>
      <c r="G66" s="23" t="inlineStr">
        <is>
          <t>Guest chưa có tài khoản, đang xem SKU-C có thể thêm vào giỏ.</t>
        </is>
      </c>
      <c r="H66" s="23" t="inlineStr">
        <is>
          <t>1. Bấm 'Add to Cart' trên SKU-C, khi bottom sheet gate mở, bấm 'New customer - Register'.
2. Quan sát màn hình mở ra - xác nhận đây là SCR-AUT-02 ở chế độ ĐĂNG KÝ (không phải đăng nhập).
3. Hoàn tất luồng đăng ký (SĐT+OTP+PIN+hồ sơ) thành công.
4. Kiểm tra giỏ hàng và toast thông báo.
5. Lặp lại từ đầu nhưng trigger bằng Cart icon thay vì Add to Cart, xác nhận Cart mở trực tiếp sau khi đăng ký xong.</t>
        </is>
      </c>
      <c r="I66" s="23" t="inlineStr">
        <is>
          <t>SKU-C: còn hàng. SĐT test chưa từng đăng ký tài khoản nào.</t>
        </is>
      </c>
      <c r="J66" s="23" t="inlineStr">
        <is>
          <t>Bước 2: đúng SCR-AUT-02 chế độ đăng ký. Bước 4: SKU-C đã được tự động thêm vào giỏ (giống hệt luồng Sign-in ở SC1), có toast xác nhận, tài khoản tự động đăng nhập ngay sau khi tạo (không có bước đăng nhập riêng - SU-06). Bước 5: Cart mở trực tiếp, không thêm sản phẩm nào.</t>
        </is>
      </c>
      <c r="K66" s="23" t="inlineStr">
        <is>
          <t>High</t>
        </is>
      </c>
      <c r="L66" s="24" t="n"/>
      <c r="M66" s="24" t="inlineStr">
        <is>
          <t>Not Run</t>
        </is>
      </c>
      <c r="N66" s="24" t="n"/>
      <c r="O66" s="24" t="n"/>
      <c r="P66" s="23" t="n"/>
      <c r="Q66" s="23" t="inlineStr">
        <is>
          <t>Bổ sung theo yêu cầu review 28/08/2026 - SC1/SC2/SC3 trước đó chỉ test nhánh Sign-in và Cancel, chưa test riêng nhánh Register.</t>
        </is>
      </c>
      <c r="R66" s="23" t="n"/>
    </row>
    <row r="67" hidden="1" ht="69.75" customHeight="1" s="19">
      <c r="A67" s="23" t="inlineStr">
        <is>
          <t>SCR-AUT-02-SC1-TC1</t>
        </is>
      </c>
      <c r="B67" s="23" t="inlineStr">
        <is>
          <t>SCR-AUT-02-SC1</t>
        </is>
      </c>
      <c r="C67" s="23" t="inlineStr">
        <is>
          <t>SCR-AUT-02</t>
        </is>
      </c>
      <c r="D67" s="23" t="inlineStr">
        <is>
          <t>SU-01, SU-02, SU-03</t>
        </is>
      </c>
      <c r="E67" s="23" t="inlineStr">
        <is>
          <t>Functional</t>
        </is>
      </c>
      <c r="F67" s="23" t="inlineStr">
        <is>
          <t>Đăng ký bằng SĐT hợp lệ, kênh Zalo mặc định, OTP đúng dẫn đến màn tạo PIN</t>
        </is>
      </c>
      <c r="G67" s="23" t="inlineStr">
        <is>
          <t>Đang ở màn 'Chọn Đăng ký' từ login gate.</t>
        </is>
      </c>
      <c r="H67" s="23" t="inlineStr">
        <is>
          <t>1. Nhập SĐT đúng định dạng di động VN (ví dụ 09xxxxxxxx).
2. Quan sát kênh OTP mặc định là Zalo, có nhãn 'Recommended'.
3. Bấm gửi OTP.
4. Nhập đúng mã OTP nhận được.
5. Quan sát màn kế tiếp.</t>
        </is>
      </c>
      <c r="I67" s="23" t="inlineStr">
        <is>
          <t>SĐT test: 0912345678 (chưa đăng ký). OTP hợp lệ từ môi trường test.</t>
        </is>
      </c>
      <c r="J67" s="23" t="inlineStr">
        <is>
          <t>Zalo là kênh mặc định và đã được chọn sẵn; sau OTP đúng, chuyển sang SCR-AUT-03 (Tạo PIN) mà không lỗi.</t>
        </is>
      </c>
      <c r="K67" s="23" t="inlineStr">
        <is>
          <t>High</t>
        </is>
      </c>
      <c r="L67" s="24" t="n"/>
      <c r="M67" s="24" t="inlineStr">
        <is>
          <t>Not Run</t>
        </is>
      </c>
      <c r="N67" s="24" t="n"/>
      <c r="O67" s="24" t="n"/>
      <c r="P67" s="23" t="n"/>
      <c r="Q67" s="23" t="n"/>
      <c r="R67" s="23" t="inlineStr">
        <is>
          <t>[Review trước đó — ĐÃ ĐƯỢC XỬ LÝ] Gap 'thiếu test OTP sai 1 lần' đã được bổ sung bằng test case mới SCR-AUT-02-SC1-TC4 (thêm theo Review 25/08/2026). Không cần sửa gì thêm ở TC1 này.</t>
        </is>
      </c>
    </row>
    <row r="68" hidden="1" ht="69.75" customHeight="1" s="19">
      <c r="A68" s="23" t="inlineStr">
        <is>
          <t>SCR-AUT-02-SC1-TC2</t>
        </is>
      </c>
      <c r="B68" s="23" t="inlineStr">
        <is>
          <t>SCR-AUT-02-SC1</t>
        </is>
      </c>
      <c r="C68" s="23" t="inlineStr">
        <is>
          <t>SCR-AUT-02</t>
        </is>
      </c>
      <c r="D68" s="23" t="inlineStr">
        <is>
          <t>SU-03</t>
        </is>
      </c>
      <c r="E68" s="23" t="inlineStr">
        <is>
          <t>Boundary</t>
        </is>
      </c>
      <c r="F68" s="23" t="inlineStr">
        <is>
          <t>Nút Resend bị disable trong thời gian đếm ngược ngay sau khi gửi OTP</t>
        </is>
      </c>
      <c r="G68" s="23" t="inlineStr">
        <is>
          <t>Vừa bấm gửi OTP lần đầu.</t>
        </is>
      </c>
      <c r="H68" s="23" t="inlineStr">
        <is>
          <t>1. Bấm gửi OTP.
2. Ngay lập tức kiểm tra trạng thái nút Resend.
3. Chờ hết thời gian đếm ngược hiển thị trên màn hình.
4. Kiểm tra lại trạng thái nút Resend.</t>
        </is>
      </c>
      <c r="I68" s="23" t="inlineStr">
        <is>
          <t>N/A.</t>
        </is>
      </c>
      <c r="J68" s="23" t="inlineStr">
        <is>
          <t>Bước 2: Resend ở trạng thái disabled kèm đồng hồ đếm ngược. Bước 4: sau khi đếm ngược về 0, Resend chuyển sang enabled (BRL-15).</t>
        </is>
      </c>
      <c r="K68" s="23" t="inlineStr">
        <is>
          <t>Medium</t>
        </is>
      </c>
      <c r="L68" s="24" t="n"/>
      <c r="M68" s="24" t="inlineStr">
        <is>
          <t>Not Run</t>
        </is>
      </c>
      <c r="N68" s="24" t="n"/>
      <c r="O68" s="24" t="n"/>
      <c r="P68" s="23" t="n"/>
      <c r="Q68" s="23" t="n"/>
      <c r="R68" s="23" t="inlineStr">
        <is>
          <t>Test Data đang ghi 'N/A' nhưng bước 2/4 cần biết CHÍNH XÁC thời lượng đếm ngược Resend (bao nhiêu giây) để tester biết chờ đúng thời gian rồi mới kiểm tra nút chuyển sang enabled. Giá trị cụ thể chưa có trong SRS (chỉ nói 'countdown period' — BRL-15), nên ghi rõ trong Test Data là 'giá trị cấu hình thực tế, xin BA/Dev xác nhận trước khi thực thi' thay vì để trống N/A.</t>
        </is>
      </c>
    </row>
    <row r="69" hidden="1" ht="69.75" customHeight="1" s="19">
      <c r="A69" s="23" t="inlineStr">
        <is>
          <t>SCR-AUT-02-SC1-TC3</t>
        </is>
      </c>
      <c r="B69" s="23" t="inlineStr">
        <is>
          <t>SCR-AUT-02-SC1</t>
        </is>
      </c>
      <c r="C69" s="23" t="inlineStr">
        <is>
          <t>SCR-AUT-02</t>
        </is>
      </c>
      <c r="D69" s="23" t="inlineStr">
        <is>
          <t>SU-01, SU-02</t>
        </is>
      </c>
      <c r="E69" s="23" t="inlineStr">
        <is>
          <t>Negative</t>
        </is>
      </c>
      <c r="F69" s="23" t="inlineStr">
        <is>
          <t>Nhập số điện thoại sai định dạng ở màn Đăng ký báo lỗi rõ ràng</t>
        </is>
      </c>
      <c r="G69" s="23" t="inlineStr">
        <is>
          <t>Đang ở màn nhập số điện thoại của Đăng ký (SCR-AUT-02).</t>
        </is>
      </c>
      <c r="H69" s="23" t="inlineStr">
        <is>
          <t>1. Nhập số điện thoại sai định dạng, lần lượt: '0912' (thiếu số), '091234abcd' (có chữ xen vào), '912345678' (thiếu số 0 đầu).
2. Với mỗi giá trị, bấm Tiếp tục / gửi OTP.
3. Quan sát thông báo lỗi và ô nhập.</t>
        </is>
      </c>
      <c r="I69" s="23" t="inlineStr">
        <is>
          <t>SĐT sai định dạng: '0912', '091234abcd', '912345678'.</t>
        </is>
      </c>
      <c r="J69" s="23" t="inlineStr">
        <is>
          <t>Bước 2: hệ thống KHÔNG cho gửi OTP (chặn ngay tại bước nhập, không gọi tới bước gửi OTP). Bước 3: hiển thị thông báo lỗi định dạng số điện thoại rõ ràng ngay tại ô nhập; ô SĐT giữ nguyên giá trị vừa gõ để khách sửa lại.</t>
        </is>
      </c>
      <c r="K69" s="23" t="inlineStr">
        <is>
          <t>Medium</t>
        </is>
      </c>
      <c r="L69" s="24" t="n"/>
      <c r="M69" s="24" t="inlineStr">
        <is>
          <t>Not Run</t>
        </is>
      </c>
      <c r="N69" s="24" t="n"/>
      <c r="O69" s="24" t="n"/>
      <c r="P69" s="23" t="n"/>
      <c r="Q69" s="23" t="inlineStr">
        <is>
          <t>Bổ sung theo Review 25/08/2026 - trước đó chỉ test SĐT đã đăng ký/chưa đăng ký, chưa test gõ sai kiểu số ngay từ đầu.</t>
        </is>
      </c>
      <c r="R69" s="23" t="n"/>
    </row>
    <row r="70" hidden="1" ht="69.75" customHeight="1" s="19">
      <c r="A70" s="25" t="inlineStr">
        <is>
          <t>SCR-AUT-02-SC1-TC4</t>
        </is>
      </c>
      <c r="B70" s="25" t="inlineStr">
        <is>
          <t>SCR-AUT-02-SC1</t>
        </is>
      </c>
      <c r="C70" s="25" t="inlineStr">
        <is>
          <t>SCR-AUT-02</t>
        </is>
      </c>
      <c r="D70" s="25" t="inlineStr">
        <is>
          <t>SU-03</t>
        </is>
      </c>
      <c r="E70" s="25" t="inlineStr">
        <is>
          <t>Negative</t>
        </is>
      </c>
      <c r="F70" s="25" t="inlineStr">
        <is>
          <t>Nhập sai OTP đúng 1 lần (chưa bị khoá) hiển thị lỗi dễ hiểu và cho nhập lại ngay</t>
        </is>
      </c>
      <c r="G70" s="25" t="inlineStr">
        <is>
          <t>Đã bấm gửi OTP thành công ở màn Đăng ký, chưa từng nhập sai lần nào trước đó.</t>
        </is>
      </c>
      <c r="H70" s="25" t="inlineStr">
        <is>
          <t>1. Nhận OTP hợp lệ nhưng nhập SAI 1 lần (ví dụ đổi 1 chữ số cuối).
2. Quan sát thông báo lỗi.
3. Nhập lại đúng OTP ngay sau đó.</t>
        </is>
      </c>
      <c r="I70" s="25" t="inlineStr">
        <is>
          <t>OTP đúng: mã hợp lệ từ môi trường test. OTP sai dùng để test: đổi 1 chữ số cuối của mã đúng.</t>
        </is>
      </c>
      <c r="J70" s="25" t="inlineStr">
        <is>
          <t>Bước 2: hiển thị lỗi 'Mã OTP không đúng, vui lòng thử lại' (không phải lỗi bị khoá tài khoản), ô nhập vẫn cho gõ lại ngay, không cần gửi lại mã mới. Bước 3: nhập đúng OTP thành công, chuyển sang màn tiếp theo bình thường - CHƯA bị khoá vì mới sai 1 lần (ngưỡng khoá chính thức chờ xác nhận ở QnA-03).</t>
        </is>
      </c>
      <c r="K70" s="25" t="inlineStr">
        <is>
          <t>Medium</t>
        </is>
      </c>
      <c r="L70" s="24" t="n"/>
      <c r="M70" s="24" t="inlineStr">
        <is>
          <t>Not Run</t>
        </is>
      </c>
      <c r="N70" s="24" t="n"/>
      <c r="O70" s="24" t="n"/>
      <c r="P70" s="25" t="inlineStr">
        <is>
          <t>QnA-03</t>
        </is>
      </c>
      <c r="Q70" s="25" t="inlineStr">
        <is>
          <t>Bổ sung theo Review 25/08/2026 - trước đó chỉ có test OTP đúng và test sai quá nhiều lần (bị khoá), thiếu bước cơ bản nhất là sai đúng 1 lần.</t>
        </is>
      </c>
      <c r="R70" s="23" t="n"/>
    </row>
    <row r="71" hidden="1" ht="69.75" customHeight="1" s="19">
      <c r="A71" s="25" t="inlineStr">
        <is>
          <t>SCR-AUT-02-SC1-TC5</t>
        </is>
      </c>
      <c r="B71" s="25" t="inlineStr">
        <is>
          <t>SCR-AUT-02-SC1</t>
        </is>
      </c>
      <c r="C71" s="25" t="inlineStr">
        <is>
          <t>SCR-AUT-02</t>
        </is>
      </c>
      <c r="D71" s="25" t="inlineStr">
        <is>
          <t>SU-03</t>
        </is>
      </c>
      <c r="E71" s="25" t="inlineStr">
        <is>
          <t>Boundary</t>
        </is>
      </c>
      <c r="F71" s="25" t="inlineStr">
        <is>
          <t>Nhập mã OTP đã hết hạn hiệu lực - TBD chờ QnA-39</t>
        </is>
      </c>
      <c r="G71" s="25" t="inlineStr">
        <is>
          <t>Đã gửi OTP thành công qua kênh bất kỳ, mã OTP còn hiển thị trên màn nhập.</t>
        </is>
      </c>
      <c r="H71" s="25" t="inlineStr">
        <is>
          <t>1. Bấm gửi OTP.
2. CHỜ một khoảng thời gian dài hơn nhiều so với thời gian đếm ngược Resend (ví dụ chờ 15-20 phút, hoặc dùng thời gian hệ thống giả lập) mà KHÔNG bấm Gửi lại mã.
3. Nhập đúng mã OTP đã nhận ban đầu (mã cũ, không phải mã mới) vào ô nhập.
4. GHI NHẬN hành vi thực tế: hệ thống chấp nhận mã cũ, hay báo lỗi 'mã đã hết hạn'.</t>
        </is>
      </c>
      <c r="I71" s="25" t="inlineStr">
        <is>
          <t>Mã OTP hợp lệ ban đầu, thời gian chờ giả lập vượt xa thời lượng đếm ngược Resend (SU-03/BRL-15).</t>
        </is>
      </c>
      <c r="J71" s="25" t="inlineStr">
        <is>
          <t>TBD - Expected Result cụ thể (mã OTP có tự hết hạn hay không, và sau bao lâu) đang chờ câu trả lời QnA-39. Người thực thi KHÔNG tự ý chấm Pass/Fail cho bước 4 khi chưa có câu trả lời chính thức - chỉ ghi nhận hành vi thực tế để đối chiếu.</t>
        </is>
      </c>
      <c r="K71" s="25" t="inlineStr">
        <is>
          <t>Medium</t>
        </is>
      </c>
      <c r="L71" s="24" t="n"/>
      <c r="M71" s="24" t="inlineStr">
        <is>
          <t>Not Run</t>
        </is>
      </c>
      <c r="N71" s="24" t="n"/>
      <c r="O71" s="24" t="n"/>
      <c r="P71" s="25" t="inlineStr">
        <is>
          <t>QnA-39</t>
        </is>
      </c>
      <c r="Q71" s="25" t="inlineStr">
        <is>
          <t>Bổ sung theo yêu cầu review 26/08/2026 (đóng gap OTP hết hạn đã ghi trong QnA-39 nhưng trước đó chưa có test case TBD đi kèm, khác với QnA-38/QnA-40 đã có).</t>
        </is>
      </c>
      <c r="R71" s="23" t="n"/>
    </row>
    <row r="72" hidden="1" ht="90" customHeight="1" s="19">
      <c r="A72" s="25" t="inlineStr">
        <is>
          <t>SCR-AUT-02-SC1-TC6</t>
        </is>
      </c>
      <c r="B72" s="25" t="inlineStr">
        <is>
          <t>SCR-AUT-02-SC1</t>
        </is>
      </c>
      <c r="C72" s="25" t="inlineStr">
        <is>
          <t>SCR-AUT-02</t>
        </is>
      </c>
      <c r="D72" s="25" t="inlineStr">
        <is>
          <t>SU-03</t>
        </is>
      </c>
      <c r="E72" s="25" t="inlineStr">
        <is>
          <t>Functional</t>
        </is>
      </c>
      <c r="F72" s="25" t="inlineStr">
        <is>
          <t>Nhập mã OTP bằng cả 2 cách - gõ tay từng số và dán (paste)/tự động điền từ SMS</t>
        </is>
      </c>
      <c r="G72" s="25" t="inlineStr">
        <is>
          <t>Đã gửi OTP thành công qua kênh bất kỳ, đang ở màn nhập OTP.</t>
        </is>
      </c>
      <c r="H72" s="25" t="inlineStr">
        <is>
          <t>1. Nhận mã OTP, gõ tay lần lượt từng số vào 6 ô nhập, xác nhận hệ thống chấp nhận.
2. Lặp lại với 1 mã OTP mới: copy mã từ SMS/Zalo, thử dán (paste) hoặc quan sát tính năng tự động điền (autofill) có xuất hiện không.
3. Ghi nhận hệ thống có hỗ trợ dán/autofill hay chỉ cho gõ tay.</t>
        </is>
      </c>
      <c r="I72" s="25" t="inlineStr">
        <is>
          <t>OTP hợp lệ từ môi trường test (2 lượt gửi khác nhau cho bước 1 và bước 2).</t>
        </is>
      </c>
      <c r="J72" s="25" t="inlineStr">
        <is>
          <t>Bước 1: gõ tay từng số luôn hoạt động bình thường. Bước 2-3: TBD - có hỗ trợ dán/autofill OTP hay không đang chờ QnA-70; ghi nhận hành vi thực tế, không tự ý chấm Pass/Fail cho phần autofill/paste khi chưa có câu trả lời chính thức.</t>
        </is>
      </c>
      <c r="K72" s="25" t="inlineStr">
        <is>
          <t>Medium</t>
        </is>
      </c>
      <c r="L72" s="24" t="n"/>
      <c r="M72" s="24" t="inlineStr">
        <is>
          <t>Not Run</t>
        </is>
      </c>
      <c r="N72" s="24" t="n"/>
      <c r="O72" s="24" t="n"/>
      <c r="P72" s="25" t="inlineStr">
        <is>
          <t>QnA-70</t>
        </is>
      </c>
      <c r="Q72" s="25" t="inlineStr">
        <is>
          <t>Bổ sung theo yêu cầu review 28/08/2026. Trước đó các test case OTP (TC1-TC5) chỉ giả định nhập tay, chưa kiểm tra khả năng dán/autofill.</t>
        </is>
      </c>
      <c r="R72" s="23" t="n"/>
    </row>
    <row r="73" hidden="1" ht="69.75" customHeight="1" s="19">
      <c r="A73" s="25" t="inlineStr">
        <is>
          <t>SCR-AUT-02-SC2-TC1</t>
        </is>
      </c>
      <c r="B73" s="25" t="inlineStr">
        <is>
          <t>SCR-AUT-02-SC2</t>
        </is>
      </c>
      <c r="C73" s="25" t="inlineStr">
        <is>
          <t>SCR-AUT-02</t>
        </is>
      </c>
      <c r="D73" s="25" t="inlineStr">
        <is>
          <t>SU-03</t>
        </is>
      </c>
      <c r="E73" s="25" t="inlineStr">
        <is>
          <t>Negative</t>
        </is>
      </c>
      <c r="F73" s="25" t="inlineStr">
        <is>
          <t>Không tự động fallback sang SMS khi Zalo thất bại - phải đổi kênh thủ công</t>
        </is>
      </c>
      <c r="G73" s="25" t="inlineStr">
        <is>
          <t>Đã gửi OTP qua Zalo, kênh Zalo được giả lập thất bại giao (không nhận được tin).</t>
        </is>
      </c>
      <c r="H73" s="25" t="inlineStr">
        <is>
          <t>1. Gửi OTP qua Zalo (giả lập không nhận được).
2. Chờ hết đếm ngược Resend.
3. Kiểm tra hệ thống CÓ tự động chuyển sang SMS hay không (kỳ vọng: không).
4. Chủ động bấm 'đổi kênh' chọn SMS.
5. Kiểm tra OTP mới được gửi qua SMS.</t>
        </is>
      </c>
      <c r="I73" s="25" t="inlineStr">
        <is>
          <t>SĐT test, kênh Zalo giả lập lỗi.</t>
        </is>
      </c>
      <c r="J73" s="25" t="inlineStr">
        <is>
          <t>Bước 3: hệ thống KHÔNG tự động gửi lại qua SMS. Bước 5: chỉ sau khi khách chủ động đổi kênh, OTP mới được gửi qua SMS.</t>
        </is>
      </c>
      <c r="K73" s="25" t="inlineStr">
        <is>
          <t>High</t>
        </is>
      </c>
      <c r="L73" s="24" t="n"/>
      <c r="M73" s="24" t="inlineStr">
        <is>
          <t>Not Run</t>
        </is>
      </c>
      <c r="N73" s="24" t="n"/>
      <c r="O73" s="24" t="n"/>
      <c r="P73" s="25" t="inlineStr">
        <is>
          <t>QnA-08</t>
        </is>
      </c>
      <c r="Q73" s="25" t="inlineStr">
        <is>
          <t>Cần Dev xác nhận kỹ thuật thật sự không có auto-fallback (OQ-08/QnA-08) - test này dùng để xác minh hành vi trước khi đóng OQ-08.</t>
        </is>
      </c>
      <c r="R73" s="23" t="n"/>
    </row>
    <row r="74" hidden="1" ht="90" customHeight="1" s="19">
      <c r="A74" s="23" t="inlineStr">
        <is>
          <t>SCR-AUT-02-SC2-TC2</t>
        </is>
      </c>
      <c r="B74" s="23" t="inlineStr">
        <is>
          <t>SCR-AUT-02-SC2</t>
        </is>
      </c>
      <c r="C74" s="23" t="inlineStr">
        <is>
          <t>SCR-AUT-02</t>
        </is>
      </c>
      <c r="D74" s="23" t="inlineStr">
        <is>
          <t>SU-03</t>
        </is>
      </c>
      <c r="E74" s="23" t="inlineStr">
        <is>
          <t>Functional</t>
        </is>
      </c>
      <c r="F74" s="23" t="inlineStr">
        <is>
          <t>Bấm nút Resend sau khi hết đếm ngược - mã mới được gửi lại trên CÙNG kênh đang chọn, không tự đổi sang SMS</t>
        </is>
      </c>
      <c r="G74" s="23" t="inlineStr">
        <is>
          <t>Đã gửi OTP qua Zalo (kênh mặc định), đã hết thời gian đếm ngược Resend, CHƯA chủ động đổi kênh.</t>
        </is>
      </c>
      <c r="H74" s="23" t="inlineStr">
        <is>
          <t>1. Chờ hết đếm ngược Resend, quan sát nút Resend chuyển sang enabled.
2. Bấm trực tiếp nút Resend (không bấm 'đổi kênh').
3. Quan sát kênh nhận mã mới và trạng thái đếm ngược.</t>
        </is>
      </c>
      <c r="I74" s="23" t="inlineStr">
        <is>
          <t>SĐT test, kênh đang chọn là Zalo.</t>
        </is>
      </c>
      <c r="J74" s="23" t="inlineStr">
        <is>
          <t>Bấm Resend chỉ gửi lại mã MỚI trên CÙNG kênh Zalo đang chọn (không tự động chuyển sang SMS); đếm ngược Resend được khởi động lại từ đầu sau khi bấm.</t>
        </is>
      </c>
      <c r="K74" s="23" t="inlineStr">
        <is>
          <t>Medium</t>
        </is>
      </c>
      <c r="L74" s="24" t="n"/>
      <c r="M74" s="24" t="inlineStr">
        <is>
          <t>Not Run</t>
        </is>
      </c>
      <c r="N74" s="24" t="n"/>
      <c r="O74" s="24" t="n"/>
      <c r="P74" s="23" t="n"/>
      <c r="Q74" s="23" t="inlineStr">
        <is>
          <t>Bổ sung theo yêu cầu review 28/08/2026. SC2-TC1 trước đó chỉ test nhánh chủ động ĐỔI KÊNH sang SMS; chưa test riêng hành vi của chính nút Resend khi khách KHÔNG đổi kênh.</t>
        </is>
      </c>
      <c r="R74" s="23" t="n"/>
    </row>
    <row r="75" hidden="1" ht="150" customHeight="1" s="19">
      <c r="A75" s="23" t="inlineStr">
        <is>
          <t>SCR-AUT-02-SC2-TC3</t>
        </is>
      </c>
      <c r="B75" s="23" t="inlineStr">
        <is>
          <t>SCR-AUT-02-SC2</t>
        </is>
      </c>
      <c r="C75" s="23" t="inlineStr">
        <is>
          <t>SCR-AUT-02</t>
        </is>
      </c>
      <c r="D75" s="23" t="inlineStr">
        <is>
          <t>SU-03</t>
        </is>
      </c>
      <c r="E75" s="23" t="inlineStr">
        <is>
          <t>Functional</t>
        </is>
      </c>
      <c r="F75" s="23" t="inlineStr">
        <is>
          <t>Nút Resend hoạt động đúng khi kênh đang chọn là SMS (không chỉ riêng Zalo)</t>
        </is>
      </c>
      <c r="G75" s="23" t="inlineStr">
        <is>
          <t>Đã chủ động đổi kênh sang SMS và nhận OTP qua SMS thành công.</t>
        </is>
      </c>
      <c r="H75" s="23" t="inlineStr">
        <is>
          <t>1. Ở màn nhập OTP với kênh đang chọn là SMS, chờ hết đếm ngược Resend.
2. Bấm nút Resend.
3. Quan sát kênh nhận mã mới và trạng thái đếm ngược.</t>
        </is>
      </c>
      <c r="I75" s="23" t="inlineStr">
        <is>
          <t>SĐT test, kênh đang chọn là SMS (đã đổi từ Zalo).</t>
        </is>
      </c>
      <c r="J75" s="23" t="inlineStr">
        <is>
          <t>Resend gửi lại mã mới qua đúng kênh SMS đang chọn (không tự quay lại Zalo); đếm ngược khởi động lại như hành vi đã xác nhận ở kênh Zalo (SC2-TC2) - hành vi Resend phải nhất quán giữa 2 kênh.</t>
        </is>
      </c>
      <c r="K75" s="23" t="inlineStr">
        <is>
          <t>Low</t>
        </is>
      </c>
      <c r="L75" s="24" t="n"/>
      <c r="M75" s="24" t="inlineStr">
        <is>
          <t>Not Run</t>
        </is>
      </c>
      <c r="N75" s="24" t="n"/>
      <c r="O75" s="24" t="n"/>
      <c r="P75" s="23" t="n"/>
      <c r="Q75" s="23" t="inlineStr">
        <is>
          <t>Bổ sung theo yêu cầu review 28/08/2026. Các test case Resend trước đó (SC2-TC1, SC2-TC2 mới) chỉ test trên nền kênh Zalo; bổ sung để đảm bảo Resend cũng hoạt động đúng khi kênh hiện tại là SMS.</t>
        </is>
      </c>
      <c r="R75" s="23" t="n"/>
    </row>
    <row r="76" hidden="1" ht="69.75" customHeight="1" s="19">
      <c r="A76" s="23" t="inlineStr">
        <is>
          <t>SCR-AUT-02-SC3-TC1</t>
        </is>
      </c>
      <c r="B76" s="23" t="inlineStr">
        <is>
          <t>SCR-AUT-02-SC3</t>
        </is>
      </c>
      <c r="C76" s="23" t="inlineStr">
        <is>
          <t>SCR-AUT-02</t>
        </is>
      </c>
      <c r="D76" s="23" t="inlineStr">
        <is>
          <t>SU-09</t>
        </is>
      </c>
      <c r="E76" s="23" t="inlineStr">
        <is>
          <t>Negative</t>
        </is>
      </c>
      <c r="F76" s="23" t="inlineStr">
        <is>
          <t>Đăng ký với SĐT đã tồn tại báo lỗi và CTA chuyển sang Sign in</t>
        </is>
      </c>
      <c r="G76" s="23" t="inlineStr">
        <is>
          <t>Có sẵn 1 tài khoản Member với SĐT 0987654321.</t>
        </is>
      </c>
      <c r="H76" s="23" t="inlineStr">
        <is>
          <t>1. Ở màn nhập SĐT của Signup, nhập '0987654321'.
2. Bấm Tiếp tục / gửi OTP.
3. Quan sát thông báo lỗi và ô nhập SĐT.
4. Quan sát CTA chính.</t>
        </is>
      </c>
      <c r="I76" s="23" t="inlineStr">
        <is>
          <t>SĐT đã đăng ký: 0987654321.</t>
        </is>
      </c>
      <c r="J76" s="23" t="inlineStr">
        <is>
          <t>Báo lỗi 'số điện thoại đã được đăng ký'; ô SĐT VẪN giữ nguyên giá trị vừa nhập; CTA chính đổi thành 'Đăng nhập' với SĐT đã điền sẵn.</t>
        </is>
      </c>
      <c r="K76" s="23" t="inlineStr">
        <is>
          <t>High</t>
        </is>
      </c>
      <c r="L76" s="24" t="n"/>
      <c r="M76" s="24" t="inlineStr">
        <is>
          <t>Not Run</t>
        </is>
      </c>
      <c r="N76" s="24" t="n"/>
      <c r="O76" s="24" t="n"/>
      <c r="P76" s="23" t="n"/>
      <c r="Q76" s="23" t="n"/>
      <c r="R76" s="23" t="inlineStr">
        <is>
          <t>[Review trước đó — ĐÃ ĐƯỢC XỬ LÝ] Gap 'thiếu test SĐT sai định dạng' đã được bổ sung bằng test case mới SCR-AUT-02-SC1-TC3. Không cần sửa gì thêm ở TC1 này.</t>
        </is>
      </c>
    </row>
    <row r="77" hidden="1" ht="105" customHeight="1" s="19">
      <c r="A77" s="25" t="inlineStr">
        <is>
          <t>SCR-AUT-02-SC4-TC1</t>
        </is>
      </c>
      <c r="B77" s="25" t="inlineStr">
        <is>
          <t>SCR-AUT-02-SC4</t>
        </is>
      </c>
      <c r="C77" s="25" t="inlineStr">
        <is>
          <t>SCR-AUT-02</t>
        </is>
      </c>
      <c r="D77" s="25" t="inlineStr">
        <is>
          <t>SU-01, SU-02, SU-03</t>
        </is>
      </c>
      <c r="E77" s="25" t="inlineStr">
        <is>
          <t>Negative</t>
        </is>
      </c>
      <c r="F77" s="25" t="inlineStr">
        <is>
          <t>Nhập SĐT đúng định dạng nhưng CHƯA ACTIVE trên mạng viễn thông</t>
        </is>
      </c>
      <c r="G77" s="25" t="inlineStr">
        <is>
          <t>Có sẵn 1 SĐT đúng định dạng di động VN nhưng chưa được kích hoạt/không tồn tại trên mạng (ví dụ SIM chưa nạp/số ảo test).</t>
        </is>
      </c>
      <c r="H77" s="25" t="inlineStr">
        <is>
          <t>1. Nhập SĐT chưa active vào màn Đăng ký.
2. Bấm Tiếp tục/gửi OTP.
3. Quan sát thông báo và trạng thái các bước tiếp theo (có cho chọn kênh OTP không, có bấm gửi được không).</t>
        </is>
      </c>
      <c r="I77" s="25" t="inlineStr">
        <is>
          <t>SĐT đúng định dạng nhưng chưa active (test data cụ thể cần môi trường test xác nhận).</t>
        </is>
      </c>
      <c r="J77" s="25" t="inlineStr">
        <is>
          <t>TBD - đang chờ QnA-69. Ghi nhận hành vi thực tế: hệ thống có phát hiện được số chưa active TRƯỚC khi cho bấm gửi OTP hay chỉ phát hiện SAU khi gửi (do OTP không tới được).</t>
        </is>
      </c>
      <c r="K77" s="25" t="inlineStr">
        <is>
          <t>High</t>
        </is>
      </c>
      <c r="L77" s="24" t="n"/>
      <c r="M77" s="24" t="inlineStr">
        <is>
          <t>Not Run</t>
        </is>
      </c>
      <c r="N77" s="24" t="n"/>
      <c r="O77" s="24" t="n"/>
      <c r="P77" s="25" t="inlineStr">
        <is>
          <t>QnA-69</t>
        </is>
      </c>
      <c r="Q77" s="25" t="inlineStr">
        <is>
          <t>Bổ sung theo yêu cầu review 28/08/2026.</t>
        </is>
      </c>
      <c r="R77" s="23" t="n"/>
    </row>
    <row r="78" hidden="1" ht="90" customHeight="1" s="19">
      <c r="A78" s="25" t="inlineStr">
        <is>
          <t>SCR-AUT-02-SC4-TC2</t>
        </is>
      </c>
      <c r="B78" s="25" t="inlineStr">
        <is>
          <t>SCR-AUT-02-SC4</t>
        </is>
      </c>
      <c r="C78" s="25" t="inlineStr">
        <is>
          <t>SCR-AUT-02</t>
        </is>
      </c>
      <c r="D78" s="25" t="inlineStr">
        <is>
          <t>SU-01, SU-02, SU-03</t>
        </is>
      </c>
      <c r="E78" s="25" t="inlineStr">
        <is>
          <t>Negative</t>
        </is>
      </c>
      <c r="F78" s="25" t="inlineStr">
        <is>
          <t>SĐT active trên mạng viễn thông nhưng tài khoản Zalo gắn với số đó CHƯA kích hoạt hoặc đã bị khoá</t>
        </is>
      </c>
      <c r="G78" s="25" t="inlineStr">
        <is>
          <t>Có sẵn 1 SĐT active nhưng: (a) chưa từng đăng ký Zalo, hoặc (b) tài khoản Zalo đã bị khoá.</t>
        </is>
      </c>
      <c r="H78" s="25" t="inlineStr">
        <is>
          <t>1. Nhập SĐT vào màn Đăng ký, giữ kênh mặc định Zalo.
2. Bấm gửi OTP.
3. Quan sát hệ thống có phát hiện Zalo không khả dụng không, và phản ứng thế nào (báo lỗi, tự chuyển gợi ý sang SMS, hay coi như gửi thành công nhưng khách không nhận được gì).</t>
        </is>
      </c>
      <c r="I78" s="25" t="inlineStr">
        <is>
          <t>SĐT active + Zalo chưa kích hoạt (test 1); SĐT active + Zalo bị khoá (test 2).</t>
        </is>
      </c>
      <c r="J78" s="25" t="inlineStr">
        <is>
          <t>TBD - đang chờ QnA-69.</t>
        </is>
      </c>
      <c r="K78" s="25" t="inlineStr">
        <is>
          <t>High</t>
        </is>
      </c>
      <c r="L78" s="24" t="n"/>
      <c r="M78" s="24" t="inlineStr">
        <is>
          <t>Not Run</t>
        </is>
      </c>
      <c r="N78" s="24" t="n"/>
      <c r="O78" s="24" t="n"/>
      <c r="P78" s="25" t="inlineStr">
        <is>
          <t>QnA-69</t>
        </is>
      </c>
      <c r="Q78" s="25" t="inlineStr">
        <is>
          <t>Bổ sung theo yêu cầu review 28/08/2026.</t>
        </is>
      </c>
      <c r="R78" s="23" t="n"/>
    </row>
    <row r="79" hidden="1" ht="90" customHeight="1" s="19">
      <c r="A79" s="25" t="inlineStr">
        <is>
          <t>SCR-AUT-02-SC4-TC3</t>
        </is>
      </c>
      <c r="B79" s="25" t="inlineStr">
        <is>
          <t>SCR-AUT-02-SC4</t>
        </is>
      </c>
      <c r="C79" s="25" t="inlineStr">
        <is>
          <t>SCR-AUT-02</t>
        </is>
      </c>
      <c r="D79" s="25" t="inlineStr">
        <is>
          <t>SU-01, SU-02, SU-03</t>
        </is>
      </c>
      <c r="E79" s="25" t="inlineStr">
        <is>
          <t>Negative</t>
        </is>
      </c>
      <c r="F79" s="25" t="inlineStr">
        <is>
          <t>SĐT đầu số NƯỚC NGOÀI nhưng có tài khoản Zalo đăng ký tại Việt Nam</t>
        </is>
      </c>
      <c r="G79" s="25" t="inlineStr">
        <is>
          <t>Có sẵn 1 SĐT đầu số nước ngoài (không phải +84) đã có tài khoản Zalo đăng ký bằng số VN khác hoặc liên kết bất thường.</t>
        </is>
      </c>
      <c r="H79" s="25" t="inlineStr">
        <is>
          <t>1. Nhập SĐT nước ngoài vào màn Đăng ký (nếu form cho phép nhập SĐT quốc tế).
2. Bấm gửi OTP, giữ kênh Zalo.
3. Quan sát hệ thống chấp nhận hay từ chối ngay từ bước nhập SĐT (nếu app chỉ hỗ trợ SĐT VN), và nếu chấp nhận thì OTP có gửi đúng tới tài khoản Zalo liên kết không.</t>
        </is>
      </c>
      <c r="I79" s="25" t="inlineStr">
        <is>
          <t>SĐT đầu số nước ngoài test.</t>
        </is>
      </c>
      <c r="J79" s="25" t="inlineStr">
        <is>
          <t>TBD - đang chờ QnA-69 (bao gồm cả câu hỏi nền: app Đăng ký có hỗ trợ SĐT nước ngoài không, hay SU-01/02 chỉ áp dụng cho SĐT VN).</t>
        </is>
      </c>
      <c r="K79" s="25" t="inlineStr">
        <is>
          <t>Medium</t>
        </is>
      </c>
      <c r="L79" s="24" t="n"/>
      <c r="M79" s="24" t="inlineStr">
        <is>
          <t>Not Run</t>
        </is>
      </c>
      <c r="N79" s="24" t="n"/>
      <c r="O79" s="24" t="n"/>
      <c r="P79" s="25" t="inlineStr">
        <is>
          <t>QnA-69</t>
        </is>
      </c>
      <c r="Q79" s="25" t="inlineStr">
        <is>
          <t>Bổ sung theo yêu cầu review 28/08/2026. SRS SU-01/02 chưa nói rõ phạm vi định dạng SĐT có bao gồm số nước ngoài hay chỉ số VN.</t>
        </is>
      </c>
      <c r="R79" s="23" t="n"/>
    </row>
    <row r="80" hidden="1" ht="120" customHeight="1" s="19">
      <c r="A80" s="25" t="inlineStr">
        <is>
          <t>SCR-AUT-02-SC5-TC1</t>
        </is>
      </c>
      <c r="B80" s="25" t="inlineStr">
        <is>
          <t>SCR-AUT-02-SC5</t>
        </is>
      </c>
      <c r="C80" s="25" t="inlineStr">
        <is>
          <t>SCR-AUT-02</t>
        </is>
      </c>
      <c r="D80" s="25" t="inlineStr">
        <is>
          <t>SU-03</t>
        </is>
      </c>
      <c r="E80" s="25" t="inlineStr">
        <is>
          <t>Edge</t>
        </is>
      </c>
      <c r="F80" s="25" t="inlineStr">
        <is>
          <t>Thoát hẳn (kill) app ngay sau khi gửi OTP, đang chờ nhập mã, rồi mở lại</t>
        </is>
      </c>
      <c r="G80" s="25" t="inlineStr">
        <is>
          <t>Vừa bấm gửi OTP thành công, đang ở màn nhập OTP, chưa nhập mã.</t>
        </is>
      </c>
      <c r="H80" s="25" t="inlineStr">
        <is>
          <t>1. Kill hẳn app (không phải chuyển nền/background) ngay sau khi gửi OTP.
2. Mở lại app từ đầu (tap icon).
3. Quan sát app mở vào màn nào, và mã OTP đã gửi trước đó (nếu còn hiệu lực) có dùng lại được không.</t>
        </is>
      </c>
      <c r="I80" s="25" t="inlineStr">
        <is>
          <t>SĐT test, OTP vừa gửi qua kênh bất kỳ.</t>
        </is>
      </c>
      <c r="J80" s="25" t="inlineStr">
        <is>
          <t>TBD - đang chờ QnA-71. Người thực thi chỉ ghi nhận hành vi thực tế (tiếp tục màn nhập OTP / quay về màn SĐT / khác), KHÔNG tự ý chấm Pass/Fail.</t>
        </is>
      </c>
      <c r="K80" s="25" t="inlineStr">
        <is>
          <t>Medium</t>
        </is>
      </c>
      <c r="L80" s="24" t="n"/>
      <c r="M80" s="24" t="inlineStr">
        <is>
          <t>Not Run</t>
        </is>
      </c>
      <c r="N80" s="24" t="n"/>
      <c r="O80" s="24" t="n"/>
      <c r="P80" s="25" t="inlineStr">
        <is>
          <t>QnA-71</t>
        </is>
      </c>
      <c r="Q80" s="25" t="inlineStr">
        <is>
          <t>Bổ sung theo yêu cầu review 28/08/2026.</t>
        </is>
      </c>
      <c r="R80" s="23" t="n"/>
    </row>
    <row r="81" hidden="1" ht="120" customHeight="1" s="19">
      <c r="A81" s="25" t="inlineStr">
        <is>
          <t>SCR-AUT-02-SC6-TC1</t>
        </is>
      </c>
      <c r="B81" s="25" t="inlineStr">
        <is>
          <t>SCR-AUT-02-SC6</t>
        </is>
      </c>
      <c r="C81" s="25" t="inlineStr">
        <is>
          <t>SCR-AUT-02</t>
        </is>
      </c>
      <c r="D81" s="25" t="inlineStr">
        <is>
          <t>SU-01, HP-06, HP-07</t>
        </is>
      </c>
      <c r="E81" s="25" t="inlineStr">
        <is>
          <t>Regression</t>
        </is>
      </c>
      <c r="F81" s="25" t="inlineStr">
        <is>
          <t>Xác nhận toàn bộ entry point đã biết dẫn tới màn Đăng ký, và rà soát entry point khác chưa được test</t>
        </is>
      </c>
      <c r="G81" s="25" t="inlineStr">
        <is>
          <t>Guest chưa có tài khoản.</t>
        </is>
      </c>
      <c r="H81" s="25" t="inlineStr">
        <is>
          <t>1. Bấm Add to Cart trên 1 sản phẩm, ở bottom sheet gate chọn 'New customer - Register', xác nhận mở đúng SCR-AUT-02.
2. Lặp lại với Cart icon, xác nhận mở đúng SCR-AUT-02.
3. Rà soát SRS/Figma và toàn bộ app (nếu có build) tìm bất kỳ nút/link 'Sign up'/'Đăng ký' nào khác không thông qua login gate.
4. Ghi nhận danh sách đầy đủ các entry point tìm được.</t>
        </is>
      </c>
      <c r="I81" s="25" t="inlineStr">
        <is>
          <t>N/A.</t>
        </is>
      </c>
      <c r="J81" s="25" t="inlineStr">
        <is>
          <t>Bước 1-2: cả 2 lối vào đều dẫn đúng tới SCR-AUT-02 (đã xác nhận tại SCR-AUT-01-SC4-TC1, không lặp lại chi tiết ở đây). Bước 3-4: TBD - đang chờ QnA-74; nếu tìm thấy entry point mới ngoài SRS, cần báo lại BA để bổ sung FR.</t>
        </is>
      </c>
      <c r="K81" s="25" t="inlineStr">
        <is>
          <t>Low</t>
        </is>
      </c>
      <c r="L81" s="24" t="n"/>
      <c r="M81" s="24" t="inlineStr">
        <is>
          <t>Not Run</t>
        </is>
      </c>
      <c r="N81" s="24" t="n"/>
      <c r="O81" s="24" t="n"/>
      <c r="P81" s="25" t="inlineStr">
        <is>
          <t>QnA-74</t>
        </is>
      </c>
      <c r="Q81" s="25" t="inlineStr">
        <is>
          <t>Bổ sung theo yêu cầu review 31/08/2026.</t>
        </is>
      </c>
      <c r="R81" s="23" t="n"/>
    </row>
    <row r="82" hidden="1" ht="69.75" customHeight="1" s="19">
      <c r="A82" s="23" t="inlineStr">
        <is>
          <t>SCR-AUT-03-SC1-TC1</t>
        </is>
      </c>
      <c r="B82" s="23" t="inlineStr">
        <is>
          <t>SCR-AUT-03-SC1</t>
        </is>
      </c>
      <c r="C82" s="23" t="inlineStr">
        <is>
          <t>SCR-AUT-03</t>
        </is>
      </c>
      <c r="D82" s="23" t="inlineStr">
        <is>
          <t>SU-04</t>
        </is>
      </c>
      <c r="E82" s="23" t="inlineStr">
        <is>
          <t>Functional</t>
        </is>
      </c>
      <c r="F82" s="23" t="inlineStr">
        <is>
          <t>Tạo PIN 6 số và xác nhận khớp chuyển sang màn Hồ sơ</t>
        </is>
      </c>
      <c r="G82" s="23" t="inlineStr">
        <is>
          <t>Vừa xác thực OTP thành công.</t>
        </is>
      </c>
      <c r="H82" s="23" t="inlineStr">
        <is>
          <t>1. Nhập PIN '123456' bằng bàn phím số của app.
2. Nhập lại '123456' ở ô xác nhận.
3. Quan sát màn kế tiếp.</t>
        </is>
      </c>
      <c r="I82" s="23" t="inlineStr">
        <is>
          <t>PIN test: 123456.</t>
        </is>
      </c>
      <c r="J82" s="23" t="inlineStr">
        <is>
          <t>Sau khi 2 lần nhập khớp, chuyển sang SCR-AUT-04 (Hồ sơ). Bàn phím là bàn phím riêng của app, không phải bàn phím hệ thống (tránh predictive text/clipboard).</t>
        </is>
      </c>
      <c r="K82" s="23" t="inlineStr">
        <is>
          <t>High</t>
        </is>
      </c>
      <c r="L82" s="24" t="n"/>
      <c r="M82" s="24" t="inlineStr">
        <is>
          <t>Not Run</t>
        </is>
      </c>
      <c r="N82" s="24" t="n"/>
      <c r="O82" s="24" t="n"/>
      <c r="P82" s="23" t="n"/>
      <c r="Q82" s="23" t="n"/>
      <c r="R82" s="23" t="n"/>
    </row>
    <row r="83" hidden="1" ht="69.75" customHeight="1" s="19">
      <c r="A83" s="25" t="inlineStr">
        <is>
          <t>SCR-AUT-03-SC2-TC1</t>
        </is>
      </c>
      <c r="B83" s="25" t="inlineStr">
        <is>
          <t>SCR-AUT-03-SC2</t>
        </is>
      </c>
      <c r="C83" s="25" t="inlineStr">
        <is>
          <t>SCR-AUT-03</t>
        </is>
      </c>
      <c r="D83" s="25" t="inlineStr">
        <is>
          <t>SU-04</t>
        </is>
      </c>
      <c r="E83" s="25" t="inlineStr">
        <is>
          <t>Negative</t>
        </is>
      </c>
      <c r="F83" s="25" t="inlineStr">
        <is>
          <t>PIN xác nhận không khớp chỉ xoá ô xác nhận, giữ nguyên ô đầu</t>
        </is>
      </c>
      <c r="G83" s="25" t="inlineStr">
        <is>
          <t>Đã nhập PIN lần đầu là '123456'.</t>
        </is>
      </c>
      <c r="H83" s="25" t="inlineStr">
        <is>
          <t>1. Ở bước xác nhận, nhập '654321' (khác PIN lần đầu).
2. Quan sát thông báo và trạng thái 2 ô nhập.
3. Nhập lại đúng '123456' ở xác nhận.</t>
        </is>
      </c>
      <c r="I83" s="25" t="inlineStr">
        <is>
          <t>PIN lần 1: 123456. PIN xác nhận sai: 654321.</t>
        </is>
      </c>
      <c r="J83" s="25" t="inlineStr">
        <is>
          <t>Bước 2: báo 'không khớp', CHỈ ô xác nhận bị xoá/reset, ô PIN lần đầu vẫn giữ nguyên '123456' (không bắt khách nhập lại từ đầu). Bước 3: nhập đúng thì tiếp tục được sang Hồ sơ.</t>
        </is>
      </c>
      <c r="K83" s="25" t="inlineStr">
        <is>
          <t>Medium</t>
        </is>
      </c>
      <c r="L83" s="24" t="n"/>
      <c r="M83" s="24" t="inlineStr">
        <is>
          <t>Not Run</t>
        </is>
      </c>
      <c r="N83" s="24" t="n"/>
      <c r="O83" s="24" t="n"/>
      <c r="P83" s="25" t="inlineStr">
        <is>
          <t>QnA-03</t>
        </is>
      </c>
      <c r="Q83" s="25" t="inlineStr">
        <is>
          <t>Giới hạn số lần thử sai liên tiếp trước khi khoá/restart vẫn chờ Security/Dev (OQ-03/QnA-03).</t>
        </is>
      </c>
      <c r="R83" s="23" t="n"/>
    </row>
    <row r="84" hidden="1" ht="75" customHeight="1" s="19">
      <c r="A84" s="23" t="inlineStr">
        <is>
          <t>SCR-AUT-03-SC2-TC2</t>
        </is>
      </c>
      <c r="B84" s="23" t="inlineStr">
        <is>
          <t>SCR-AUT-03-SC2</t>
        </is>
      </c>
      <c r="C84" s="23" t="inlineStr">
        <is>
          <t>SCR-AUT-03</t>
        </is>
      </c>
      <c r="D84" s="23" t="inlineStr">
        <is>
          <t>SU-04</t>
        </is>
      </c>
      <c r="E84" s="23" t="inlineStr">
        <is>
          <t>Functional</t>
        </is>
      </c>
      <c r="F84" s="23" t="inlineStr">
        <is>
          <t>Bấm Back từ màn xác nhận PIN quay về nhập PIN từ đầu (không giữ PIN đã nhập lần 1)</t>
        </is>
      </c>
      <c r="G84" s="23" t="inlineStr">
        <is>
          <t>Đã nhập PIN lần đầu (ví dụ '123456'), đang ở màn xác nhận (nhập lại PIN).</t>
        </is>
      </c>
      <c r="H84" s="23" t="inlineStr">
        <is>
          <t>1. Ở màn xác nhận PIN, bấm nút Back (quay lại) thay vì nhập tiếp.
2. Quan sát màn hình quay về.
3. Kiểm tra ô PIN lần đầu có còn giữ giá trị cũ hay yêu cầu nhập mới hoàn toàn.</t>
        </is>
      </c>
      <c r="I84" s="23" t="inlineStr">
        <is>
          <t>PIN lần đầu: 123456.</t>
        </is>
      </c>
      <c r="J84" s="23" t="inlineStr">
        <is>
          <t>Bấm Back từ màn xác nhận đưa khách quay về đúng màn NHẬP PIN LẦN ĐẦU và bắt buộc nhập MỚI từ đầu (giá trị PIN lần 1 trước đó bị xoá/không được giữ ngầm) - không cho phép chỉ sửa PIN xác nhận rồi quay lại dùng PIN lần 1 cũ mà không nhập lại.</t>
        </is>
      </c>
      <c r="K84" s="23" t="inlineStr">
        <is>
          <t>Medium</t>
        </is>
      </c>
      <c r="L84" s="24" t="n"/>
      <c r="M84" s="24" t="inlineStr">
        <is>
          <t>Not Run</t>
        </is>
      </c>
      <c r="N84" s="24" t="n"/>
      <c r="O84" s="24" t="n"/>
      <c r="P84" s="23" t="n"/>
      <c r="Q84" s="23" t="inlineStr">
        <is>
          <t>Bổ sung theo yêu cầu review 28/08/2026. Quy tắc "Back phải nhập mới PIN từ đầu" theo yêu cầu review, khác với hành vi mismatch ở SC2-TC1 (chỉ xoá ô xác nhận, giữ nguyên ô đầu) - phân biệt rõ 2 trigger khác nhau (mismatch tự động vs Back thủ công).</t>
        </is>
      </c>
      <c r="R84" s="23" t="n"/>
    </row>
    <row r="85" hidden="1" ht="105" customHeight="1" s="19">
      <c r="A85" s="25" t="inlineStr">
        <is>
          <t>SCR-AUT-03-SC2-TC3</t>
        </is>
      </c>
      <c r="B85" s="25" t="inlineStr">
        <is>
          <t>SCR-AUT-03-SC2</t>
        </is>
      </c>
      <c r="C85" s="25" t="inlineStr">
        <is>
          <t>SCR-AUT-03</t>
        </is>
      </c>
      <c r="D85" s="25" t="inlineStr">
        <is>
          <t>SU-04</t>
        </is>
      </c>
      <c r="E85" s="25" t="inlineStr">
        <is>
          <t>Boundary</t>
        </is>
      </c>
      <c r="F85" s="25" t="inlineStr">
        <is>
          <t>Nhập sai PIN xác nhận (mismatch) vượt quá số lần cho phép liên tiếp</t>
        </is>
      </c>
      <c r="G85" s="25" t="inlineStr">
        <is>
          <t>Đang ở bước xác nhận PIN, đã nhập PIN lần đầu.</t>
        </is>
      </c>
      <c r="H85" s="25" t="inlineStr">
        <is>
          <t>1. Nhập PIN xác nhận SAI (khác PIN lần đầu) N+1 lần liên tiếp (N = giới hạn, đang chờ xác nhận ở QnA-03).
2. Quan sát hành vi hệ thống sau khi vượt ngưỡng.</t>
        </is>
      </c>
      <c r="I85" s="25" t="inlineStr">
        <is>
          <t>PIN lần đầu cố định, PIN xác nhận sai lặp lại nhiều lần.</t>
        </is>
      </c>
      <c r="J85" s="25" t="inlineStr">
        <is>
          <t>TBD - đang chờ QnA-03 (giới hạn số lần thử sai OTP/PIN và hành vi khi vượt ngưỡng - vẫn Open, dùng chung với SCR-AUT-05-SC4). Người thực thi ghi nhận hành vi thực tế (có bị khoá/reset về màn nhập PIN lần đầu/khoá tài khoản không), không tự ý chấm Pass/Fail.</t>
        </is>
      </c>
      <c r="K85" s="25" t="inlineStr">
        <is>
          <t>Medium</t>
        </is>
      </c>
      <c r="L85" s="24" t="n"/>
      <c r="M85" s="24" t="inlineStr">
        <is>
          <t>Not Run</t>
        </is>
      </c>
      <c r="N85" s="24" t="n"/>
      <c r="O85" s="24" t="n"/>
      <c r="P85" s="25" t="inlineStr">
        <is>
          <t>QnA-03</t>
        </is>
      </c>
      <c r="Q85" s="25" t="inlineStr">
        <is>
          <t>Bổ sung theo yêu cầu review 28/08/2026. SC2-TC1 hiện tại chỉ test 1 lần mismatch; chưa test trường hợp vượt quá số lần cho phép (tương tự pattern SCR-AUT-05-SC4-TC1 cho PIN đăng nhập, nhưng đây là PIN TẠO MỚI).</t>
        </is>
      </c>
      <c r="R85" s="23" t="n"/>
    </row>
    <row r="86" hidden="1" ht="105" customHeight="1" s="19">
      <c r="A86" s="23" t="inlineStr">
        <is>
          <t>SCR-AUT-03-SC3-TC1</t>
        </is>
      </c>
      <c r="B86" s="23" t="inlineStr">
        <is>
          <t>SCR-AUT-03-SC3</t>
        </is>
      </c>
      <c r="C86" s="23" t="inlineStr">
        <is>
          <t>SCR-AUT-03</t>
        </is>
      </c>
      <c r="D86" s="23" t="inlineStr">
        <is>
          <t>SU-04</t>
        </is>
      </c>
      <c r="E86" s="23" t="inlineStr">
        <is>
          <t>Boundary</t>
        </is>
      </c>
      <c r="F86" s="23" t="inlineStr">
        <is>
          <t>Bàn phím PIN chỉ nhận đúng 6 số, chặn ký tự không phải số</t>
        </is>
      </c>
      <c r="G86" s="23" t="inlineStr">
        <is>
          <t>Đang ở bước tạo PIN lần đầu (SCR-AUT-03).</t>
        </is>
      </c>
      <c r="H86" s="23" t="inlineStr">
        <is>
          <t>1. Quan sát bàn phím nhập PIN - xác nhận chỉ có nút số 0-9.
2. Nhập 5 số, thử bấm nút xác nhận/tiếp tục, xác nhận không cho qua khi chưa đủ 6 số.
3. Nhập đủ số thứ 6, xác nhận nút xác nhận/tiếp tục kích hoạt ngay.
4. (Nếu app cho dán/paste vào ô PIN) thử dán chuỗi có ký tự chữ, xác nhận bị từ chối/lọc bỏ ký tự không phải số.</t>
        </is>
      </c>
      <c r="I86" s="23" t="inlineStr">
        <is>
          <t>'12345' (5 số), '123456' (đủ 6 số), chuỗi dán thử 'a1b2c3' (nếu có thể paste).</t>
        </is>
      </c>
      <c r="J86" s="23" t="inlineStr">
        <is>
          <t>Bàn phím chỉ có 0-9 nên không thể gõ sai định dạng; chưa đủ 6 số thì không chuyển bước được; đủ 6 số thì chuyển bước ngay; nếu hỗ trợ paste, ký tự không phải số bị lọc bỏ hoặc paste bị từ chối toàn bộ.</t>
        </is>
      </c>
      <c r="K86" s="23" t="inlineStr">
        <is>
          <t>Low</t>
        </is>
      </c>
      <c r="L86" s="24" t="n"/>
      <c r="M86" s="24" t="inlineStr">
        <is>
          <t>Not Run</t>
        </is>
      </c>
      <c r="N86" s="24" t="n"/>
      <c r="O86" s="24" t="n"/>
      <c r="P86" s="23" t="n"/>
      <c r="Q86" s="23" t="inlineStr">
        <is>
          <t>Bổ sung theo yêu cầu review 28/08/2026.</t>
        </is>
      </c>
      <c r="R86" s="23" t="n"/>
    </row>
    <row r="87" hidden="1" ht="75" customHeight="1" s="19">
      <c r="A87" s="25" t="inlineStr">
        <is>
          <t>SCR-AUT-03-SC4-TC1</t>
        </is>
      </c>
      <c r="B87" s="25" t="inlineStr">
        <is>
          <t>SCR-AUT-03-SC4</t>
        </is>
      </c>
      <c r="C87" s="25" t="inlineStr">
        <is>
          <t>SCR-AUT-03</t>
        </is>
      </c>
      <c r="D87" s="25" t="inlineStr">
        <is>
          <t>SU-04</t>
        </is>
      </c>
      <c r="E87" s="25" t="inlineStr">
        <is>
          <t>Validation</t>
        </is>
      </c>
      <c r="F87" s="25" t="inlineStr">
        <is>
          <t>Hệ thống có chặn PIN thuộc nhóm "yếu" không (số liên tiếp, số giống nhau, trùng SĐT)</t>
        </is>
      </c>
      <c r="G87" s="25" t="inlineStr">
        <is>
          <t>Vừa xác thực OTP thành công, đang ở bước tạo PIN lần đầu.</t>
        </is>
      </c>
      <c r="H87" s="25" t="inlineStr">
        <is>
          <t>1. Thử tạo PIN '123456' (6 số liên tiếp tăng dần), xác nhận khớp, quan sát hệ thống có chặn không.
2. Thử tạo PIN '111111' (6 số giống nhau), xác nhận khớp, quan sát.
3. Thử tạo PIN trùng với 6 số cuối của chính SĐT đang đăng ký, xác nhận khớp, quan sát.</t>
        </is>
      </c>
      <c r="I87" s="25" t="inlineStr">
        <is>
          <t>SĐT test (để lấy 6 số cuối làm PIN trùng), các PIN test: 123456, 111111, PIN trùng SĐT.</t>
        </is>
      </c>
      <c r="J87" s="25" t="inlineStr">
        <is>
          <t>TBD - đang chờ QnA-72. Ghi nhận hành vi thực tế cho từng mẫu PIN (chấp nhận hay từ chối kèm thông báo gì), không tự ý chấm Pass/Fail khi chưa có bộ rule chính thức.</t>
        </is>
      </c>
      <c r="K87" s="25" t="inlineStr">
        <is>
          <t>High</t>
        </is>
      </c>
      <c r="L87" s="24" t="n"/>
      <c r="M87" s="24" t="inlineStr">
        <is>
          <t>Not Run</t>
        </is>
      </c>
      <c r="N87" s="24" t="n"/>
      <c r="O87" s="24" t="n"/>
      <c r="P87" s="25" t="inlineStr">
        <is>
          <t>QnA-72</t>
        </is>
      </c>
      <c r="Q87" s="25" t="inlineStr">
        <is>
          <t>Bổ sung theo yêu cầu review 28/08/2026.</t>
        </is>
      </c>
      <c r="R87" s="23" t="n"/>
    </row>
    <row r="88" hidden="1" ht="75" customHeight="1" s="19">
      <c r="A88" s="25" t="inlineStr">
        <is>
          <t>SCR-AUT-03-SC5-TC1</t>
        </is>
      </c>
      <c r="B88" s="25" t="inlineStr">
        <is>
          <t>SCR-AUT-03-SC5</t>
        </is>
      </c>
      <c r="C88" s="25" t="inlineStr">
        <is>
          <t>SCR-AUT-03</t>
        </is>
      </c>
      <c r="D88" s="25" t="inlineStr">
        <is>
          <t>SU-04</t>
        </is>
      </c>
      <c r="E88" s="25" t="inlineStr">
        <is>
          <t>Edge</t>
        </is>
      </c>
      <c r="F88" s="25" t="inlineStr">
        <is>
          <t>Thoát hẳn (kill) app giữa lúc đang tạo PIN (chưa hoàn tất) rồi mở lại</t>
        </is>
      </c>
      <c r="G88" s="25" t="inlineStr">
        <is>
          <t>Đã xác thực OTP thành công, đang ở màn nhập PIN lần đầu hoặc màn xác nhận, chưa hoàn tất.</t>
        </is>
      </c>
      <c r="H88" s="25" t="inlineStr">
        <is>
          <t>1. Kill app khi đang ở màn nhập PIN lần đầu (chưa nhập gì hoặc đang nhập dở).
2. Mở lại app, quan sát màn hình mở vào.
3. Lặp lại nhưng kill ở màn XÁC NHẬN PIN (đã nhập PIN lần 1, chưa xác nhận xong), mở lại app, quan sát.</t>
        </is>
      </c>
      <c r="I88" s="25" t="inlineStr">
        <is>
          <t>SĐT đã xác thực OTP thành công trong phiên test.</t>
        </is>
      </c>
      <c r="J88" s="25" t="inlineStr">
        <is>
          <t>TBD - đang chờ QnA-73. Ghi nhận hành vi thực tế cho cả 2 điểm kill (màn nhập lần đầu / màn xác nhận), không tự ý chấm Pass/Fail.</t>
        </is>
      </c>
      <c r="K88" s="25" t="inlineStr">
        <is>
          <t>Medium</t>
        </is>
      </c>
      <c r="L88" s="24" t="n"/>
      <c r="M88" s="24" t="inlineStr">
        <is>
          <t>Not Run</t>
        </is>
      </c>
      <c r="N88" s="24" t="n"/>
      <c r="O88" s="24" t="n"/>
      <c r="P88" s="25" t="inlineStr">
        <is>
          <t>QnA-73</t>
        </is>
      </c>
      <c r="Q88" s="25" t="inlineStr">
        <is>
          <t>Bổ sung theo yêu cầu review 28/08/2026.</t>
        </is>
      </c>
      <c r="R88" s="23" t="n"/>
    </row>
    <row r="89" hidden="1" ht="69.75" customHeight="1" s="19">
      <c r="A89" s="23" t="inlineStr">
        <is>
          <t>SCR-AUT-04-SC1-TC1</t>
        </is>
      </c>
      <c r="B89" s="23" t="inlineStr">
        <is>
          <t>SCR-AUT-04-SC1</t>
        </is>
      </c>
      <c r="C89" s="23" t="inlineStr">
        <is>
          <t>SCR-AUT-04</t>
        </is>
      </c>
      <c r="D89" s="23" t="inlineStr">
        <is>
          <t>SU-05</t>
        </is>
      </c>
      <c r="E89" s="23" t="inlineStr">
        <is>
          <t>Validation</t>
        </is>
      </c>
      <c r="F89" s="23" t="inlineStr">
        <is>
          <t>Không tick Điều khoản &amp; Chính sách thì không tạo được tài khoản</t>
        </is>
      </c>
      <c r="G89" s="23" t="inlineStr">
        <is>
          <t>Đã điền đầy đủ Tên/Giới tính/Ngày sinh/Quốc tịch/Store đăng ký, CHƯA tick Điều khoản.</t>
        </is>
      </c>
      <c r="H89" s="23" t="inlineStr">
        <is>
          <t>1. Điền đủ các trường bắt buộc còn lại.
2. KHÔNG tick checkbox 'Điều khoản sử dụng &amp; Chính sách bảo mật'.
3. Bấm 'Tạo tài khoản'.
4. Tick checkbox Điều khoản.
5. Bấm lại 'Tạo tài khoản'.</t>
        </is>
      </c>
      <c r="I89" s="23" t="inlineStr">
        <is>
          <t>Hồ sơ mẫu: Nguyễn Văn A, Nữ, 01/01/1995, Việt Nam, LOTTE Mart Nam Sài Gòn.</t>
        </is>
      </c>
      <c r="J89" s="23" t="inlineStr">
        <is>
          <t>Bước 3: bị chặn (nút disabled hoặc hiện lỗi yêu cầu tick Điều khoản), tài khoản CHƯA được tạo. Bước 5: sau khi tick, tạo tài khoản thành công.</t>
        </is>
      </c>
      <c r="K89" s="23" t="inlineStr">
        <is>
          <t>High</t>
        </is>
      </c>
      <c r="L89" s="24" t="n"/>
      <c r="M89" s="24" t="inlineStr">
        <is>
          <t>Not Run</t>
        </is>
      </c>
      <c r="N89" s="24" t="n"/>
      <c r="O89" s="24" t="n"/>
      <c r="P89" s="23" t="n"/>
      <c r="Q89" s="23" t="n"/>
      <c r="R89" s="23" t="n"/>
    </row>
    <row r="90" hidden="1" ht="69.75" customHeight="1" s="19">
      <c r="A90" s="25" t="inlineStr">
        <is>
          <t>SCR-AUT-04-SC2-TC1</t>
        </is>
      </c>
      <c r="B90" s="25" t="inlineStr">
        <is>
          <t>SCR-AUT-04-SC2</t>
        </is>
      </c>
      <c r="C90" s="25" t="inlineStr">
        <is>
          <t>SCR-AUT-04</t>
        </is>
      </c>
      <c r="D90" s="25" t="inlineStr">
        <is>
          <t>SU-05</t>
        </is>
      </c>
      <c r="E90" s="25" t="inlineStr">
        <is>
          <t>Functional</t>
        </is>
      </c>
      <c r="F90" s="25" t="inlineStr">
        <is>
          <t>Giá trị mặc định của Giới tính và Store đăng ký đúng như đã chốt</t>
        </is>
      </c>
      <c r="G90" s="25" t="inlineStr">
        <is>
          <t>Đã chọn store 'LOTTE Mart Nam Sài Gòn' ở Onboarding.</t>
        </is>
      </c>
      <c r="H90" s="25" t="inlineStr">
        <is>
          <t>1. Vào màn Hồ sơ, KHÔNG thao tác gì với trường Giới tính và Store đăng ký.
2. Quan sát giá trị hiện có sẵn.
3. Đổi Giới tính sang 'Anh' bằng 1 lần chạm, xác nhận đổi được.</t>
        </is>
      </c>
      <c r="I90" s="25" t="inlineStr">
        <is>
          <t>Store đã chọn trước đó: LOTTE Mart Nam Sài Gòn.</t>
        </is>
      </c>
      <c r="J90" s="25" t="inlineStr">
        <is>
          <t>Giới tính mặc định = 'Chị' (QnA-02, đã chốt giữ nguyên); Store đăng ký mặc định = 'LOTTE Mart Nam Sài Gòn' nhưng vẫn sửa được; đổi Giới tính chỉ cần 1 thao tác.</t>
        </is>
      </c>
      <c r="K90" s="25" t="inlineStr">
        <is>
          <t>Medium</t>
        </is>
      </c>
      <c r="L90" s="24" t="n"/>
      <c r="M90" s="24" t="inlineStr">
        <is>
          <t>Not Run</t>
        </is>
      </c>
      <c r="N90" s="24" t="n"/>
      <c r="O90" s="24" t="n"/>
      <c r="P90" s="25" t="inlineStr">
        <is>
          <t>QnA-02</t>
        </is>
      </c>
      <c r="Q90" s="25" t="n"/>
      <c r="R90" s="23" t="n"/>
    </row>
    <row r="91" hidden="1" ht="69.75" customHeight="1" s="19">
      <c r="A91" s="23" t="inlineStr">
        <is>
          <t>SCR-AUT-04-SC3-TC1</t>
        </is>
      </c>
      <c r="B91" s="23" t="inlineStr">
        <is>
          <t>SCR-AUT-04-SC3</t>
        </is>
      </c>
      <c r="C91" s="23" t="inlineStr">
        <is>
          <t>SCR-AUT-04</t>
        </is>
      </c>
      <c r="D91" s="23" t="inlineStr">
        <is>
          <t>SU-06, SU-08</t>
        </is>
      </c>
      <c r="E91" s="23" t="inlineStr">
        <is>
          <t>Functional</t>
        </is>
      </c>
      <c r="F91" s="23" t="inlineStr">
        <is>
          <t>Tạo tài khoản tự động đăng nhập và resume đúng sản phẩm đã Add to Cart trước đó</t>
        </is>
      </c>
      <c r="G91" s="23" t="inlineStr">
        <is>
          <t>Guest bấm Add to Cart trên SKU-A, bị chặn bởi login gate, chọn Register và hoàn tất OTP+PIN.</t>
        </is>
      </c>
      <c r="H91" s="23" t="inlineStr">
        <is>
          <t>1. Từ login gate (trigger: Add to Cart trên SKU-A), hoàn tất các bước SĐT/OTP/PIN.
2. Điền Hồ sơ hợp lệ, tick Điều khoản, bấm Tạo tài khoản.
3. Kiểm tra trạng thái đăng nhập.
4. Kiểm tra giỏ hàng có SKU-A hay không.
5. Nếu trước đó Guest đã tạo 1 địa chỉ cục bộ, kiểm tra địa chỉ đã xuất hiện trong tài khoản.</t>
        </is>
      </c>
      <c r="I91" s="23" t="inlineStr">
        <is>
          <t>SKU-A: bất kỳ sản phẩm còn hàng. Địa chỉ Guest cục bộ đã tạo trước khi đăng ký (nếu có).</t>
        </is>
      </c>
      <c r="J91" s="23" t="inlineStr">
        <is>
          <t>Bước 3: đã ở trạng thái đăng nhập ngay sau Submit (không có màn đăng nhập riêng). Bước 4: SKU-A đã có sẵn trong giỏ hàng mà không cần bấm Add to Cart lại. Bước 5: địa chỉ cục bộ đã được đồng bộ lên tài khoản và đánh dấu active.</t>
        </is>
      </c>
      <c r="K91" s="23" t="inlineStr">
        <is>
          <t>High</t>
        </is>
      </c>
      <c r="L91" s="24" t="n"/>
      <c r="M91" s="24" t="inlineStr">
        <is>
          <t>Not Run</t>
        </is>
      </c>
      <c r="N91" s="24" t="n"/>
      <c r="O91" s="24" t="n"/>
      <c r="P91" s="23" t="n"/>
      <c r="Q91" s="23" t="n"/>
      <c r="R91" s="23" t="n"/>
    </row>
    <row r="92" hidden="1" ht="69.75" customHeight="1" s="19">
      <c r="A92" s="23" t="inlineStr">
        <is>
          <t>SCR-AUT-04-SC4-TC1</t>
        </is>
      </c>
      <c r="B92" s="23" t="inlineStr">
        <is>
          <t>SCR-AUT-04-SC4</t>
        </is>
      </c>
      <c r="C92" s="23" t="inlineStr">
        <is>
          <t>SCR-AUT-04</t>
        </is>
      </c>
      <c r="D92" s="23" t="inlineStr">
        <is>
          <t>SU-07</t>
        </is>
      </c>
      <c r="E92" s="23" t="inlineStr">
        <is>
          <t>Functional</t>
        </is>
      </c>
      <c r="F92" s="23" t="inlineStr">
        <is>
          <t>Từ chối lời mời sinh trắc học không ảnh hưởng đến việc resume thao tác</t>
        </is>
      </c>
      <c r="G92" s="23" t="inlineStr">
        <is>
          <t>Vừa tạo tài khoản thành công, đang ở lời mời Face ID/vân tay.</t>
        </is>
      </c>
      <c r="H92" s="23" t="inlineStr">
        <is>
          <t>1. Quan sát lời mời bật sinh trắc học xuất hiện SAU khi tài khoản đã được tạo.
2. Bấm 'Bỏ qua' / 'Không, cảm ơn'.
3. Kiểm tra thao tác resume (ví dụ thêm sản phẩm vào giỏ) vẫn diễn ra bình thường.</t>
        </is>
      </c>
      <c r="I92" s="23" t="inlineStr">
        <is>
          <t>N/A.</t>
        </is>
      </c>
      <c r="J92" s="23" t="inlineStr">
        <is>
          <t>Lời mời chỉ xuất hiện sau khi tạo tài khoản (không chặn bước tạo tài khoản). Từ chối không làm mất PIN hay chặn resume; PIN vẫn là phương thức đăng nhập chính cho lần sau.</t>
        </is>
      </c>
      <c r="K92" s="23" t="inlineStr">
        <is>
          <t>Low</t>
        </is>
      </c>
      <c r="L92" s="24" t="n"/>
      <c r="M92" s="24" t="inlineStr">
        <is>
          <t>Not Run</t>
        </is>
      </c>
      <c r="N92" s="24" t="n"/>
      <c r="O92" s="24" t="n"/>
      <c r="P92" s="23" t="n"/>
      <c r="Q92" s="23" t="n"/>
      <c r="R92" s="23" t="n"/>
    </row>
    <row r="93" hidden="1" ht="105" customHeight="1" s="19">
      <c r="A93" s="23" t="inlineStr">
        <is>
          <t>SCR-AUT-04-SC4-TC2</t>
        </is>
      </c>
      <c r="B93" s="23" t="inlineStr">
        <is>
          <t>SCR-AUT-04-SC4</t>
        </is>
      </c>
      <c r="C93" s="23" t="inlineStr">
        <is>
          <t>SCR-AUT-04</t>
        </is>
      </c>
      <c r="D93" s="23" t="inlineStr">
        <is>
          <t>SU-07</t>
        </is>
      </c>
      <c r="E93" s="23" t="inlineStr">
        <is>
          <t>Functional</t>
        </is>
      </c>
      <c r="F93" s="23" t="inlineStr">
        <is>
          <t>Bấm 'Enable' ở lời mời sinh trắc học khi thiết bị CHƯA có ticket xung đột - bật thành công</t>
        </is>
      </c>
      <c r="G93" s="23" t="inlineStr">
        <is>
          <t>Vừa tạo tài khoản thành công, đang ở lời mời Face ID/vân tay; thiết bị CHƯA có bio ticket active nào của tài khoản khác.</t>
        </is>
      </c>
      <c r="H93" s="23" t="inlineStr">
        <is>
          <t>1. Ở lời mời sinh trắc học, bấm 'Enable' (hoặc tương đương, KHÔNG bấm 'Bỏ qua').
2. Xác thực Face ID/vân tay theo yêu cầu hệ điều hành.
3. Quan sát kết quả và màn hình tiếp theo.
4. Đăng xuất, thử đăng nhập lại bằng sinh trắc học để xác nhận ticket đã được tạo.</t>
        </is>
      </c>
      <c r="I93" s="23" t="inlineStr">
        <is>
          <t>Tài khoản test mới tạo, thiết bị test chưa có bio ticket nào khác.</t>
        </is>
      </c>
      <c r="J93" s="23" t="inlineStr">
        <is>
          <t>Bước 1-3: KHÔNG có cảnh báo ghi đè nào xuất hiện (khác với SC5, vốn có xung đột); xác thực sinh trắc học thành công thì bio ticket được tạo ngay, không gián đoạn luồng resume thao tác ban đầu. Bước 4: đăng nhập lại bằng sinh trắc học thành công (khớp hành vi SCR-AUT-05-SC1).</t>
        </is>
      </c>
      <c r="K93" s="23" t="inlineStr">
        <is>
          <t>Medium</t>
        </is>
      </c>
      <c r="L93" s="24" t="n"/>
      <c r="M93" s="24" t="inlineStr">
        <is>
          <t>Not Run</t>
        </is>
      </c>
      <c r="N93" s="24" t="n"/>
      <c r="O93" s="24" t="n"/>
      <c r="P93" s="23" t="n"/>
      <c r="Q93" s="23" t="inlineStr">
        <is>
          <t>Bổ sung theo yêu cầu review 31/08/2026. SC4 (hiện có) chỉ test nhánh TỪ CHỐI; SC5 (hiện có) chỉ test nhánh Enable CÓ xung đột ticket; còn thiếu nhánh Enable đơn giản KHÔNG xung đột - test case này lấp khoảng trống đó.</t>
        </is>
      </c>
      <c r="R93" s="23" t="n"/>
    </row>
    <row r="94" hidden="1" ht="75" customHeight="1" s="19">
      <c r="A94" s="25" t="inlineStr">
        <is>
          <t>SCR-AUT-04-SC5-TC1</t>
        </is>
      </c>
      <c r="B94" s="25" t="inlineStr">
        <is>
          <t>SCR-AUT-04-SC5</t>
        </is>
      </c>
      <c r="C94" s="25" t="inlineStr">
        <is>
          <t>SCR-AUT-04</t>
        </is>
      </c>
      <c r="D94" s="25" t="inlineStr">
        <is>
          <t>NFR-02, SU-07</t>
        </is>
      </c>
      <c r="E94" s="25" t="inlineStr">
        <is>
          <t>Functional</t>
        </is>
      </c>
      <c r="F94" s="25" t="inlineStr">
        <is>
          <t>Cảnh báo ghi đè bio ticket khi bật Face ID/vân tay trên thiết bị đã có ticket tài khoản khác</t>
        </is>
      </c>
      <c r="G94" s="25" t="inlineStr">
        <is>
          <t>Thiết bị đã có bio ticket active của Tài khoản A (đã bật Face ID/vân tay trước đó).</t>
        </is>
      </c>
      <c r="H94" s="25" t="inlineStr">
        <is>
          <t>1. Đăng xuất Tài khoản A (không tắt sinh trắc học), đăng nhập/tạo mới Tài khoản B trên CÙNG thiết bị.
2. Ở bước 'Sign in faster next time' (SCR-AUT-04), bấm 'Enable'.
3. Quan sát: hệ thống có hiện cảnh báo về việc ghi đè ticket của Tài khoản A trước khi xác nhận không.
4. Xác nhận Enable, sau đó thử đăng nhập lại Tài khoản A bằng Face ID/vân tay trên thiết bị này.</t>
        </is>
      </c>
      <c r="I94" s="25" t="inlineStr">
        <is>
          <t>Tài khoản A đã bật sinh trắc học; Tài khoản B mới (hoặc tài khoản test khác) trên cùng thiết bị.</t>
        </is>
      </c>
      <c r="J94" s="25" t="inlineStr">
        <is>
          <t>Bước 3: hệ thống hiện cảnh báo RÕ RÀNG trước khi ghi đè (theo NFR-02, proposal đã thống nhất). Bước 4: Tài khoản A KHÔNG còn đăng nhập được bằng sinh trắc học trên thiết bị này (ticket đã bị ghi đè bởi Tài khoản B), phải dùng PIN/OTP.</t>
        </is>
      </c>
      <c r="K94" s="25" t="inlineStr">
        <is>
          <t>Medium</t>
        </is>
      </c>
      <c r="L94" s="24" t="n"/>
      <c r="M94" s="24" t="inlineStr">
        <is>
          <t>Not Run</t>
        </is>
      </c>
      <c r="N94" s="24" t="n"/>
      <c r="O94" s="24" t="n"/>
      <c r="P94" s="25" t="inlineStr">
        <is>
          <t>QnA-07, QnA-11</t>
        </is>
      </c>
      <c r="Q94" s="25" t="inlineStr">
        <is>
          <t>Bổ sung theo yêu cầu review 28/08/2026 - đóng gap LI-07 chỉ có test Integration (INT-06/INT-15). Đặt tại SCR-AUT-04 (đúng SRS slide 51), không phải SCR-AUT-05 (Login - Authenticate không có bước bật sinh trắc học).</t>
        </is>
      </c>
      <c r="R94" s="23" t="n"/>
    </row>
    <row r="95" hidden="1" ht="75" customHeight="1" s="19">
      <c r="A95" s="25" t="inlineStr">
        <is>
          <t>SCR-AUT-04-SC6-TC1</t>
        </is>
      </c>
      <c r="B95" s="25" t="inlineStr">
        <is>
          <t>SCR-AUT-04-SC6</t>
        </is>
      </c>
      <c r="C95" s="25" t="inlineStr">
        <is>
          <t>SCR-AUT-04</t>
        </is>
      </c>
      <c r="D95" s="25" t="inlineStr">
        <is>
          <t>SU-05</t>
        </is>
      </c>
      <c r="E95" s="25" t="inlineStr">
        <is>
          <t>Validation</t>
        </is>
      </c>
      <c r="F95" s="25" t="inlineStr">
        <is>
          <t>Kiểm tra giá trị mặc định của toàn bộ trường tại màn Hồ sơ khi vừa vào màn hình</t>
        </is>
      </c>
      <c r="G95" s="25" t="inlineStr">
        <is>
          <t>Vừa tạo PIN thành công ở SCR-AUT-03, đã chọn store 'LOTTE Mart Nam Sài Gòn' ở Onboarding, kênh OTP đã dùng là Zalo.</t>
        </is>
      </c>
      <c r="H95" s="25" t="inlineStr">
        <is>
          <t>1. Vào màn Hồ sơ, KHÔNG thao tác gì.
2. Quan sát và ghi nhận giá trị hiện có của từng trường: Tên, Giới tính, Ngày sinh, Quốc tịch, Store đăng ký, checkbox Điều khoản, checkbox Marketing.</t>
        </is>
      </c>
      <c r="I95" s="25" t="inlineStr">
        <is>
          <t>N/A - chỉ quan sát mặc định.</t>
        </is>
      </c>
      <c r="J95" s="25" t="inlineStr">
        <is>
          <t>Giới tính = 'Chị'; Store = 'LOTTE Mart Nam Sài Gòn' (đã chốt, xem SC2). Checkbox Điều khoản = KHÔNG tick (bắt buộc); checkbox Marketing = KHÔNG tick (tuỳ chọn) (đã chốt, xem SC1). Tên/Ngày sinh/Quốc tịch: TBD - đang chờ QnA-75, ghi nhận hành vi thực tế (để trống hay có gợi ý từ hồ sơ Zalo).</t>
        </is>
      </c>
      <c r="K95" s="25" t="inlineStr">
        <is>
          <t>Medium</t>
        </is>
      </c>
      <c r="L95" s="24" t="n"/>
      <c r="M95" s="24" t="inlineStr">
        <is>
          <t>Not Run</t>
        </is>
      </c>
      <c r="N95" s="24" t="n"/>
      <c r="O95" s="24" t="n"/>
      <c r="P95" s="25" t="inlineStr">
        <is>
          <t>QnA-75</t>
        </is>
      </c>
      <c r="Q95" s="25" t="inlineStr">
        <is>
          <t>Bổ sung theo yêu cầu review 31/08/2026.</t>
        </is>
      </c>
      <c r="R95" s="23" t="n"/>
    </row>
    <row r="96" ht="90" customHeight="1" s="19">
      <c r="A96" s="25" t="inlineStr">
        <is>
          <t>SCR-AUT-04-SC7-TC1</t>
        </is>
      </c>
      <c r="B96" s="25" t="inlineStr">
        <is>
          <t>SCR-AUT-04-SC7</t>
        </is>
      </c>
      <c r="C96" s="25" t="inlineStr">
        <is>
          <t>SCR-AUT-04</t>
        </is>
      </c>
      <c r="D96" s="25" t="inlineStr">
        <is>
          <t>SU-06</t>
        </is>
      </c>
      <c r="E96" s="25" t="inlineStr">
        <is>
          <t>Functional</t>
        </is>
      </c>
      <c r="F96" s="25" t="inlineStr">
        <is>
          <t>Xác nhận nút 'Tạo tài khoản' có đẩy qua màn hình xác nhận 'Account Created' riêng biệt không</t>
        </is>
      </c>
      <c r="G96" s="25" t="inlineStr">
        <is>
          <t>Đã điền đủ hồ sơ hợp lệ, tick Điều khoản.</t>
        </is>
      </c>
      <c r="H96" s="25" t="inlineStr">
        <is>
          <t>1. Bấm 'Tạo tài khoản'.
2. Quan sát màn hình xuất hiện NGAY SAU khi bấm - có phải 1 màn xác nhận 'Account Created' riêng (khác với lời mời sinh trắc học ở SC4) không.
3. Nếu có, ghi nhận nội dung/thành phần trên màn đó.</t>
        </is>
      </c>
      <c r="I96" s="25" t="inlineStr">
        <is>
          <t>Hồ sơ hợp lệ mẫu.</t>
        </is>
      </c>
      <c r="J96" s="25" t="inlineStr">
        <is>
          <t>TBD - đang chờ QnA-76.</t>
        </is>
      </c>
      <c r="K96" s="25" t="inlineStr">
        <is>
          <t>Medium</t>
        </is>
      </c>
      <c r="L96" s="24" t="n"/>
      <c r="M96" s="24" t="inlineStr">
        <is>
          <t>Not Run</t>
        </is>
      </c>
      <c r="N96" s="24" t="n"/>
      <c r="O96" s="24" t="n"/>
      <c r="P96" s="25" t="inlineStr">
        <is>
          <t>QnA-76</t>
        </is>
      </c>
      <c r="Q96" s="25" t="inlineStr">
        <is>
          <t>Bổ sung theo yêu cầu review 31/08/2026.</t>
        </is>
      </c>
      <c r="R96" s="23" t="n"/>
    </row>
    <row r="97" ht="120" customHeight="1" s="19">
      <c r="A97" s="25" t="inlineStr">
        <is>
          <t>SCR-AUT-04-SC7-TC2</t>
        </is>
      </c>
      <c r="B97" s="25" t="inlineStr">
        <is>
          <t>SCR-AUT-04-SC7</t>
        </is>
      </c>
      <c r="C97" s="25" t="inlineStr">
        <is>
          <t>SCR-AUT-04</t>
        </is>
      </c>
      <c r="D97" s="25" t="inlineStr">
        <is>
          <t>SU-06, SU-07, SU-08</t>
        </is>
      </c>
      <c r="E97" s="25" t="inlineStr">
        <is>
          <t>Functional</t>
        </is>
      </c>
      <c r="F97" s="25" t="inlineStr">
        <is>
          <t>Thứ tự chính xác giữa màn Account Created (nếu có), lời mời sinh trắc học, và resume giỏ hàng sau Submit</t>
        </is>
      </c>
      <c r="G97" s="25" t="inlineStr">
        <is>
          <t>Luồng Signup được kích hoạt từ 1 thao tác 'Add to Cart' bị chặn bởi login gate (giống bối cảnh SC3).</t>
        </is>
      </c>
      <c r="H97" s="25" t="inlineStr">
        <is>
          <t>1. Từ login gate (trigger Add to Cart trên SKU-A), hoàn tất SĐT/OTP/PIN/Hồ sơ, bấm 'Tạo tài khoản'.
2. Ghi nhận đầy đủ THỨ TỰ các màn hình/sự kiện xuất hiện: (a) màn Account Created (nếu có, theo SC7-TC1), (b) lời mời sinh trắc học (SC4), (c) thời điểm SKU-A xuất hiện trong giỏ hàng.
3. Xác nhận không có bước nào trong số này chặn/làm mất bước còn lại.</t>
        </is>
      </c>
      <c r="I97" s="25" t="inlineStr">
        <is>
          <t>SKU-A còn hàng.</t>
        </is>
      </c>
      <c r="J97" s="25" t="inlineStr">
        <is>
          <t>TBD - đang chờ QnA-76 xác nhận thứ tự chính xác. Ghi nhận hành vi thực tế, không tự ý chấm Pass/Fail cho phần thứ tự khi chưa có câu trả lời chính thức; riêng việc SKU-A cuối cùng phải có mặt trong giỏ hàng và tài khoản phải ở trạng thái đăng nhập vẫn là điều kiện PASS bắt buộc (đã chốt ở SC3).</t>
        </is>
      </c>
      <c r="K97" s="25" t="inlineStr">
        <is>
          <t>Medium</t>
        </is>
      </c>
      <c r="L97" s="24" t="n"/>
      <c r="M97" s="24" t="inlineStr">
        <is>
          <t>Not Run</t>
        </is>
      </c>
      <c r="N97" s="24" t="n"/>
      <c r="O97" s="24" t="n"/>
      <c r="P97" s="25" t="inlineStr">
        <is>
          <t>QnA-76</t>
        </is>
      </c>
      <c r="Q97" s="25" t="inlineStr">
        <is>
          <t>Bổ sung theo yêu cầu review 31/08/2026.</t>
        </is>
      </c>
      <c r="R97" s="23" t="n"/>
    </row>
    <row r="98" ht="165" customHeight="1" s="19">
      <c r="A98" s="25" t="inlineStr">
        <is>
          <t>SCR-AUT-04-SC8-TC1</t>
        </is>
      </c>
      <c r="B98" s="25" t="inlineStr">
        <is>
          <t>SCR-AUT-04-SC8</t>
        </is>
      </c>
      <c r="C98" s="25" t="inlineStr">
        <is>
          <t>SCR-AUT-04</t>
        </is>
      </c>
      <c r="D98" s="25" t="inlineStr">
        <is>
          <t>SU-05</t>
        </is>
      </c>
      <c r="E98" s="25" t="inlineStr">
        <is>
          <t>Edge</t>
        </is>
      </c>
      <c r="F98" s="25" t="inlineStr">
        <is>
          <t>Thoát hẳn (kill) app giữa lúc đang điền Hồ sơ (chưa Submit) rồi mở lại</t>
        </is>
      </c>
      <c r="G98" s="25" t="inlineStr">
        <is>
          <t>Đã tạo PIN thành công, đang ở SCR-AUT-04, đã điền dở 1 vài trường (ví dụ Tên), chưa bấm Tạo tài khoản.</t>
        </is>
      </c>
      <c r="H98" s="25" t="inlineStr">
        <is>
          <t>1. Điền dở Tên và Ngày sinh (không điền hết), kill app.
2. Mở lại app, quan sát màn hình mở vào.
3. Nếu quay lại đúng màn Hồ sơ, kiểm tra dữ liệu đã điền dở có còn giữ không.</t>
        </is>
      </c>
      <c r="I98" s="25" t="inlineStr">
        <is>
          <t>Tên test: 'Nguyễn Văn B' (điền dở, chưa Submit).</t>
        </is>
      </c>
      <c r="J98" s="25" t="inlineStr">
        <is>
          <t>TBD - đang chờ QnA-77. Ghi nhận hành vi thực tế, không tự ý chấm Pass/Fail.</t>
        </is>
      </c>
      <c r="K98" s="25" t="inlineStr">
        <is>
          <t>Medium</t>
        </is>
      </c>
      <c r="L98" s="24" t="n"/>
      <c r="M98" s="24" t="inlineStr">
        <is>
          <t>Not Run</t>
        </is>
      </c>
      <c r="N98" s="24" t="n"/>
      <c r="O98" s="24" t="n"/>
      <c r="P98" s="25" t="inlineStr">
        <is>
          <t>QnA-77</t>
        </is>
      </c>
      <c r="Q98" s="25" t="inlineStr">
        <is>
          <t>Bổ sung theo yêu cầu review 31/08/2026.</t>
        </is>
      </c>
      <c r="R98" s="23" t="n"/>
    </row>
    <row r="99" ht="69.75" customHeight="1" s="19">
      <c r="A99" s="23" t="inlineStr">
        <is>
          <t>SCR-AUT-05-SC1-TC1</t>
        </is>
      </c>
      <c r="B99" s="23" t="inlineStr">
        <is>
          <t>SCR-AUT-05-SC1</t>
        </is>
      </c>
      <c r="C99" s="23" t="inlineStr">
        <is>
          <t>SCR-AUT-05</t>
        </is>
      </c>
      <c r="D99" s="23" t="inlineStr">
        <is>
          <t>LI-02</t>
        </is>
      </c>
      <c r="E99" s="23" t="inlineStr">
        <is>
          <t>Functional</t>
        </is>
      </c>
      <c r="F99" s="23" t="inlineStr">
        <is>
          <t>Đăng nhập bằng Face ID/vân tay khi đã bật trên thiết bị</t>
        </is>
      </c>
      <c r="G99" s="23" t="inlineStr">
        <is>
          <t>Tài khoản test đã bật Face ID/vân tay trên thiết bị đang test.</t>
        </is>
      </c>
      <c r="H99" s="23" t="inlineStr">
        <is>
          <t>1. Mở màn đăng nhập ('Existing customer - Sign in').
2. Hệ thống tự động kích hoạt prompt Face ID/vân tay.
3. Xác thực sinh trắc học thành công.
4. Quan sát kết quả.</t>
        </is>
      </c>
      <c r="I99" s="23" t="inlineStr">
        <is>
          <t>Tài khoản test đã liên kết bio ticket với thiết bị.</t>
        </is>
      </c>
      <c r="J99" s="23" t="inlineStr">
        <is>
          <t>Prompt sinh trắc học được gọi TỰ ĐỘNG (không cần nhập SĐT trước); xác thực thành công đăng nhập ngay và resume đúng thao tác đã kích hoạt gate (LI-03).</t>
        </is>
      </c>
      <c r="K99" s="23" t="inlineStr">
        <is>
          <t>High</t>
        </is>
      </c>
      <c r="L99" s="24" t="n"/>
      <c r="M99" s="24" t="inlineStr">
        <is>
          <t>Not Run</t>
        </is>
      </c>
      <c r="N99" s="24" t="n"/>
      <c r="O99" s="24" t="n"/>
      <c r="P99" s="23" t="n"/>
      <c r="Q99" s="23" t="n"/>
      <c r="R99" s="23" t="n"/>
    </row>
    <row r="100" ht="180" customHeight="1" s="19">
      <c r="A100" s="25" t="inlineStr">
        <is>
          <t>SCR-AUT-05-SC1-TC2</t>
        </is>
      </c>
      <c r="B100" s="25" t="inlineStr">
        <is>
          <t>SCR-AUT-05-SC1</t>
        </is>
      </c>
      <c r="C100" s="25" t="inlineStr">
        <is>
          <t>SCR-AUT-05</t>
        </is>
      </c>
      <c r="D100" s="25" t="inlineStr">
        <is>
          <t>LI-02, NFR-02</t>
        </is>
      </c>
      <c r="E100" s="25" t="inlineStr">
        <is>
          <t>Negative</t>
        </is>
      </c>
      <c r="F100" s="25" t="inlineStr">
        <is>
          <t>Sau khi bio ticket bị ghi đè bởi tài khoản khác trên cùng thiết bị, đăng nhập lại tài khoản cũ KHÔNG còn tự động hiện prompt sinh trắc học</t>
        </is>
      </c>
      <c r="G100" s="25" t="inlineStr">
        <is>
          <t>Đã thực hiện đúng kịch bản SCR-AUT-04-SC5-TC1 (Tài khoản A bị ghi đè bio ticket bởi Tài khoản B trên cùng thiết bị).</t>
        </is>
      </c>
      <c r="H100" s="25" t="inlineStr">
        <is>
          <t>1. Đăng xuất Tài khoản B, ở màn đăng nhập nhập lại SĐT của Tài khoản A.
2. Quan sát hệ thống có tự động gọi prompt Face ID/vân tay không.
3. Xác nhận Tài khoản A phải đăng nhập bằng SĐT+PIN (không còn đường sinh trắc học trên thiết bị này).</t>
        </is>
      </c>
      <c r="I100" s="25" t="inlineStr">
        <is>
          <t>Tài khoản A (đã bị ghi đè ticket), Tài khoản B (chủ ticket hiện tại).</t>
        </is>
      </c>
      <c r="J100" s="25" t="inlineStr">
        <is>
          <t>Bước 2: KHÔNG tự động hiện prompt sinh trắc học cho Tài khoản A (vì thiết bị chỉ giữ 1 ticket đang hoạt động, hiện thuộc về Tài khoản B - theo NFR-02/SCR-AUT-04-SC5 đã chốt). Bước 3: Tài khoản A phải dùng SĐT+PIN như luồng fallback bình thường (SC2).</t>
        </is>
      </c>
      <c r="K100" s="25" t="inlineStr">
        <is>
          <t>Medium</t>
        </is>
      </c>
      <c r="L100" s="24" t="n"/>
      <c r="M100" s="24" t="inlineStr">
        <is>
          <t>Not Run</t>
        </is>
      </c>
      <c r="N100" s="24" t="n"/>
      <c r="O100" s="24" t="n"/>
      <c r="P100" s="25" t="inlineStr">
        <is>
          <t>QnA-07, QnA-11</t>
        </is>
      </c>
      <c r="Q100" s="25" t="inlineStr">
        <is>
          <t>Bổ sung theo yêu cầu review 31/08/2026. Hệ quả trực tiếp của rule đã chốt tại SCR-AUT-04-SC5 (ghi đè ticket) nhưng chưa từng được xác nhận TẠI màn Đăng nhập (SCR-AUT-05); test case này đóng nốt phần hệ quả còn thiếu, không cần QnA mới.</t>
        </is>
      </c>
      <c r="R100" s="23" t="n"/>
    </row>
    <row r="101" ht="105" customHeight="1" s="19">
      <c r="A101" s="23" t="inlineStr">
        <is>
          <t>SCR-AUT-05-SC1-TC3</t>
        </is>
      </c>
      <c r="B101" s="23" t="inlineStr">
        <is>
          <t>SCR-AUT-05-SC1</t>
        </is>
      </c>
      <c r="C101" s="23" t="inlineStr">
        <is>
          <t>SCR-AUT-05</t>
        </is>
      </c>
      <c r="D101" s="23" t="inlineStr">
        <is>
          <t>LI-02</t>
        </is>
      </c>
      <c r="E101" s="23" t="inlineStr">
        <is>
          <t>Functional</t>
        </is>
      </c>
      <c r="F101" s="23" t="inlineStr">
        <is>
          <t>Nút 'Use PIN instead' trên màn hình prompt sinh trắc học - bỏ qua sinh trắc học, chuyển thẳng sang nhập PIN</t>
        </is>
      </c>
      <c r="G101" s="23" t="inlineStr">
        <is>
          <t>Tài khoản test đã bật sinh trắc học trên thiết bị, đang ở prompt sinh trắc học tự động (SC1).</t>
        </is>
      </c>
      <c r="H101" s="23" t="inlineStr">
        <is>
          <t>1. Khi prompt sinh trắc học hiện ra, KHÔNG xác thực, tìm và bấm nút 'Use PIN instead' (hoặc nhãn tương đương).
2. Quan sát màn hình chuyển tới.
3. Nhập đúng PIN, xác nhận đăng nhập thành công.</t>
        </is>
      </c>
      <c r="I101" s="23" t="inlineStr">
        <is>
          <t>PIN đúng của tài khoản test.</t>
        </is>
      </c>
      <c r="J101" s="23" t="inlineStr">
        <is>
          <t>Bấm 'Use PIN instead' huỷ prompt sinh trắc học ngay và chuyển thẳng sang màn nhập PIN (giống luồng SC2); nhập đúng PIN vẫn đăng nhập thành công bình thường - sinh trắc học không phải bắt buộc dù đã bật.</t>
        </is>
      </c>
      <c r="K101" s="23" t="inlineStr">
        <is>
          <t>Medium</t>
        </is>
      </c>
      <c r="L101" s="24" t="n"/>
      <c r="M101" s="24" t="inlineStr">
        <is>
          <t>Not Run</t>
        </is>
      </c>
      <c r="N101" s="24" t="n"/>
      <c r="O101" s="24" t="n"/>
      <c r="P101" s="23" t="n"/>
      <c r="Q101" s="23" t="inlineStr">
        <is>
          <t>Bổ sung theo yêu cầu review 31/08/2026. Trước đó SC1/SC2 chỉ test riêng từng nhánh (có/không có sinh trắc học), chưa test nút chuyển đổi thủ công NGAY TRONG LÚC đang hiện prompt sinh trắc học.</t>
        </is>
      </c>
      <c r="R101" s="23" t="n"/>
    </row>
    <row r="102" hidden="1" ht="69.75" customHeight="1" s="19">
      <c r="A102" s="23" t="inlineStr">
        <is>
          <t>SCR-AUT-05-SC2-TC1</t>
        </is>
      </c>
      <c r="B102" s="23" t="inlineStr">
        <is>
          <t>SCR-AUT-05-SC2</t>
        </is>
      </c>
      <c r="C102" s="23" t="inlineStr">
        <is>
          <t>SCR-AUT-05</t>
        </is>
      </c>
      <c r="D102" s="23" t="inlineStr">
        <is>
          <t>LI-01, LI-02</t>
        </is>
      </c>
      <c r="E102" s="23" t="inlineStr">
        <is>
          <t>Functional</t>
        </is>
      </c>
      <c r="F102" s="23" t="inlineStr">
        <is>
          <t>Đăng nhập bằng SĐT + PIN khi không có sinh trắc học</t>
        </is>
      </c>
      <c r="G102" s="23" t="inlineStr">
        <is>
          <t>Thiết bị test không bật sinh trắc học.</t>
        </is>
      </c>
      <c r="H102" s="23" t="inlineStr">
        <is>
          <t>1. Nhập SĐT đã đăng ký.
2. Hệ thống chuyển thẳng sang nhập PIN (không hiện prompt sinh trắc học).
3. Nhập đúng PIN 6 số.
4. Quan sát kết quả.</t>
        </is>
      </c>
      <c r="I102" s="23" t="inlineStr">
        <is>
          <t>SĐT: 0912345678 (đã đăng ký). PIN đúng: 123456.</t>
        </is>
      </c>
      <c r="J102" s="23" t="inlineStr">
        <is>
          <t>Không có prompt sinh trắc học khi thiết bị chưa bật; nhập đúng PIN đăng nhập thành công và resume thao tác ban đầu.</t>
        </is>
      </c>
      <c r="K102" s="23" t="inlineStr">
        <is>
          <t>High</t>
        </is>
      </c>
      <c r="L102" s="24" t="n"/>
      <c r="M102" s="24" t="inlineStr">
        <is>
          <t>Not Run</t>
        </is>
      </c>
      <c r="N102" s="24" t="n"/>
      <c r="O102" s="24" t="n"/>
      <c r="P102" s="23" t="n"/>
      <c r="Q102" s="23" t="n"/>
      <c r="R102" s="23" t="n"/>
    </row>
    <row r="103" hidden="1" ht="69.75" customHeight="1" s="19">
      <c r="A103" s="23" t="inlineStr">
        <is>
          <t>SCR-AUT-05-SC2-TC2</t>
        </is>
      </c>
      <c r="B103" s="23" t="inlineStr">
        <is>
          <t>SCR-AUT-05-SC2</t>
        </is>
      </c>
      <c r="C103" s="23" t="inlineStr">
        <is>
          <t>SCR-AUT-05</t>
        </is>
      </c>
      <c r="D103" s="23" t="inlineStr">
        <is>
          <t>LI-01</t>
        </is>
      </c>
      <c r="E103" s="23" t="inlineStr">
        <is>
          <t>Negative</t>
        </is>
      </c>
      <c r="F103" s="23" t="inlineStr">
        <is>
          <t>Nhập số điện thoại sai định dạng ở màn Đăng nhập báo lỗi rõ ràng</t>
        </is>
      </c>
      <c r="G103" s="23" t="inlineStr">
        <is>
          <t>Đang ở màn nhập số điện thoại của Đăng nhập (SCR-AUT-05).</t>
        </is>
      </c>
      <c r="H103" s="23" t="inlineStr">
        <is>
          <t>1. Nhập số điện thoại sai định dạng, lần lượt: '0912' (thiếu số), '091234abcd' (có chữ xen vào), '912345678' (thiếu số 0 đầu).
2. Bấm Tiếp tục.
3. Quan sát thông báo lỗi và ô nhập.</t>
        </is>
      </c>
      <c r="I103" s="23" t="inlineStr">
        <is>
          <t>SĐT sai định dạng: '0912', '091234abcd', '912345678'.</t>
        </is>
      </c>
      <c r="J103" s="23" t="inlineStr">
        <is>
          <t>Bước 2: hệ thống KHÔNG chuyển sang bước nhập PIN/OTP. Bước 3: hiển thị thông báo lỗi định dạng số điện thoại rõ ràng ngay tại ô nhập; ô SĐT giữ nguyên giá trị vừa gõ.</t>
        </is>
      </c>
      <c r="K103" s="23" t="inlineStr">
        <is>
          <t>Medium</t>
        </is>
      </c>
      <c r="L103" s="24" t="n"/>
      <c r="M103" s="24" t="inlineStr">
        <is>
          <t>Not Run</t>
        </is>
      </c>
      <c r="N103" s="24" t="n"/>
      <c r="O103" s="24" t="n"/>
      <c r="P103" s="23" t="n"/>
      <c r="Q103" s="23" t="inlineStr">
        <is>
          <t>Bổ sung theo Review 25/08/2026 - trước đó chỉ test SĐT đã đăng ký/chưa đăng ký, chưa test gõ sai kiểu số ngay từ đầu.</t>
        </is>
      </c>
      <c r="R103" s="23" t="n"/>
    </row>
    <row r="104" hidden="1" ht="120" customHeight="1" s="19">
      <c r="A104" s="23" t="inlineStr">
        <is>
          <t>SCR-AUT-05-SC2-TC3</t>
        </is>
      </c>
      <c r="B104" s="23" t="inlineStr">
        <is>
          <t>SCR-AUT-05-SC2</t>
        </is>
      </c>
      <c r="C104" s="23" t="inlineStr">
        <is>
          <t>SCR-AUT-05</t>
        </is>
      </c>
      <c r="D104" s="23" t="inlineStr">
        <is>
          <t>LI-05</t>
        </is>
      </c>
      <c r="E104" s="23" t="inlineStr">
        <is>
          <t>Functional</t>
        </is>
      </c>
      <c r="F104" s="23" t="inlineStr">
        <is>
          <t>Nút 'Forget your PIN' tại màn nhập PIN điều hướng đúng sang luồng Quên PIN (SCR-AUT-06)</t>
        </is>
      </c>
      <c r="G104" s="23" t="inlineStr">
        <is>
          <t>Đang ở màn nhập PIN đăng nhập (SC2), chưa nhập PIN hoặc vừa nhập sai.</t>
        </is>
      </c>
      <c r="H104" s="23" t="inlineStr">
        <is>
          <t>1. Ở màn nhập PIN, tìm và bấm nút 'Forget your PIN' (hoặc nhãn tương đương, ví dụ 'Quên PIN').
2. Quan sát màn hình chuyển tới.
3. Xác nhận đây đúng là luồng SCR-AUT-06 (Quên PIN) đã có sẵn.</t>
        </is>
      </c>
      <c r="I104" s="23" t="inlineStr">
        <is>
          <t>N/A.</t>
        </is>
      </c>
      <c r="J104" s="23" t="inlineStr">
        <is>
          <t>Bấm 'Forget your PIN' điều hướng đúng sang SCR-AUT-06 (giống hệt luồng 'Quên PIN' đã test ở SCR-AUT-06-SC1), không phải 1 luồng khác biệt.</t>
        </is>
      </c>
      <c r="K104" s="23" t="inlineStr">
        <is>
          <t>Low</t>
        </is>
      </c>
      <c r="L104" s="24" t="n"/>
      <c r="M104" s="24" t="inlineStr">
        <is>
          <t>Not Run</t>
        </is>
      </c>
      <c r="N104" s="24" t="n"/>
      <c r="O104" s="24" t="n"/>
      <c r="P104" s="23" t="n"/>
      <c r="Q104" s="23" t="inlineStr">
        <is>
          <t>Bổ sung theo yêu cầu review 31/08/2026. SCR-AUT-06-SC1 hiện có đã test NỘI DUNG luồng Quên PIN nhưng chưa test rõ ĐIỂM VÀO (entry point) là nút 'Forget your PIN' tại chính màn nhập PIN đăng nhập.</t>
        </is>
      </c>
      <c r="R104" s="23" t="n"/>
    </row>
    <row r="105" hidden="1" ht="69.75" customHeight="1" s="19">
      <c r="A105" s="23" t="inlineStr">
        <is>
          <t>SCR-AUT-05-SC3-TC1</t>
        </is>
      </c>
      <c r="B105" s="23" t="inlineStr">
        <is>
          <t>SCR-AUT-05-SC3</t>
        </is>
      </c>
      <c r="C105" s="23" t="inlineStr">
        <is>
          <t>SCR-AUT-05</t>
        </is>
      </c>
      <c r="D105" s="23" t="inlineStr">
        <is>
          <t>LI-04</t>
        </is>
      </c>
      <c r="E105" s="23" t="inlineStr">
        <is>
          <t>Negative</t>
        </is>
      </c>
      <c r="F105" s="23" t="inlineStr">
        <is>
          <t>Đăng nhập với SĐT chưa đăng ký báo lỗi và chuyển CTA sang Đăng ký</t>
        </is>
      </c>
      <c r="G105" s="23" t="inlineStr">
        <is>
          <t>Đang ở màn nhập SĐT đăng nhập.</t>
        </is>
      </c>
      <c r="H105" s="23" t="inlineStr">
        <is>
          <t>1. Nhập 1 SĐT chưa từng đăng ký (ví dụ 0900000000).
2. Bấm Tiếp tục.
3. Quan sát thông báo và ô nhập SĐT.
4. Quan sát CTA chính.</t>
        </is>
      </c>
      <c r="I105" s="23" t="inlineStr">
        <is>
          <t>SĐT chưa đăng ký: 0900000000.</t>
        </is>
      </c>
      <c r="J105" s="23" t="inlineStr">
        <is>
          <t>Báo lỗi 'số chưa được đăng ký'; ô SĐT giữ nguyên giá trị; CTA chính đổi thành 'Đăng ký' với SĐT đã điền sẵn.</t>
        </is>
      </c>
      <c r="K105" s="23" t="inlineStr">
        <is>
          <t>High</t>
        </is>
      </c>
      <c r="L105" s="24" t="n"/>
      <c r="M105" s="24" t="inlineStr">
        <is>
          <t>Not Run</t>
        </is>
      </c>
      <c r="N105" s="24" t="n"/>
      <c r="O105" s="24" t="n"/>
      <c r="P105" s="23" t="n"/>
      <c r="Q105" s="23" t="n"/>
      <c r="R105" s="23" t="inlineStr">
        <is>
          <t>[Review trước đó — ĐÃ ĐƯỢC XỬ LÝ] Gap 'thiếu test SĐT sai định dạng ở Đăng nhập' đã được bổ sung bằng test case mới SCR-AUT-05-SC2-TC2. Không cần sửa gì thêm ở TC1 này.</t>
        </is>
      </c>
    </row>
    <row r="106" hidden="1" ht="69.75" customHeight="1" s="19">
      <c r="A106" s="25" t="inlineStr">
        <is>
          <t>SCR-AUT-05-SC4-TC1</t>
        </is>
      </c>
      <c r="B106" s="25" t="inlineStr">
        <is>
          <t>SCR-AUT-05-SC4</t>
        </is>
      </c>
      <c r="C106" s="25" t="inlineStr">
        <is>
          <t>SCR-AUT-05</t>
        </is>
      </c>
      <c r="D106" s="25" t="inlineStr">
        <is>
          <t>LI-06</t>
        </is>
      </c>
      <c r="E106" s="25" t="inlineStr">
        <is>
          <t>Boundary</t>
        </is>
      </c>
      <c r="F106" s="25" t="inlineStr">
        <is>
          <t>Vượt quá giới hạn nhập sai PIN buộc phải xác thực lại bằng OTP</t>
        </is>
      </c>
      <c r="G106" s="25" t="inlineStr">
        <is>
          <t>Tài khoản test, PIN đúng là 123456.</t>
        </is>
      </c>
      <c r="H106" s="25" t="inlineStr">
        <is>
          <t>1. Nhập sai PIN (ví dụ 111111) liên tiếp đủ số lần giới hạn (theo cấu hình cuối cùng từ Security/Dev, hiện tạm dùng N=5 làm giá trị placeholder).
2. Quan sát trạng thái sau lần thử cuối vượt ngưỡng.
3. Xác nhận hệ thống yêu cầu xác thực lại bằng OTP trước khi cho nhập PIN tiếp.</t>
        </is>
      </c>
      <c r="I106" s="25" t="inlineStr">
        <is>
          <t>PIN đúng: 123456. PIN sai dùng để test: 111111. N (số lần tối đa) = giá trị cấu hình chính thức từ OQ-03 - CẬP NHẬT LẠI khi có xác nhận.</t>
        </is>
      </c>
      <c r="J106" s="25" t="inlineStr">
        <is>
          <t>Sau khi vượt qua N lần sai, hệ thống khoá tạm thời và bắt buộc OTP trước khi cho thử PIN lại; thông báo lý do khoá rõ ràng cho khách.</t>
        </is>
      </c>
      <c r="K106" s="25" t="inlineStr">
        <is>
          <t>High</t>
        </is>
      </c>
      <c r="L106" s="24" t="n"/>
      <c r="M106" s="24" t="inlineStr">
        <is>
          <t>Not Run</t>
        </is>
      </c>
      <c r="N106" s="24" t="n"/>
      <c r="O106" s="24" t="n"/>
      <c r="P106" s="25" t="inlineStr">
        <is>
          <t>QnA-03</t>
        </is>
      </c>
      <c r="Q106" s="25" t="inlineStr">
        <is>
          <t>Giá trị N và thời gian khoá là placeholder, PHẢI cập nhật lại test case này ngay khi OQ-03/QnA-03 được BA/Security xác nhận chính thức.</t>
        </is>
      </c>
      <c r="R106" s="23" t="inlineStr">
        <is>
          <t>[Review trước đó, vẫn còn hiệu lực] N=5 vẫn chỉ là placeholder minh hoạ, QnA-03/OQ-03 vẫn đang Open (chưa có câu trả lời tính đến 25/08/2026). Nhắc lại: PHẢI cập nhật lại giá trị N và thời gian khoá thật khi Security/Dev trả lời, nếu không test này sẽ pass/fail sai theo số liệu giả định.</t>
        </is>
      </c>
    </row>
    <row r="107" hidden="1" ht="69.75" customHeight="1" s="19">
      <c r="A107" s="25" t="inlineStr">
        <is>
          <t>SCR-AUT-05-SC4-TC2</t>
        </is>
      </c>
      <c r="B107" s="25" t="inlineStr">
        <is>
          <t>SCR-AUT-05-SC4</t>
        </is>
      </c>
      <c r="C107" s="25" t="inlineStr">
        <is>
          <t>SCR-AUT-05</t>
        </is>
      </c>
      <c r="D107" s="25" t="inlineStr">
        <is>
          <t>LI-06</t>
        </is>
      </c>
      <c r="E107" s="25" t="inlineStr">
        <is>
          <t>Negative</t>
        </is>
      </c>
      <c r="F107" s="25" t="inlineStr">
        <is>
          <t>Nhập sai OTP đúng 1 lần trong bước xác thực lại (sau khi vượt giới hạn PIN) - chưa bị khoá thêm</t>
        </is>
      </c>
      <c r="G107" s="25" t="inlineStr">
        <is>
          <t>Đã vượt giới hạn nhập sai PIN và đang ở bước bắt buộc xác thực lại bằng OTP (nối tiếp SCR-AUT-05-SC4-TC1).</t>
        </is>
      </c>
      <c r="H107" s="25" t="inlineStr">
        <is>
          <t>1. Nhận OTP xác thực lại, nhập SAI 1 lần.
2. Quan sát thông báo lỗi.
3. Nhập lại đúng OTP ngay sau đó.</t>
        </is>
      </c>
      <c r="I107" s="25" t="inlineStr">
        <is>
          <t>OTP đúng: mã hợp lệ từ môi trường test. OTP sai dùng để test: đổi 1 chữ số cuối.</t>
        </is>
      </c>
      <c r="J107" s="25" t="inlineStr">
        <is>
          <t>Bước 2: hiển thị lỗi 'Mã OTP không đúng, vui lòng thử lại', KHÔNG bị khoá thêm/kéo dài thời gian khoá chỉ vì sai OTP 1 lần ở bước xác thực lại này. Bước 3: nhập đúng OTP thành công, được cho nhập lại PIN mới hoặc tiếp tục đăng nhập bình thường.</t>
        </is>
      </c>
      <c r="K107" s="25" t="inlineStr">
        <is>
          <t>Medium</t>
        </is>
      </c>
      <c r="L107" s="24" t="n"/>
      <c r="M107" s="24" t="inlineStr">
        <is>
          <t>Not Run</t>
        </is>
      </c>
      <c r="N107" s="24" t="n"/>
      <c r="O107" s="24" t="n"/>
      <c r="P107" s="25" t="inlineStr">
        <is>
          <t>QnA-03</t>
        </is>
      </c>
      <c r="Q107" s="25" t="inlineStr">
        <is>
          <t>Bổ sung theo Review 25/08/2026, nối tiếp SCR-AUT-05-SC4-TC1.</t>
        </is>
      </c>
      <c r="R107" s="23" t="n"/>
    </row>
    <row r="108" hidden="1" ht="105" customHeight="1" s="19">
      <c r="A108" s="25" t="inlineStr">
        <is>
          <t>SCR-AUT-05-SC5-TC1</t>
        </is>
      </c>
      <c r="B108" s="25" t="inlineStr">
        <is>
          <t>SCR-AUT-05-SC5</t>
        </is>
      </c>
      <c r="C108" s="25" t="inlineStr">
        <is>
          <t>SCR-AUT-05</t>
        </is>
      </c>
      <c r="D108" s="25" t="inlineStr">
        <is>
          <t>LI-01</t>
        </is>
      </c>
      <c r="E108" s="25" t="inlineStr">
        <is>
          <t>Regression</t>
        </is>
      </c>
      <c r="F108" s="25" t="inlineStr">
        <is>
          <t>Xác nhận toàn bộ entry point đã biết dẫn tới màn Đăng nhập, và rà soát entry point khác chưa được test</t>
        </is>
      </c>
      <c r="G108" s="25" t="inlineStr">
        <is>
          <t>Guest hoặc vừa Logout.</t>
        </is>
      </c>
      <c r="H108" s="25" t="inlineStr">
        <is>
          <t>1. Bấm Add to Cart trên 1 sản phẩm, ở bottom sheet gate chọn 'Existing customer - Sign in', xác nhận mở đúng SCR-AUT-05.
2. Lặp lại với Cart icon.
3. Thực hiện Logout (theo SCR-HOM-06-SC2), quan sát Homepage sau Logout có CTA 'Sign in' nào hiển thị thường trực (không cần trigger gate) không.
4. Rà soát SRS/Figma tìm entry point khác.</t>
        </is>
      </c>
      <c r="I108" s="25" t="inlineStr">
        <is>
          <t>N/A.</t>
        </is>
      </c>
      <c r="J108" s="25" t="inlineStr">
        <is>
          <t>Bước 1-2: cả 2 lối vào đều dẫn đúng tới SCR-AUT-05 (đã xác nhận tại SCR-AUT-01-SC1/SC2). Bước 3-4: TBD - đang chờ QnA-78.</t>
        </is>
      </c>
      <c r="K108" s="25" t="inlineStr">
        <is>
          <t>Low</t>
        </is>
      </c>
      <c r="L108" s="24" t="n"/>
      <c r="M108" s="24" t="inlineStr">
        <is>
          <t>Not Run</t>
        </is>
      </c>
      <c r="N108" s="24" t="n"/>
      <c r="O108" s="24" t="n"/>
      <c r="P108" s="25" t="inlineStr">
        <is>
          <t>QnA-78</t>
        </is>
      </c>
      <c r="Q108" s="25" t="inlineStr">
        <is>
          <t>Bổ sung theo yêu cầu review 31/08/2026.</t>
        </is>
      </c>
      <c r="R108" s="23" t="n"/>
    </row>
    <row r="109" hidden="1" ht="150" customHeight="1" s="19">
      <c r="A109" s="25" t="inlineStr">
        <is>
          <t>SCR-AUT-05-SC6-TC1</t>
        </is>
      </c>
      <c r="B109" s="25" t="inlineStr">
        <is>
          <t>SCR-AUT-05-SC6</t>
        </is>
      </c>
      <c r="C109" s="25" t="inlineStr">
        <is>
          <t>SCR-AUT-05</t>
        </is>
      </c>
      <c r="D109" s="25" t="inlineStr">
        <is>
          <t>LI-02, NFR-02</t>
        </is>
      </c>
      <c r="E109" s="25" t="inlineStr">
        <is>
          <t>Edge</t>
        </is>
      </c>
      <c r="F109" s="25" t="inlineStr">
        <is>
          <t>Đăng nhập cùng tài khoản trên thiết bị B rồi quay lại thiết bị A - kiểm tra bio ticket của thiết bị A còn hiệu lực không</t>
        </is>
      </c>
      <c r="G109" s="25" t="inlineStr">
        <is>
          <t>Tài khoản X đã bật sinh trắc học trên thiết bị A.</t>
        </is>
      </c>
      <c r="H109" s="25" t="inlineStr">
        <is>
          <t>1. Trên thiết bị B, đăng nhập tài khoản X bằng SĐT+PIN (không bật sinh trắc học trên B).
2. Quay lại thiết bị A, mở app, quan sát có còn tự động hiện prompt sinh trắc học cho tài khoản X không.
3. Nếu có, xác thực thử để xác nhận ticket còn hiệu lực.</t>
        </is>
      </c>
      <c r="I109" s="25" t="inlineStr">
        <is>
          <t>Tài khoản X, 2 thiết bị test A và B.</t>
        </is>
      </c>
      <c r="J109" s="25" t="inlineStr">
        <is>
          <t>TBD - đang chờ QnA-79.</t>
        </is>
      </c>
      <c r="K109" s="25" t="inlineStr">
        <is>
          <t>Medium</t>
        </is>
      </c>
      <c r="L109" s="24" t="n"/>
      <c r="M109" s="24" t="inlineStr">
        <is>
          <t>Not Run</t>
        </is>
      </c>
      <c r="N109" s="24" t="n"/>
      <c r="O109" s="24" t="n"/>
      <c r="P109" s="25" t="inlineStr">
        <is>
          <t>QnA-79</t>
        </is>
      </c>
      <c r="Q109" s="25" t="inlineStr">
        <is>
          <t>Bổ sung theo yêu cầu review 31/08/2026.</t>
        </is>
      </c>
      <c r="R109" s="23" t="n"/>
    </row>
    <row r="110" hidden="1" ht="69.75" customHeight="1" s="19">
      <c r="A110" s="23" t="inlineStr">
        <is>
          <t>SCR-AUT-06-SC1-TC1</t>
        </is>
      </c>
      <c r="B110" s="23" t="inlineStr">
        <is>
          <t>SCR-AUT-06-SC1</t>
        </is>
      </c>
      <c r="C110" s="23" t="inlineStr">
        <is>
          <t>SCR-AUT-06</t>
        </is>
      </c>
      <c r="D110" s="23" t="inlineStr">
        <is>
          <t>LI-05</t>
        </is>
      </c>
      <c r="E110" s="23" t="inlineStr">
        <is>
          <t>Functional</t>
        </is>
      </c>
      <c r="F110" s="23" t="inlineStr">
        <is>
          <t>Quên PIN - xác thực OTP trước khi cho đặt PIN mới</t>
        </is>
      </c>
      <c r="G110" s="23" t="inlineStr">
        <is>
          <t>Đang ở màn đăng nhập, bấm 'Quên PIN'.</t>
        </is>
      </c>
      <c r="H110" s="23" t="inlineStr">
        <is>
          <t>1. Bấm 'Quên PIN'.
2. Quan sát SĐT hiển thị dạng che (ẩn một phần số).
3. Chọn kênh OTP, nhập đúng mã OTP.
4. Nhập PIN mới 2 lần khớp nhau (khác PIN cũ).
5. Bấm Save.</t>
        </is>
      </c>
      <c r="I110" s="23" t="inlineStr">
        <is>
          <t>PIN cũ: 123456. PIN mới: 246810.</t>
        </is>
      </c>
      <c r="J110" s="23" t="inlineStr">
        <is>
          <t>SĐT được mask, không thể sửa trực tiếp tại đây. Chỉ sau khi OTP đúng mới cho nhập PIN mới. Sau Save, PIN cũ ('123456') ngừng hoạt động ngay, PIN mới ('246810') có hiệu lực.</t>
        </is>
      </c>
      <c r="K110" s="23" t="inlineStr">
        <is>
          <t>High</t>
        </is>
      </c>
      <c r="L110" s="24" t="n"/>
      <c r="M110" s="24" t="inlineStr">
        <is>
          <t>Not Run</t>
        </is>
      </c>
      <c r="N110" s="24" t="n"/>
      <c r="O110" s="24" t="n"/>
      <c r="P110" s="23" t="n"/>
      <c r="Q110" s="23" t="n"/>
      <c r="R110" s="23" t="n"/>
    </row>
    <row r="111" hidden="1" ht="69.75" customHeight="1" s="19">
      <c r="A111" s="25" t="inlineStr">
        <is>
          <t>SCR-AUT-06-SC1-TC2</t>
        </is>
      </c>
      <c r="B111" s="25" t="inlineStr">
        <is>
          <t>SCR-AUT-06-SC1</t>
        </is>
      </c>
      <c r="C111" s="25" t="inlineStr">
        <is>
          <t>SCR-AUT-06</t>
        </is>
      </c>
      <c r="D111" s="25" t="inlineStr">
        <is>
          <t>SU-03, LI-05</t>
        </is>
      </c>
      <c r="E111" s="25" t="inlineStr">
        <is>
          <t>Negative</t>
        </is>
      </c>
      <c r="F111" s="25" t="inlineStr">
        <is>
          <t>Nhập sai OTP đúng 1 lần trong bước Quên PIN, chưa bị khoá</t>
        </is>
      </c>
      <c r="G111" s="25" t="inlineStr">
        <is>
          <t>Đang ở luồng Quên PIN, vừa bấm gửi OTP.</t>
        </is>
      </c>
      <c r="H111" s="25" t="inlineStr">
        <is>
          <t>1. Nhận OTP hợp lệ nhưng nhập SAI 1 lần (đổi 1 chữ số cuối).
2. Quan sát thông báo lỗi.
3. Nhập lại đúng OTP ngay sau đó.
4. Tiếp tục đặt PIN mới.</t>
        </is>
      </c>
      <c r="I111" s="25" t="inlineStr">
        <is>
          <t>OTP đúng: mã hợp lệ từ môi trường test. OTP sai: đổi 1 chữ số cuối của mã đúng.</t>
        </is>
      </c>
      <c r="J111" s="25" t="inlineStr">
        <is>
          <t>Bước 2: hiển thị lỗi 'Mã OTP không đúng, vui lòng thử lại', KHÔNG bị khoá luồng Quên PIN chỉ vì sai 1 lần. Bước 3-4: nhập đúng OTP thì tiếp tục đặt PIN mới bình thường - hành vi nhất quán với SCR-AUT-02-SC1-TC4 (đăng ký) và SCR-AUT-05-SC4-TC2 (xác thực lại sau vượt PIN).</t>
        </is>
      </c>
      <c r="K111" s="25" t="inlineStr">
        <is>
          <t>Medium</t>
        </is>
      </c>
      <c r="L111" s="24" t="n"/>
      <c r="M111" s="24" t="inlineStr">
        <is>
          <t>Not Run</t>
        </is>
      </c>
      <c r="N111" s="24" t="n"/>
      <c r="O111" s="24" t="n"/>
      <c r="P111" s="25" t="inlineStr">
        <is>
          <t>QnA-03</t>
        </is>
      </c>
      <c r="Q111" s="25" t="inlineStr">
        <is>
          <t>Bổ sung theo yêu cầu review 27/08/2026 - SCR-AUT-06 trước đó chỉ có 2 test case đều Functional (happy-path), chưa có Negative nào.</t>
        </is>
      </c>
      <c r="R111" s="23" t="n"/>
    </row>
    <row r="112" hidden="1" ht="69.75" customHeight="1" s="19">
      <c r="A112" s="25" t="inlineStr">
        <is>
          <t>SCR-AUT-06-SC1-TC3</t>
        </is>
      </c>
      <c r="B112" s="25" t="inlineStr">
        <is>
          <t>SCR-AUT-06-SC1</t>
        </is>
      </c>
      <c r="C112" s="25" t="inlineStr">
        <is>
          <t>SCR-AUT-06</t>
        </is>
      </c>
      <c r="D112" s="25" t="inlineStr">
        <is>
          <t>SU-04, LI-05</t>
        </is>
      </c>
      <c r="E112" s="25" t="inlineStr">
        <is>
          <t>Boundary</t>
        </is>
      </c>
      <c r="F112" s="25" t="inlineStr">
        <is>
          <t>Đặt PIN mới trùng hoàn toàn với PIN cũ - TBD chờ QnA-56</t>
        </is>
      </c>
      <c r="G112" s="25" t="inlineStr">
        <is>
          <t>Đang ở bước đặt PIN mới trong luồng Quên PIN, đã xác thực OTP thành công. PIN cũ là 123456.</t>
        </is>
      </c>
      <c r="H112" s="25" t="inlineStr">
        <is>
          <t>1. Nhập PIN mới trùng với PIN cũ: '123456'.
2. Nhập lại '123456' ở ô xác nhận (khớp nhau).
3. Bấm Save.
4. GHI NHẬN hành vi thực tế: hệ thống có chặn/báo lỗi 'PIN mới phải khác PIN cũ' không, hay chấp nhận bình thường.</t>
        </is>
      </c>
      <c r="I112" s="25" t="inlineStr">
        <is>
          <t>PIN cũ: 123456. PIN mới nhập vào: 123456 (trùng PIN cũ).</t>
        </is>
      </c>
      <c r="J112" s="25" t="inlineStr">
        <is>
          <t>TBD - Expected Result (có chặn PIN trùng hay không) đang chờ câu trả lời QnA-56. Người thực thi CHỈ ghi nhận hành vi thực tế, không tự chấm Pass/Fail.</t>
        </is>
      </c>
      <c r="K112" s="25" t="inlineStr">
        <is>
          <t>Low</t>
        </is>
      </c>
      <c r="L112" s="24" t="n"/>
      <c r="M112" s="24" t="inlineStr">
        <is>
          <t>Not Run</t>
        </is>
      </c>
      <c r="N112" s="24" t="n"/>
      <c r="O112" s="24" t="n"/>
      <c r="P112" s="25" t="inlineStr">
        <is>
          <t>QnA-56</t>
        </is>
      </c>
      <c r="Q112" s="25" t="inlineStr">
        <is>
          <t>Bổ sung theo yêu cầu review 27/08/2026.</t>
        </is>
      </c>
      <c r="R112" s="23" t="n"/>
    </row>
    <row r="113" hidden="1" ht="150" customHeight="1" s="19">
      <c r="A113" s="25" t="inlineStr">
        <is>
          <t>SCR-AUT-06-SC1-TC4</t>
        </is>
      </c>
      <c r="B113" s="25" t="inlineStr">
        <is>
          <t>SCR-AUT-06-SC1</t>
        </is>
      </c>
      <c r="C113" s="25" t="inlineStr">
        <is>
          <t>SCR-AUT-06</t>
        </is>
      </c>
      <c r="D113" s="25" t="inlineStr">
        <is>
          <t>LI-05, SU-03</t>
        </is>
      </c>
      <c r="E113" s="25" t="inlineStr">
        <is>
          <t>Negative</t>
        </is>
      </c>
      <c r="F113" s="25" t="inlineStr">
        <is>
          <t>Kênh OTP Zalo không còn tồn tại/không khả dụng khi thực hiện Quên PIN</t>
        </is>
      </c>
      <c r="G113" s="25" t="inlineStr">
        <is>
          <t>Đang ở luồng Quên PIN, tài khoản test có SĐT mà tài khoản Zalo gắn với số đó đã bị khoá/không còn tồn tại.</t>
        </is>
      </c>
      <c r="H113" s="25" t="inlineStr">
        <is>
          <t>1. Bấm 'Quên PIN', hệ thống hiện SĐT dạng che.
2. Chọn/giữ kênh mặc định Zalo, bấm gửi OTP.
3. Quan sát hệ thống phản ứng thế nào khi Zalo không khả dụng (báo lỗi, tự gợi ý đổi kênh, hay coi như gửi thành công).</t>
        </is>
      </c>
      <c r="I113" s="25" t="inlineStr">
        <is>
          <t>SĐT test có Zalo không khả dụng.</t>
        </is>
      </c>
      <c r="J113" s="25" t="inlineStr">
        <is>
          <t>TBD - đang chờ QnA-80.</t>
        </is>
      </c>
      <c r="K113" s="25" t="inlineStr">
        <is>
          <t>Medium</t>
        </is>
      </c>
      <c r="L113" s="24" t="n"/>
      <c r="M113" s="24" t="inlineStr">
        <is>
          <t>Not Run</t>
        </is>
      </c>
      <c r="N113" s="24" t="n"/>
      <c r="O113" s="24" t="n"/>
      <c r="P113" s="25" t="inlineStr">
        <is>
          <t>QnA-80</t>
        </is>
      </c>
      <c r="Q113" s="25" t="inlineStr">
        <is>
          <t>Bổ sung theo yêu cầu review 31/08/2026. Tương tự QnA-69/SCR-AUT-02-SC4 nhưng riêng cho luồng Quên PIN (SCR-AUT-06), là màn hình khác với SCR-AUT-02.</t>
        </is>
      </c>
      <c r="R113" s="23" t="n"/>
    </row>
    <row r="114" hidden="1" ht="90" customHeight="1" s="19">
      <c r="A114" s="23" t="inlineStr">
        <is>
          <t>SCR-AUT-06-SC1-TC5</t>
        </is>
      </c>
      <c r="B114" s="23" t="inlineStr">
        <is>
          <t>SCR-AUT-06-SC1</t>
        </is>
      </c>
      <c r="C114" s="23" t="inlineStr">
        <is>
          <t>SCR-AUT-06</t>
        </is>
      </c>
      <c r="D114" s="23" t="inlineStr">
        <is>
          <t>LI-05, SU-04</t>
        </is>
      </c>
      <c r="E114" s="23" t="inlineStr">
        <is>
          <t>Functional</t>
        </is>
      </c>
      <c r="F114" s="23" t="inlineStr">
        <is>
          <t>Back về bước trước sau khi đã xác thực OTP (chưa Save PIN mới) - đăng nhập lại bằng PIN CŨ vẫn hoạt động</t>
        </is>
      </c>
      <c r="G114" s="23" t="inlineStr">
        <is>
          <t>Đã xác thực OTP thành công trong luồng Quên PIN, đang ở bước nhập PIN mới, CHƯA bấm Save.</t>
        </is>
      </c>
      <c r="H114" s="23" t="inlineStr">
        <is>
          <t>1. Ở bước nhập PIN mới, bấm Back quay về màn đăng nhập (bỏ dở luồng Quên PIN).
2. Nhập SĐT, nhập PIN CŨ (PIN trước khi bắt đầu Quên PIN).
3. Quan sát kết quả đăng nhập.</t>
        </is>
      </c>
      <c r="I114" s="23" t="inlineStr">
        <is>
          <t>PIN cũ: 123456 (chưa từng bị đổi vì chưa Save PIN mới).</t>
        </is>
      </c>
      <c r="J114" s="23" t="inlineStr">
        <is>
          <t>Đăng nhập bằng PIN CŨ vẫn thành công bình thường - vì PIN chỉ thực sự bị thay thế SAU khi bấm Save ở bước cuối (đã chốt tại SC1: "đặt PIN mới thành công thay thế hoàn toàn PIN cũ"); bỏ dở luồng Quên PIN giữa chừng (chưa Save) không được phép làm mất hiệu lực PIN cũ.</t>
        </is>
      </c>
      <c r="K114" s="23" t="inlineStr">
        <is>
          <t>Medium</t>
        </is>
      </c>
      <c r="L114" s="24" t="n"/>
      <c r="M114" s="24" t="inlineStr">
        <is>
          <t>Not Run</t>
        </is>
      </c>
      <c r="N114" s="24" t="n"/>
      <c r="O114" s="24" t="n"/>
      <c r="P114" s="23" t="n"/>
      <c r="Q114" s="23" t="inlineStr">
        <is>
          <t>Bổ sung theo yêu cầu review 31/08/2026. Hệ quả trực tiếp suy ra từ rule đã chốt ở SC1 (PIN cũ chỉ mất hiệu lực SAU Save), không cần QnA mới; test case này xác nhận rule đó đúng cả khi người dùng bỏ dở giữa chừng bằng Back.</t>
        </is>
      </c>
      <c r="R114" s="23" t="n"/>
    </row>
    <row r="115" hidden="1" ht="69.75" customHeight="1" s="19">
      <c r="A115" s="23" t="inlineStr">
        <is>
          <t>SCR-AUT-06-SC2-TC1</t>
        </is>
      </c>
      <c r="B115" s="23" t="inlineStr">
        <is>
          <t>SCR-AUT-06-SC2</t>
        </is>
      </c>
      <c r="C115" s="23" t="inlineStr">
        <is>
          <t>SCR-AUT-06</t>
        </is>
      </c>
      <c r="D115" s="23" t="inlineStr">
        <is>
          <t>LI-03, LI-05</t>
        </is>
      </c>
      <c r="E115" s="23" t="inlineStr">
        <is>
          <t>Functional</t>
        </is>
      </c>
      <c r="F115" s="23" t="inlineStr">
        <is>
          <t>Sau đặt lại PIN, tự động đăng nhập, resume thao tác và không ảnh hưởng bio ticket</t>
        </is>
      </c>
      <c r="G115" s="23" t="inlineStr">
        <is>
          <t>Đã hoàn tất đặt PIN mới thành công; tài khoản đã từng bật Face ID trước đó.</t>
        </is>
      </c>
      <c r="H115" s="23" t="inlineStr">
        <is>
          <t>1. Quan sát trạng thái đăng nhập ngay sau khi Save PIN mới.
2. Kiểm tra thao tác resume (ví dụ mở Cart) có được thực hiện tự động không.
3. Đăng xuất, đăng nhập lại bằng Face ID để kiểm tra bio ticket còn hiệu lực.</t>
        </is>
      </c>
      <c r="I115" s="23" t="inlineStr">
        <is>
          <t>Tài khoản đã bật Face ID trước khi reset PIN.</t>
        </is>
      </c>
      <c r="J115" s="23" t="inlineStr">
        <is>
          <t>Bước 1: đã đăng nhập ngay không cần thêm bước nào. Bước 2: thao tác gốc (mở Cart) được thực hiện tự động. Bước 3: Face ID vẫn đăng nhập thành công - reset PIN KHÔNG thu hồi bio ticket.</t>
        </is>
      </c>
      <c r="K115" s="23" t="inlineStr">
        <is>
          <t>Medium</t>
        </is>
      </c>
      <c r="L115" s="24" t="n"/>
      <c r="M115" s="24" t="inlineStr">
        <is>
          <t>Not Run</t>
        </is>
      </c>
      <c r="N115" s="24" t="n"/>
      <c r="O115" s="24" t="n"/>
      <c r="P115" s="23" t="n"/>
      <c r="Q115" s="23" t="n"/>
      <c r="R115" s="23" t="n"/>
    </row>
    <row r="116" hidden="1" ht="165" customHeight="1" s="19">
      <c r="A116" s="25" t="inlineStr">
        <is>
          <t>SCR-AUT-06-SC3-TC1</t>
        </is>
      </c>
      <c r="B116" s="25" t="inlineStr">
        <is>
          <t>SCR-AUT-06-SC3</t>
        </is>
      </c>
      <c r="C116" s="25" t="inlineStr">
        <is>
          <t>SCR-AUT-06</t>
        </is>
      </c>
      <c r="D116" s="25" t="inlineStr">
        <is>
          <t>LI-05, SU-01</t>
        </is>
      </c>
      <c r="E116" s="25" t="inlineStr">
        <is>
          <t>Edge</t>
        </is>
      </c>
      <c r="F116" s="25" t="inlineStr">
        <is>
          <t>SĐT đã bị thu hồi và cấp lại cho người dùng mới - kiểm tra khả năng chiếm tài khoản cũ qua Quên PIN</t>
        </is>
      </c>
      <c r="G116" s="25" t="inlineStr">
        <is>
          <t>SĐT test gắn với Tài khoản A (Member có sẵn dữ liệu: địa chỉ, lịch sử đơn hàng); giả lập người thực hiện test là "chủ mới" của SĐT, chỉ có quyền nhận OTP, không biết PIN cũ.</t>
        </is>
      </c>
      <c r="H116" s="25" t="inlineStr">
        <is>
          <t>1. Ở màn đăng nhập, nhập đúng SĐT của Tài khoản A, bấm 'Quên PIN'.
2. Nhận đúng OTP gửi tới SĐT (đóng vai chủ mới của SĐT), nhập đúng OTP.
3. Đặt PIN mới bất kỳ, bấm Save.
4. Quan sát có truy cập được toàn bộ dữ liệu của Tài khoản A không (địa chỉ, lịch sử đơn hàng, điểm thưởng).</t>
        </is>
      </c>
      <c r="I116" s="25" t="inlineStr">
        <is>
          <t>SĐT test gắn Tài khoản A có sẵn dữ liệu mẫu.</t>
        </is>
      </c>
      <c r="J116" s="25" t="inlineStr">
        <is>
          <t>TBD - đang chờ QnA-81. Ghi nhận hành vi thực tế (có cho đặt PIN mới và truy cập toàn bộ dữ liệu Tài khoản A chỉ bằng quyền sở hữu SĐT hay không), KHÔNG tự ý chấm Pass/Fail - đây là câu hỏi bảo mật cần BA/Security xác nhận đây có phải hành vi CHẤP NHẬN ĐƯỢC hay không trước khi có thể chấm kết quả.</t>
        </is>
      </c>
      <c r="K116" s="25" t="inlineStr">
        <is>
          <t>High</t>
        </is>
      </c>
      <c r="L116" s="24" t="n"/>
      <c r="M116" s="24" t="inlineStr">
        <is>
          <t>Not Run</t>
        </is>
      </c>
      <c r="N116" s="24" t="n"/>
      <c r="O116" s="24" t="n"/>
      <c r="P116" s="25" t="inlineStr">
        <is>
          <t>QnA-81</t>
        </is>
      </c>
      <c r="Q116" s="25" t="inlineStr">
        <is>
          <t>Bổ sung theo yêu cầu review 31/08/2026.</t>
        </is>
      </c>
      <c r="R116" s="23" t="n"/>
    </row>
    <row r="117" hidden="1" ht="69.75" customHeight="1" s="19">
      <c r="A117" s="25" t="inlineStr">
        <is>
          <t>SCR-CRT-01-SC1-TC1</t>
        </is>
      </c>
      <c r="B117" s="25" t="inlineStr">
        <is>
          <t>SCR-CRT-01-SC1</t>
        </is>
      </c>
      <c r="C117" s="25" t="inlineStr">
        <is>
          <t>SCR-CRT-01</t>
        </is>
      </c>
      <c r="D117" s="25" t="inlineStr">
        <is>
          <t>CT-03</t>
        </is>
      </c>
      <c r="E117" s="25" t="inlineStr">
        <is>
          <t>Functional</t>
        </is>
      </c>
      <c r="F117" s="25" t="inlineStr">
        <is>
          <t>Thanh tiến độ Freeship hiện đúng số tiền còn thiếu để đạt ngưỡng 150.000đ</t>
        </is>
      </c>
      <c r="G117" s="25" t="inlineStr">
        <is>
          <t>Giỏ hàng đang có tổng 117.000đ (Standard, chưa freeship).</t>
        </is>
      </c>
      <c r="H117" s="25" t="inlineStr">
        <is>
          <t>1. Mở Cart, tab Standard.
2. Quan sát thanh tiến độ Freeship.
3. Thêm 1 sản phẩm 33.000đ vào giỏ.
4. Quan sát lại thanh tiến độ.</t>
        </is>
      </c>
      <c r="I117" s="25" t="inlineStr">
        <is>
          <t>Giỏ hàng ban đầu: 117.000đ. Sản phẩm thêm: 33.000đ (đưa tổng = 150.000đ).</t>
        </is>
      </c>
      <c r="J117" s="25" t="inlineStr">
        <is>
          <t>Bước 2: hiện 'Còn 33.000đ để được miễn phí giao hàng'. Bước 4: sau khi thêm đủ 33.000đ, thanh tiến độ báo đã đạt freeship, phí giao hàng Standard = 0đ.</t>
        </is>
      </c>
      <c r="K117" s="25" t="inlineStr">
        <is>
          <t>High</t>
        </is>
      </c>
      <c r="L117" s="24" t="n"/>
      <c r="M117" s="24" t="inlineStr">
        <is>
          <t>Not Run</t>
        </is>
      </c>
      <c r="N117" s="24" t="n"/>
      <c r="O117" s="24" t="n"/>
      <c r="P117" s="25" t="inlineStr">
        <is>
          <t>QnA-15</t>
        </is>
      </c>
      <c r="Q117" s="25" t="inlineStr">
        <is>
          <t>Danh sách gợi ý sản phẩm cụ thể để đạt ngưỡng vẫn chờ logic chính thức (OQ-15/QnA-15).</t>
        </is>
      </c>
      <c r="R117" s="23" t="n"/>
    </row>
    <row r="118" hidden="1" ht="69.75" customHeight="1" s="19">
      <c r="A118" s="25" t="inlineStr">
        <is>
          <t>SCR-CRT-01-SC2-TC1</t>
        </is>
      </c>
      <c r="B118" s="25" t="inlineStr">
        <is>
          <t>SCR-CRT-01-SC2</t>
        </is>
      </c>
      <c r="C118" s="25" t="inlineStr">
        <is>
          <t>SCR-CRT-01</t>
        </is>
      </c>
      <c r="D118" s="25" t="inlineStr">
        <is>
          <t>CT-04</t>
        </is>
      </c>
      <c r="E118" s="25" t="inlineStr">
        <is>
          <t>Functional</t>
        </is>
      </c>
      <c r="F118" s="25" t="inlineStr">
        <is>
          <t>Kết hợp 2 bộ lọc 60-Minute và BNPL cho kết quả giao (AND) đúng</t>
        </is>
      </c>
      <c r="G118" s="25" t="inlineStr">
        <is>
          <t>Giỏ hàng có SKU-A (chỉ 60-Minute), SKU-B (chỉ BNPL), SKU-C (cả hai), SKU-D (không thuộc loại nào).</t>
        </is>
      </c>
      <c r="H118" s="25" t="inlineStr">
        <is>
          <t>1. Bật riêng lọc '60-Minute eligible'. Quan sát danh sách còn lại.
2. Tắt lọc 60-Minute, bật riêng lọc 'BNPL eligible'. Quan sát danh sách.
3. Bật CẢ 2 lọc cùng lúc. Quan sát danh sách.</t>
        </is>
      </c>
      <c r="I118" s="25" t="inlineStr">
        <is>
          <t>SKU-A, SKU-B, SKU-C, SKU-D như mô tả.</t>
        </is>
      </c>
      <c r="J118" s="25" t="inlineStr">
        <is>
          <t>Bước 1: chỉ còn SKU-A, SKU-C. Bước 2: chỉ còn SKU-B, SKU-C. Bước 3: chỉ còn SKU-C (giao của cả 2 điều kiện).</t>
        </is>
      </c>
      <c r="K118" s="25" t="inlineStr">
        <is>
          <t>Medium</t>
        </is>
      </c>
      <c r="L118" s="24" t="n"/>
      <c r="M118" s="24" t="inlineStr">
        <is>
          <t>Not Run</t>
        </is>
      </c>
      <c r="N118" s="24" t="n"/>
      <c r="O118" s="24" t="n"/>
      <c r="P118" s="25" t="inlineStr">
        <is>
          <t>QnA-42</t>
        </is>
      </c>
      <c r="Q118" s="25" t="n"/>
      <c r="R118" s="23" t="inlineStr">
        <is>
          <t>Đã gửi câu hỏi QnA-42 (26/08/2026) về việc điều kiện 60-Minute/BNPL tính theo SKU hay theo đơn hàng, hiện đang Open. Test này giữ nguyên giả định 'theo SKU' cho đến khi có câu trả lời chính thức; cập nhật lại Test Data/Expected Result ngay khi QnA-42 được trả lời.</t>
        </is>
      </c>
    </row>
    <row r="119" hidden="1" ht="69.75" customHeight="1" s="19">
      <c r="A119" s="25" t="inlineStr">
        <is>
          <t>SCR-CRT-01-SC3-TC1</t>
        </is>
      </c>
      <c r="B119" s="25" t="inlineStr">
        <is>
          <t>SCR-CRT-01-SC3</t>
        </is>
      </c>
      <c r="C119" s="25" t="inlineStr">
        <is>
          <t>SCR-CRT-01</t>
        </is>
      </c>
      <c r="D119" s="25" t="inlineStr">
        <is>
          <t>CT-06</t>
        </is>
      </c>
      <c r="E119" s="25" t="inlineStr">
        <is>
          <t>Edge</t>
        </is>
      </c>
      <c r="F119" s="25" t="inlineStr">
        <is>
          <t>Sản phẩm hết hàng tách nhóm riêng, phần còn lại vẫn Proceed to Checkout được</t>
        </is>
      </c>
      <c r="G119" s="25" t="inlineStr">
        <is>
          <t>Giỏ hàng có SKU-X (còn hàng), SKU-Y (còn hàng), SKU-Z (vừa hết hàng).</t>
        </is>
      </c>
      <c r="H119" s="25" t="inlineStr">
        <is>
          <t>1. Giả lập SKU-Z chuyển trạng thái hết hàng trong lúc đang ở Cart.
2. Làm mới/quan sát giỏ hàng.
3. Kiểm tra SKU-Z có đề xuất thay thế hoặc đăng ký báo hàng không.
4. Bấm Proceed to Checkout.</t>
        </is>
      </c>
      <c r="I119" s="25" t="inlineStr">
        <is>
          <t>SKU-X, SKU-Y: còn hàng. SKU-Z: hết hàng giữa chừng.</t>
        </is>
      </c>
      <c r="J119" s="25" t="inlineStr">
        <is>
          <t>Bước 2: SKU-Z chuyển sang nhóm 'không khả dụng' riêng biệt, tách khỏi SKU-X/Y. Bước 3: có đề xuất thay thế/đăng ký báo hàng cho SKU-Z. Bước 4: Proceed to Checkout thành công với SKU-X, SKU-Y (SKU-Z không tính vào đơn).</t>
        </is>
      </c>
      <c r="K119" s="25" t="inlineStr">
        <is>
          <t>High</t>
        </is>
      </c>
      <c r="L119" s="24" t="n"/>
      <c r="M119" s="24" t="inlineStr">
        <is>
          <t>Not Run</t>
        </is>
      </c>
      <c r="N119" s="24" t="n"/>
      <c r="O119" s="24" t="n"/>
      <c r="P119" s="25" t="inlineStr">
        <is>
          <t>QnA-05</t>
        </is>
      </c>
      <c r="Q119" s="25" t="n"/>
      <c r="R119" s="23" t="n"/>
    </row>
    <row r="120" hidden="1" ht="69.75" customHeight="1" s="19">
      <c r="A120" s="25" t="inlineStr">
        <is>
          <t>SCR-CRT-01-SC4-TC1</t>
        </is>
      </c>
      <c r="B120" s="25" t="inlineStr">
        <is>
          <t>SCR-CRT-01-SC4</t>
        </is>
      </c>
      <c r="C120" s="25" t="inlineStr">
        <is>
          <t>SCR-CRT-01</t>
        </is>
      </c>
      <c r="D120" s="25" t="inlineStr">
        <is>
          <t>CT-06</t>
        </is>
      </c>
      <c r="E120" s="25" t="inlineStr">
        <is>
          <t>Boundary</t>
        </is>
      </c>
      <c r="F120" s="25" t="inlineStr">
        <is>
          <t>TBD: kiểm tra trạng thái ô PwP sau khi đồng hồ đếm ngược về 0</t>
        </is>
      </c>
      <c r="G120" s="25" t="inlineStr">
        <is>
          <t>Giỏ hàng đang hiện 1 ô PwP với đếm ngược còn lại dưới 1 phút (giả lập thời gian hệ thống hoặc dùng dữ liệu test có sẵn đếm ngược ngắn).</t>
        </is>
      </c>
      <c r="H120" s="25" t="inlineStr">
        <is>
          <t>1. Quan sát ô PwP và đồng hồ đếm ngược.
2. Chờ đếm ngược chạy về 0 (hoặc giả lập thời gian).
3. Quan sát trạng thái ô PwP ngay sau khi về 0.
4. Thử tương tác (thêm vào giỏ) với ưu đãi PwP đó.</t>
        </is>
      </c>
      <c r="I120" s="25" t="inlineStr">
        <is>
          <t>1 ô PwP với đếm ngược gần hết hạn (test data cần được chuẩn bị riêng để rút ngắn thời gian chờ).</t>
        </is>
      </c>
      <c r="J120" s="25" t="inlineStr">
        <is>
          <t>TBD - hiện SRS chưa mô tả hành vi khi hết đếm ngược (ẩn đi? khoá lại với label 'Hết hạn'? vẫn hiện nhưng không áp dụng giá ưu đãi?). Ghi nhận hành vi thực tế và đối chiếu với câu trả lời QnA-28 trước khi chốt Pass/Fail.</t>
        </is>
      </c>
      <c r="K120" s="25" t="inlineStr">
        <is>
          <t>Medium</t>
        </is>
      </c>
      <c r="L120" s="24" t="n"/>
      <c r="M120" s="24" t="inlineStr">
        <is>
          <t>Not Run</t>
        </is>
      </c>
      <c r="N120" s="24" t="n"/>
      <c r="O120" s="24" t="n"/>
      <c r="P120" s="25" t="inlineStr">
        <is>
          <t>QnA-28</t>
        </is>
      </c>
      <c r="Q120" s="25" t="inlineStr">
        <is>
          <t>Test case này sẽ được viết lại chi tiết hơn (Expected Result cụ thể) ngay khi QnA-28 được BA/LOTTE MART trả lời.</t>
        </is>
      </c>
      <c r="R120" s="23" t="inlineStr">
        <is>
          <t>Test này đang ghi TBD vì SRS chưa nói rõ chuyện gì xảy ra khi hết giờ đếm ngược PwP. Người thực thi KHÔNG được tự ý chấm Pass/Fail cho test này - phải chờ câu trả lời QnA-28 trước.</t>
        </is>
      </c>
    </row>
    <row r="121" hidden="1" ht="69.75" customHeight="1" s="19">
      <c r="A121" s="25" t="inlineStr">
        <is>
          <t>SCR-CRT-01-SC5-TC1</t>
        </is>
      </c>
      <c r="B121" s="25" t="inlineStr">
        <is>
          <t>SCR-CRT-01-SC5</t>
        </is>
      </c>
      <c r="C121" s="25" t="inlineStr">
        <is>
          <t>SCR-CRT-01</t>
        </is>
      </c>
      <c r="D121" s="25" t="inlineStr">
        <is>
          <t>CT-06</t>
        </is>
      </c>
      <c r="E121" s="25" t="inlineStr">
        <is>
          <t>Boundary</t>
        </is>
      </c>
      <c r="F121" s="25" t="inlineStr">
        <is>
          <t>Quà tặng (gift item) đi kèm khuyến mãi hết hàng - TBD chờ QnA-22</t>
        </is>
      </c>
      <c r="G121" s="25" t="inlineStr">
        <is>
          <t>Giỏ hàng có 1 sản phẩm chính + 1 gift item do khuyến mãi tặng kèm.</t>
        </is>
      </c>
      <c r="H121" s="25" t="inlineStr">
        <is>
          <t>1. Xác nhận gift item đang hiện trong giỏ, gắn với khuyến mãi đang áp dụng.
2. Giả lập gift item chuyển sang hết hàng.
3. Quan sát trạng thái khuyến mãi và gift item trong giỏ hàng.
4. GHI NHẬN hành vi thực tế: khuyến mãi có bị huỷ hoàn toàn không, gift item có được thay thế không, hay đơn hàng bị chặn checkout.</t>
        </is>
      </c>
      <c r="I121" s="25" t="inlineStr">
        <is>
          <t>Sản phẩm chính: bất kỳ SKU còn hàng. Gift item: SKU test 'GIFT-PROMO-01' được giả lập hết hàng ở bước 2.</t>
        </is>
      </c>
      <c r="J121" s="25" t="inlineStr">
        <is>
          <t>TBD - SRS/BRL-34 chưa nêu quy tắc xử lý quà tặng hết hàng. Người thực thi ghi nhận hành vi thực tế (bước 3-4) để đối chiếu với câu trả lời QnA-22, không tự ý chấm Pass/Fail.</t>
        </is>
      </c>
      <c r="K121" s="25" t="inlineStr">
        <is>
          <t>Medium</t>
        </is>
      </c>
      <c r="L121" s="24" t="n"/>
      <c r="M121" s="24" t="inlineStr">
        <is>
          <t>Not Run</t>
        </is>
      </c>
      <c r="N121" s="24" t="n"/>
      <c r="O121" s="24" t="n"/>
      <c r="P121" s="25" t="inlineStr">
        <is>
          <t>QnA-22</t>
        </is>
      </c>
      <c r="Q121" s="25" t="inlineStr">
        <is>
          <t>Bổ sung theo Review 26/08/2026 - đóng gap 'QnA-22 chưa gắn test case nào' trong Review - Gaps &amp; Issues.</t>
        </is>
      </c>
      <c r="R121" s="23" t="n"/>
    </row>
    <row r="122" ht="69.75" customHeight="1" s="19">
      <c r="A122" s="25" t="inlineStr">
        <is>
          <t>SCR-CRT-01-SC6-TC1</t>
        </is>
      </c>
      <c r="B122" s="25" t="inlineStr">
        <is>
          <t>SCR-CRT-01-SC6</t>
        </is>
      </c>
      <c r="C122" s="25" t="inlineStr">
        <is>
          <t>SCR-CRT-01</t>
        </is>
      </c>
      <c r="D122" s="25" t="inlineStr">
        <is>
          <t>CT-02</t>
        </is>
      </c>
      <c r="E122" s="25" t="inlineStr">
        <is>
          <t>Edge</t>
        </is>
      </c>
      <c r="F122" s="25" t="inlineStr">
        <is>
          <t>SKU giới hạn hình thức (chỉ Delivery hoặc chỉ Pickup) khi khách ở tab hình thức không được hỗ trợ - TBD chờ QnA-14</t>
        </is>
      </c>
      <c r="G122" s="25" t="inlineStr">
        <is>
          <t>Giỏ hàng có 1 SKU được giả định chỉ hỗ trợ Delivery (SKU-DeliveryOnly).</t>
        </is>
      </c>
      <c r="H122" s="25" t="inlineStr">
        <is>
          <t>1. Thêm SKU-DeliveryOnly vào giỏ khi đang ở tab Delivery - xác nhận thêm được bình thường.
2. Chuyển sang tab Pickup trong Cart.
3. Quan sát SKU-DeliveryOnly trong danh sách sản phẩm ở tab Pickup.
4. GHI NHẬN hành vi thực tế: SKU bị ẩn, bị disable kèm ghi chú, hay vẫn hiện bình thường (không có giới hạn).</t>
        </is>
      </c>
      <c r="I122" s="25" t="inlineStr">
        <is>
          <t>SKU-DeliveryOnly: SKU test được giả định chỉ hỗ trợ Delivery (cấu hình giả lập, vì SRS chưa xác nhận có tồn tại loại SKU này - QnA-14).</t>
        </is>
      </c>
      <c r="J122" s="25" t="inlineStr">
        <is>
          <t>TBD - nếu QnA-14 xác nhận CÓ tồn tại SKU giới hạn hình thức, SKU đó phải được xử lý rõ ràng (ẩn/disable/báo lỗi) khi ở tab không được hỗ trợ, không được để khách chọn nhầm rồi lỗi ở bước sau. Nếu QnA-14 xác nhận KHÔNG có SKU nào bị giới hạn, test case này có thể đóng (N/A).</t>
        </is>
      </c>
      <c r="K122" s="25" t="inlineStr">
        <is>
          <t>Low</t>
        </is>
      </c>
      <c r="L122" s="24" t="n"/>
      <c r="M122" s="24" t="inlineStr">
        <is>
          <t>Not Run</t>
        </is>
      </c>
      <c r="N122" s="24" t="n"/>
      <c r="O122" s="24" t="n"/>
      <c r="P122" s="25" t="inlineStr">
        <is>
          <t>QnA-14</t>
        </is>
      </c>
      <c r="Q122" s="25" t="inlineStr">
        <is>
          <t>Bổ sung theo Review 26/08/2026 - đóng gap 'QnA-14 chưa gắn test case nào' trong Review - Gaps &amp; Issues.</t>
        </is>
      </c>
      <c r="R122" s="23" t="n"/>
    </row>
    <row r="123" ht="105" customHeight="1" s="19">
      <c r="A123" s="23" t="inlineStr">
        <is>
          <t>SCR-CRT-01-SC7-TC1</t>
        </is>
      </c>
      <c r="B123" s="23" t="inlineStr">
        <is>
          <t>SCR-CRT-01-SC7</t>
        </is>
      </c>
      <c r="C123" s="23" t="inlineStr">
        <is>
          <t>SCR-CRT-01</t>
        </is>
      </c>
      <c r="D123" s="23" t="inlineStr">
        <is>
          <t>CT-06</t>
        </is>
      </c>
      <c r="E123" s="23" t="inlineStr">
        <is>
          <t>Normal</t>
        </is>
      </c>
      <c r="F123" s="23" t="inlineStr">
        <is>
          <t>Đạt mốc chi tiêu → ô PwP chuyển từ khoá sang mở khoá</t>
        </is>
      </c>
      <c r="G123" s="23" t="inlineStr">
        <is>
          <t>Giỏ hàng đang hiện 1 ô PwP ở trạng thái khoá với thông báo 'Mua thêm X để mở khoá'.</t>
        </is>
      </c>
      <c r="H123" s="23" t="inlineStr">
        <is>
          <t>1. Quan sát ô PwP đang ở trạng thái khoá, ghi nhận mốc chi tiêu còn thiếu.
2. Thêm đúng sản phẩm/số lượng còn thiếu vào giỏ để đạt mốc.
3. Quan sát lại ô PwP ngay sau khi thêm (không load lại trang).
4. Thử thêm sản phẩm PwP vào giỏ với giá deal.</t>
        </is>
      </c>
      <c r="I123" s="23" t="inlineStr">
        <is>
          <t>Giỏ hàng ban đầu cách mốc PwP đúng 1 đơn vị sản phẩm quy định.</t>
        </is>
      </c>
      <c r="J123" s="23" t="inlineStr">
        <is>
          <t>Ngay sau bước 2, ô PwP tự động chuyển từ khoá sang MỞ KHOÁ (không cần load lại), hiện giá deal; bước 4 thêm được sản phẩm PwP vào giỏ với đúng giá deal đã hiện.</t>
        </is>
      </c>
      <c r="K123" s="23" t="inlineStr">
        <is>
          <t>Medium</t>
        </is>
      </c>
      <c r="L123" s="24" t="n"/>
      <c r="M123" s="24" t="inlineStr">
        <is>
          <t>Not Run</t>
        </is>
      </c>
      <c r="N123" s="24" t="n"/>
      <c r="O123" s="24" t="n"/>
      <c r="P123" s="23" t="n"/>
      <c r="Q123" s="23" t="inlineStr">
        <is>
          <t>Bổ sung theo yêu cầu review 28/08/2026 - test đúng cơ chế gốc CT-06 (spend milestone), khác với SCR-CRT-01-SC4-TC1 (đếm ngược hết hạn, QnA-28).</t>
        </is>
      </c>
      <c r="R123" s="23" t="n"/>
    </row>
    <row r="124" ht="195" customHeight="1" s="19">
      <c r="A124" s="25" t="inlineStr">
        <is>
          <t>SCR-CRT-01-SC8-TC1</t>
        </is>
      </c>
      <c r="B124" s="25" t="inlineStr">
        <is>
          <t>SCR-CRT-01-SC8</t>
        </is>
      </c>
      <c r="C124" s="25" t="inlineStr">
        <is>
          <t>SCR-CRT-01</t>
        </is>
      </c>
      <c r="D124" s="25" t="inlineStr">
        <is>
          <t>CT-02 · CT-07</t>
        </is>
      </c>
      <c r="E124" s="25" t="inlineStr">
        <is>
          <t>Edge</t>
        </is>
      </c>
      <c r="F124" s="25" t="inlineStr">
        <is>
          <t>Hiển thị serving store cố định + nút 'Change ›' mở store sheet đã lọc, đổi sang store có ảnh hưởng thì cảnh báo hợp nhất</t>
        </is>
      </c>
      <c r="G124" s="25" t="inlineStr">
        <is>
          <t>Đang ở SCR-CRT-01, giỏ có SKU-X/Y/Z từ store hiện tại 'Nam Sài Gòn', địa chỉ '123 Nguyễn Thị Thập, Q.7'.</t>
        </is>
      </c>
      <c r="H124" s="25" t="inlineStr">
        <is>
          <t>1. Cuộn màn Cart, xác nhận dòng 'Serving store: LOTTE Mart Nam Sài Gòn' hiển thị thường trực (kể cả khi cuộn danh sách sản phẩm).
2. Bấm 'Change ›'.
3. Kiểm tra danh sách store: chỉ gồm store phục vụ được địa chỉ Q.7; xác nhận 1 store test KHÔNG phục vụ địa chỉ này KHÔNG xuất hiện.
4. Chọn 'LOTTE Mart Tân Bình' (giả định thiếu hàng/không bán 1 số SKU và chỉ còn Standard).
5. Quan sát cảnh báo impact.
6. Bấm Cancel, kiểm tra store + giỏ hàng giữ nguyên.</t>
        </is>
      </c>
      <c r="I124" s="25" t="inlineStr">
        <is>
          <t>Store hiện tại: Nam Sài Gòn (2.1km, 60-Minute + Standard). Store đổi tới: Tân Bình (6.8km, Standard only), có SKU-Z hết hàng + SKU-Y không bán. Store test không phục vụ: 1 store ngoài vùng.</t>
        </is>
      </c>
      <c r="J124" s="25" t="inlineStr">
        <is>
          <t>B1: serving store luôn hiển thị. B3: store không phục vụ không có trong danh sách (không chọn được). B5: hiện 1 cảnh báo hợp nhất liệt kê rõ từng SKU bị ảnh hưởng (hết hàng / không còn bán / đổi giá) + dịch vụ (mất 60-Minute) + slot; có nút Cancel / Continue. B6: Cancel giữ nguyên store Nam Sài Gòn, giỏ hàng KHÔNG đổi. Thiết kế cảnh báo khi nhiều nhóm ảnh hưởng cùng lúc: TBD theo QnA-25.</t>
        </is>
      </c>
      <c r="K124" s="25" t="inlineStr">
        <is>
          <t>High</t>
        </is>
      </c>
      <c r="L124" s="24" t="n"/>
      <c r="M124" s="24" t="inlineStr">
        <is>
          <t>Not Run</t>
        </is>
      </c>
      <c r="N124" s="24" t="n"/>
      <c r="O124" s="24" t="n"/>
      <c r="P124" s="25" t="inlineStr">
        <is>
          <t>QnA-25</t>
        </is>
      </c>
      <c r="Q124" s="25" t="inlineStr">
        <is>
          <t>Bổ sung theo yêu cầu review 31/08/2026 - không lặp lại test sâu SCR-CRT-06-SC1/SC2; TC này xác nhận điểm vào từ SCR-CRT-01 + hiển thị serving store.</t>
        </is>
      </c>
      <c r="R124" s="23" t="n"/>
    </row>
    <row r="125" ht="180" customHeight="1" s="19">
      <c r="A125" s="25" t="inlineStr">
        <is>
          <t>SCR-CRT-01-SC9-TC1</t>
        </is>
      </c>
      <c r="B125" s="25" t="inlineStr">
        <is>
          <t>SCR-CRT-01-SC9</t>
        </is>
      </c>
      <c r="C125" s="25" t="inlineStr">
        <is>
          <t>SCR-CRT-01</t>
        </is>
      </c>
      <c r="D125" s="25" t="inlineStr">
        <is>
          <t>CT-02</t>
        </is>
      </c>
      <c r="E125" s="25" t="inlineStr">
        <is>
          <t>Edge</t>
        </is>
      </c>
      <c r="F125" s="25" t="inlineStr">
        <is>
          <t>Khối giao hàng carried-from-Homepage hiển thị đúng + behavior nút 'Edit' đổi địa chỉ / đổi slot - TBD chờ QnA-82</t>
        </is>
      </c>
      <c r="G125" s="25" t="inlineStr">
        <is>
          <t>Ở Homepage đã chọn địa chỉ 'A' + Standard + slot 'Today 15:00-18:00', vào Cart, giỏ có sản phẩm.</t>
        </is>
      </c>
      <c r="H125" s="25" t="inlineStr">
        <is>
          <t>1. Quan sát khối giao hàng: địa chỉ, tên+SĐT người nhận, dịch vụ, slot, nhãn 'Carried from Homepage'.
2. Đối chiếu từng trường với lựa chọn đã thực hiện ở Homepage.
3. Bấm 'Edit' cạnh địa chỉ - GHI NHẬN màn mở ra (danh sách địa chỉ SCR-HOM-03 / tạo địa chỉ SCR-HOM-02 / màn khác).
4. Chọn 1 địa chỉ 'B' khác (thuộc store khác) - GHI NHẬN hệ thống có phân giải lại serving store + hiện cảnh báo impact hợp nhất không, hay đổi ngầm.
5. Bấm 'Edit' cạnh dịch vụ/slot - GHI NHẬN có mở màn chọn slot (SCR-CRT-07) không.</t>
        </is>
      </c>
      <c r="I125" s="25" t="inlineStr">
        <is>
          <t>Địa chỉ A (store Nam Sài Gòn), địa chỉ B (store Tân Bình), giỏ có SKU khác giá/tồn kho giữa 2 store.</t>
        </is>
      </c>
      <c r="J125" s="25" t="inlineStr">
        <is>
          <t>B1-2: khối giao hàng khớp 100% lựa chọn Homepage, khách không phải nhập lại. B3-5: TBD - đang chờ QnA-82. Người thực thi KHÔNG tự chấm Pass/Fail cho phần behavior nút Edit; chỉ ghi nhận màn đích + việc có/không cảnh báo impact khi đổi địa chỉ lúc đã có giỏ hàng.</t>
        </is>
      </c>
      <c r="K125" s="25" t="inlineStr">
        <is>
          <t>Medium</t>
        </is>
      </c>
      <c r="L125" s="24" t="n"/>
      <c r="M125" s="24" t="inlineStr">
        <is>
          <t>Not Run</t>
        </is>
      </c>
      <c r="N125" s="24" t="n"/>
      <c r="O125" s="24" t="n"/>
      <c r="P125" s="25" t="inlineStr">
        <is>
          <t>QnA-82</t>
        </is>
      </c>
      <c r="Q125" s="25" t="inlineStr">
        <is>
          <t>Bổ sung theo yêu cầu review 31/08/2026.</t>
        </is>
      </c>
      <c r="R125" s="23" t="n"/>
    </row>
    <row r="126" hidden="1" ht="150" customHeight="1" s="19">
      <c r="A126" s="25" t="inlineStr">
        <is>
          <t>SCR-CRT-01-SC10-TC1</t>
        </is>
      </c>
      <c r="B126" s="25" t="inlineStr">
        <is>
          <t>SCR-CRT-01-SC10</t>
        </is>
      </c>
      <c r="C126" s="25" t="inlineStr">
        <is>
          <t>SCR-CRT-01</t>
        </is>
      </c>
      <c r="D126" s="25" t="inlineStr">
        <is>
          <t>CT-04</t>
        </is>
      </c>
      <c r="E126" s="25" t="inlineStr">
        <is>
          <t>Edge</t>
        </is>
      </c>
      <c r="F126" s="25" t="inlineStr">
        <is>
          <t>Chọn BNPL khi giỏ hàng có SKU không đủ điều kiện BNPL rồi Proceed to Checkout - TBD chờ QnA-83</t>
        </is>
      </c>
      <c r="G126" s="25" t="inlineStr">
        <is>
          <t>Giỏ có SKU-BNPL-OK (đủ điều kiện) và SKU-BNPL-NO (không cho BNPL).</t>
        </is>
      </c>
      <c r="H126" s="25" t="inlineStr">
        <is>
          <t>1. Bật bộ lọc 'BNPL eligible', xác nhận chỉ SKU-BNPL-OK hiện ra (giả định tính theo SKU - QnA-42).
2. Tắt lọc, chọn phương thức/nhãn BNPL cho đơn.
3. Bấm 'Proceed to Checkout'.
4. GHI NHẬN hành vi: có bị chặn không, thông báo gì, ở SCR-CHK-02 BNPL có được pre-select không / có bị ẩn không, đơn có bị tách không.</t>
        </is>
      </c>
      <c r="I126" s="25" t="inlineStr">
        <is>
          <t>SKU-BNPL-OK, SKU-BNPL-NO.</t>
        </is>
      </c>
      <c r="J126" s="25" t="inlineStr">
        <is>
          <t>B1: lọc hiển thị đúng SKU đủ điều kiện. B3-4: TBD - đang chờ QnA-83 (behavior checkout) &amp; QnA-42 (điều kiện theo SKU hay theo đơn). Người thực thi ghi nhận hành vi thực tế, không tự chấm Pass/Fail.</t>
        </is>
      </c>
      <c r="K126" s="25" t="inlineStr">
        <is>
          <t>Medium</t>
        </is>
      </c>
      <c r="L126" s="24" t="n"/>
      <c r="M126" s="24" t="inlineStr">
        <is>
          <t>Not Run</t>
        </is>
      </c>
      <c r="N126" s="24" t="n"/>
      <c r="O126" s="24" t="n"/>
      <c r="P126" s="25" t="inlineStr">
        <is>
          <t>QnA-83, QnA-42</t>
        </is>
      </c>
      <c r="Q126" s="25" t="inlineStr">
        <is>
          <t>Bổ sung theo yêu cầu review 31/08/2026.</t>
        </is>
      </c>
      <c r="R126" s="23" t="n"/>
    </row>
    <row r="127" hidden="1" ht="105" customHeight="1" s="19">
      <c r="A127" s="25" t="inlineStr">
        <is>
          <t>SCR-CRT-01-SC11-TC1</t>
        </is>
      </c>
      <c r="B127" s="25" t="inlineStr">
        <is>
          <t>SCR-CRT-01-SC11</t>
        </is>
      </c>
      <c r="C127" s="25" t="inlineStr">
        <is>
          <t>SCR-CRT-01</t>
        </is>
      </c>
      <c r="D127" s="25" t="inlineStr">
        <is>
          <t>CT-06</t>
        </is>
      </c>
      <c r="E127" s="25" t="inlineStr">
        <is>
          <t>Functional</t>
        </is>
      </c>
      <c r="F127" s="25" t="inlineStr">
        <is>
          <t>Rule hiển thị sản phẩm trong mục PwP ('Mua Kèm Deal Sốc') - TBD chờ QnA-84</t>
        </is>
      </c>
      <c r="G127" s="25" t="inlineStr">
        <is>
          <t>Đang ở SCR-CRT-01, store có cấu hình CTKM PwP.</t>
        </is>
      </c>
      <c r="H127" s="25" t="inlineStr">
        <is>
          <t>1. Với giỏ hàng cấu hình A (ví dụ có nước ép), quan sát các ô PwP hiển thị: sản phẩm nào, số lượng ô, thứ tự.
2. Đổi sang giỏ hàng cấu hình B (không có nước ép), quan sát lại mục PwP.
3. Đối chiếu với cấu hình CTKM của store (nếu truy cập được) và lịch sử mua của tài khoản.
4. GHI NHẬN rule suy ra được.</t>
        </is>
      </c>
      <c r="I127" s="25" t="inlineStr">
        <is>
          <t>Giỏ A (có SKU trigger PwP), giỏ B (không có), tài khoản có lịch sử mua.</t>
        </is>
      </c>
      <c r="J127" s="25" t="inlineStr">
        <is>
          <t>TBD - đang chờ QnA-84 (và OQ-17/QnA-17). Ghi nhận hành vi thực tế, không tự chấm Pass/Fail.</t>
        </is>
      </c>
      <c r="K127" s="25" t="inlineStr">
        <is>
          <t>Medium</t>
        </is>
      </c>
      <c r="L127" s="24" t="n"/>
      <c r="M127" s="24" t="inlineStr">
        <is>
          <t>Not Run</t>
        </is>
      </c>
      <c r="N127" s="24" t="n"/>
      <c r="O127" s="24" t="n"/>
      <c r="P127" s="25" t="inlineStr">
        <is>
          <t>QnA-84, QnA-17</t>
        </is>
      </c>
      <c r="Q127" s="25" t="inlineStr">
        <is>
          <t>Bổ sung theo yêu cầu review 31/08/2026.</t>
        </is>
      </c>
      <c r="R127" s="23" t="n"/>
    </row>
    <row r="128" hidden="1" ht="120" customHeight="1" s="19">
      <c r="A128" s="25" t="inlineStr">
        <is>
          <t>SCR-CRT-01-SC11-TC2</t>
        </is>
      </c>
      <c r="B128" s="25" t="inlineStr">
        <is>
          <t>SCR-CRT-01-SC11</t>
        </is>
      </c>
      <c r="C128" s="25" t="inlineStr">
        <is>
          <t>SCR-CRT-01</t>
        </is>
      </c>
      <c r="D128" s="25" t="inlineStr">
        <is>
          <t>CT-06</t>
        </is>
      </c>
      <c r="E128" s="25" t="inlineStr">
        <is>
          <t>Functional</t>
        </is>
      </c>
      <c r="F128" s="25" t="inlineStr">
        <is>
          <t>Behavior nút 'View ›' ('Xem') tại ô PwP - TBD chờ QnA-84</t>
        </is>
      </c>
      <c r="G128" s="25" t="inlineStr">
        <is>
          <t>Đang ở SCR-CRT-01, có &gt;=1 ô PwP hiển thị (khoá hoặc đã mở khoá).</t>
        </is>
      </c>
      <c r="H128" s="25" t="inlineStr">
        <is>
          <t>1. Bấm 'View ›' tại 1 ô PwP đang KHOÁ.
2. GHI NHẬN màn mở ra (danh sách đầy đủ SP PwP / chi tiết 1 deal / thêm thẳng vào giỏ / thông báo cần đạt mốc trước).
3. Bấm 'View ›' tại 1 ô PwP đã MỞ KHOÁ.
4. GHI NHẬN màn mở ra và có thêm được SP vào giỏ với giá deal không.</t>
        </is>
      </c>
      <c r="I128" s="25" t="inlineStr">
        <is>
          <t>1 ô PwP khoá, 1 ô PwP đã mở khoá.</t>
        </is>
      </c>
      <c r="J128" s="25" t="inlineStr">
        <is>
          <t>TBD - đang chờ QnA-84. Ghi nhận màn đích thực tế cho cả 2 trạng thái, không tự chấm Pass/Fail.</t>
        </is>
      </c>
      <c r="K128" s="25" t="inlineStr">
        <is>
          <t>Low</t>
        </is>
      </c>
      <c r="L128" s="24" t="n"/>
      <c r="M128" s="24" t="inlineStr">
        <is>
          <t>Not Run</t>
        </is>
      </c>
      <c r="N128" s="24" t="n"/>
      <c r="O128" s="24" t="n"/>
      <c r="P128" s="25" t="inlineStr">
        <is>
          <t>QnA-84</t>
        </is>
      </c>
      <c r="Q128" s="25" t="inlineStr">
        <is>
          <t>Bổ sung theo yêu cầu review 31/08/2026 - trả lời riêng câu hỏi review 'behavior button Xem mở khoá PwP'.</t>
        </is>
      </c>
      <c r="R128" s="23" t="n"/>
    </row>
    <row r="129" hidden="1" ht="105" customHeight="1" s="19">
      <c r="A129" s="23" t="inlineStr">
        <is>
          <t>SCR-CRT-01-SC12-TC1</t>
        </is>
      </c>
      <c r="B129" s="23" t="inlineStr">
        <is>
          <t>SCR-CRT-01-SC12</t>
        </is>
      </c>
      <c r="C129" s="23" t="inlineStr">
        <is>
          <t>SCR-CRT-01</t>
        </is>
      </c>
      <c r="D129" s="23" t="inlineStr">
        <is>
          <t>CT-06 · BRL-32</t>
        </is>
      </c>
      <c r="E129" s="23" t="inlineStr">
        <is>
          <t>Functional</t>
        </is>
      </c>
      <c r="F129" s="23" t="inlineStr">
        <is>
          <t>Coupon áp dụng tự động theo mặc định và trình bày thành 2 nhóm (giao hàng / đơn-sản phẩm)</t>
        </is>
      </c>
      <c r="G129" s="23" t="inlineStr">
        <is>
          <t>Tài khoản có &gt;=1 coupon giao hàng và &gt;=1 coupon đơn/sản phẩm đều đủ điều kiện với giỏ hiện tại.</t>
        </is>
      </c>
      <c r="H129" s="23" t="inlineStr">
        <is>
          <t>1. Mở Cart, KHÔNG thao tác coupon.
2. Quan sát section Coupon: có coupon nào tự áp không, hiển thị 'N applied automatically'.
3. Mở chi tiết, xác nhận coupon được chia 2 nhóm rõ ràng: coupon giao hàng và coupon đơn/sản phẩm.
4. Đối chiếu số tiền giảm của từng nhóm với dòng 'Delivery discount' / 'Product discount' ở provisional summary.
5. Proceed to Checkout, xác nhận coupon được hiển thị lại để xác nhận (BRL-32).</t>
        </is>
      </c>
      <c r="I129" s="23" t="inlineStr">
        <is>
          <t>Coupon giao hàng 'FREESHIP15' (−15.000đ), coupon sản phẩm 'SALE40' (−40.000đ).</t>
        </is>
      </c>
      <c r="J129" s="23" t="inlineStr">
        <is>
          <t>B2: coupon đủ điều kiện tự áp không cần thao tác. B3: 2 nhóm coupon tách bạch. B4: số giảm khớp provisional summary theo đúng nhóm. B5: coupon xuất hiện lại ở Checkout để xác nhận. Rule chọn coupon khi nhiều coupon đủ điều kiện + tắt/đổi coupon: xem SC12-TC2 (TBD QnA-85).</t>
        </is>
      </c>
      <c r="K129" s="23" t="inlineStr">
        <is>
          <t>Medium</t>
        </is>
      </c>
      <c r="L129" s="24" t="n"/>
      <c r="M129" s="24" t="inlineStr">
        <is>
          <t>Not Run</t>
        </is>
      </c>
      <c r="N129" s="24" t="n"/>
      <c r="O129" s="24" t="n"/>
      <c r="P129" s="23" t="n"/>
      <c r="Q129" s="23" t="inlineStr">
        <is>
          <t>Bổ sung theo yêu cầu review 31/08/2026.</t>
        </is>
      </c>
      <c r="R129" s="23" t="n"/>
    </row>
    <row r="130" hidden="1" ht="180" customHeight="1" s="19">
      <c r="A130" s="25" t="inlineStr">
        <is>
          <t>SCR-CRT-01-SC12-TC2</t>
        </is>
      </c>
      <c r="B130" s="25" t="inlineStr">
        <is>
          <t>SCR-CRT-01-SC12</t>
        </is>
      </c>
      <c r="C130" s="25" t="inlineStr">
        <is>
          <t>SCR-CRT-01</t>
        </is>
      </c>
      <c r="D130" s="25" t="inlineStr">
        <is>
          <t>CT-06</t>
        </is>
      </c>
      <c r="E130" s="25" t="inlineStr">
        <is>
          <t>Functional</t>
        </is>
      </c>
      <c r="F130" s="25" t="inlineStr">
        <is>
          <t>Rule tự chọn coupon khi có nhiều coupon đủ điều kiện + behavior khi nhấn section Coupon - TBD chờ QnA-85</t>
        </is>
      </c>
      <c r="G130" s="25" t="inlineStr">
        <is>
          <t>Trong 1 nhóm (ví dụ đơn/sản phẩm) có &gt;=2 coupon cùng đủ điều kiện với giá trị giảm khác nhau.</t>
        </is>
      </c>
      <c r="H130" s="25" t="inlineStr">
        <is>
          <t>1. Quan sát coupon nào được hệ thống TỰ chọn áp dụng trong nhóm có nhiều coupon đủ điều kiện.
2. Nhấn vào section 'Coupons · N applied automatically ›'.
3. GHI NHẬN màn mở ra: danh sách coupon để bật/tắt/đổi/nhập mã, hay chỉ xem chi tiết.
4. Thử TẮT 1 coupon đã tự áp / ĐỔI sang coupon khác trong cùng nhóm.
5. GHI NHẬN hệ thống có cho phép không và provisional summary cập nhật thế nào.</t>
        </is>
      </c>
      <c r="I130" s="25" t="inlineStr">
        <is>
          <t>Coupon 'SALE40' (−40.000đ) và 'SALE30' (−30.000đ) cùng nhóm, cùng đủ điều kiện.</t>
        </is>
      </c>
      <c r="J130" s="25" t="inlineStr">
        <is>
          <t>TBD - đang chờ QnA-85 (rule chọn coupon + khách có được tắt/đổi + màn đích khi nhấn section). Ghi nhận hành vi thực tế, không tự chấm Pass/Fail.</t>
        </is>
      </c>
      <c r="K130" s="25" t="inlineStr">
        <is>
          <t>Medium</t>
        </is>
      </c>
      <c r="L130" s="24" t="n"/>
      <c r="M130" s="24" t="inlineStr">
        <is>
          <t>Not Run</t>
        </is>
      </c>
      <c r="N130" s="24" t="n"/>
      <c r="O130" s="24" t="n"/>
      <c r="P130" s="25" t="inlineStr">
        <is>
          <t>QnA-85</t>
        </is>
      </c>
      <c r="Q130" s="25" t="inlineStr">
        <is>
          <t>Bổ sung theo yêu cầu review 31/08/2026.</t>
        </is>
      </c>
      <c r="R130" s="23" t="n"/>
    </row>
    <row r="131" hidden="1" ht="90" customHeight="1" s="19">
      <c r="A131" s="23" t="inlineStr">
        <is>
          <t>SCR-CRT-01-SC13-TC1</t>
        </is>
      </c>
      <c r="B131" s="23" t="inlineStr">
        <is>
          <t>SCR-CRT-01-SC13</t>
        </is>
      </c>
      <c r="C131" s="23" t="inlineStr">
        <is>
          <t>SCR-CRT-01</t>
        </is>
      </c>
      <c r="D131" s="23" t="inlineStr">
        <is>
          <t>CT-03 · CT-06</t>
        </is>
      </c>
      <c r="E131" s="23" t="inlineStr">
        <is>
          <t>Functional</t>
        </is>
      </c>
      <c r="F131" s="23" t="inlineStr">
        <is>
          <t>Tăng số lượng 1 SKU đã có trong giỏ tự động mở khoá freeship và PwP real-time</t>
        </is>
      </c>
      <c r="G131" s="23" t="inlineStr">
        <is>
          <t>Giỏ 117.000đ (dưới 150.000đ), đang hiện 1 ô PwP khoá với thông báo 'mua thêm 1 SKU-J để mở khoá'; SKU-J đơn giá 33.000đ đang có số lượng 1 trong giỏ.</t>
        </is>
      </c>
      <c r="H131" s="23" t="inlineStr">
        <is>
          <t>1. Ghi nhận: thanh freeship 'Còn 33.000đ...', ô PwP đang khoá, provisional total.
2. Bấm '+' tăng số lượng SKU-J từ 1 lên 2 (thêm 33.000đ, tổng = 150.000đ).
3. Quan sát NGAY (không load lại): thanh freeship, ô PwP, provisional payment summary.</t>
        </is>
      </c>
      <c r="I131" s="23" t="inlineStr">
        <is>
          <t>SKU-J 33.000đ, giỏ ban đầu 117.000đ.</t>
        </is>
      </c>
      <c r="J131" s="23" t="inlineStr">
        <is>
          <t>B3: thanh freeship báo đã đạt, phí Standard = 0đ; ô PwP chuyển sang MỞ KHOÁ (hiện giá deal); provisional payment summary cập nhật real-time - tất cả không cần load lại trang. Việc mở khoá bằng tăng số lượng cho kết quả giống hệt khi thêm SKU mới (SC1/SC7).</t>
        </is>
      </c>
      <c r="K131" s="23" t="inlineStr">
        <is>
          <t>Medium</t>
        </is>
      </c>
      <c r="L131" s="24" t="n"/>
      <c r="M131" s="24" t="inlineStr">
        <is>
          <t>Not Run</t>
        </is>
      </c>
      <c r="N131" s="24" t="n"/>
      <c r="O131" s="24" t="n"/>
      <c r="P131" s="23" t="n"/>
      <c r="Q131" s="23" t="inlineStr">
        <is>
          <t>Bổ sung theo yêu cầu review 31/08/2026.</t>
        </is>
      </c>
      <c r="R131" s="23" t="n"/>
    </row>
    <row r="132" hidden="1" ht="165" customHeight="1" s="19">
      <c r="A132" s="25" t="inlineStr">
        <is>
          <t>SCR-CRT-01-SC14-TC1</t>
        </is>
      </c>
      <c r="B132" s="25" t="inlineStr">
        <is>
          <t>SCR-CRT-01-SC14</t>
        </is>
      </c>
      <c r="C132" s="25" t="inlineStr">
        <is>
          <t>SCR-CRT-01</t>
        </is>
      </c>
      <c r="D132" s="25" t="inlineStr">
        <is>
          <t>CT-06</t>
        </is>
      </c>
      <c r="E132" s="25" t="inlineStr">
        <is>
          <t>Edge</t>
        </is>
      </c>
      <c r="F132" s="25" t="inlineStr">
        <is>
          <t>Rule hiển thị 'Thay thế' vs 'Thông báo khi có hàng' + behavior khi nhấn - TBD chờ QnA-86</t>
        </is>
      </c>
      <c r="G132" s="25" t="inlineStr">
        <is>
          <t>Sub-state Cart có nhóm 'Out of stock' với &gt;=2 SKU hết hàng.</t>
        </is>
      </c>
      <c r="H132" s="25" t="inlineStr">
        <is>
          <t>1. Với mỗi SKU hết hàng, ghi nhận nút hiển thị: 'Replace with a similar item ›', 'Notify me when it is back ›', hay cả hai.
2. Đối chiếu đặc điểm 2 SKU (danh mục, giá, thương hiệu, có SP tương tự còn hàng không) để suy ra rule.
3. Kiểm tra có hiển thị dự kiến thời gian có hàng trở lại cho SKU nào không.
4. Nhấn 'Replace with a similar item ›' - GHI NHẬN màn mở ra (danh sách gợi ý để chọn / tự swap).
5. Nhấn 'Notify me when it is back ›' - GHI NHẬN cách xác nhận đăng ký + kênh.</t>
        </is>
      </c>
      <c r="I132" s="25" t="inlineStr">
        <is>
          <t>SKU 'Norwegian salmon 300g', SKU 'Imported grapes 500g' (đều hết hàng).</t>
        </is>
      </c>
      <c r="J132" s="25" t="inlineStr">
        <is>
          <t>TBD - đang chờ QnA-86. Ghi nhận hành vi thực tế ở tất cả các bước, không tự chấm Pass/Fail.</t>
        </is>
      </c>
      <c r="K132" s="25" t="inlineStr">
        <is>
          <t>Medium</t>
        </is>
      </c>
      <c r="L132" s="24" t="n"/>
      <c r="M132" s="24" t="inlineStr">
        <is>
          <t>Not Run</t>
        </is>
      </c>
      <c r="N132" s="24" t="n"/>
      <c r="O132" s="24" t="n"/>
      <c r="P132" s="25" t="inlineStr">
        <is>
          <t>QnA-86, QnA-05</t>
        </is>
      </c>
      <c r="Q132" s="25" t="inlineStr">
        <is>
          <t>Bổ sung theo yêu cầu review 31/08/2026.</t>
        </is>
      </c>
      <c r="R132" s="23" t="n"/>
    </row>
    <row r="133" hidden="1" ht="195" customHeight="1" s="19">
      <c r="A133" s="25" t="inlineStr">
        <is>
          <t>SCR-CRT-01-SC15-TC1</t>
        </is>
      </c>
      <c r="B133" s="25" t="inlineStr">
        <is>
          <t>SCR-CRT-01-SC15</t>
        </is>
      </c>
      <c r="C133" s="25" t="inlineStr">
        <is>
          <t>SCR-CRT-01</t>
        </is>
      </c>
      <c r="D133" s="25" t="inlineStr">
        <is>
          <t>CT-06 · CO-08 · BRL-34</t>
        </is>
      </c>
      <c r="E133" s="25" t="inlineStr">
        <is>
          <t>Functional</t>
        </is>
      </c>
      <c r="F133" s="25" t="inlineStr">
        <is>
          <t>Provisional payment summary hiển thị đúng từng dòng và khớp số học, recompute real-time</t>
        </is>
      </c>
      <c r="G133" s="25" t="inlineStr">
        <is>
          <t>Giỏ hàng đã biết: 3 SKU tổng 486.000đ; coupon sản phẩm −40.000đ; dịch vụ Standard, tổng &gt; 150.000đ.</t>
        </is>
      </c>
      <c r="H133" s="25" t="inlineStr">
        <is>
          <t>1. Mở provisional payment summary, đối chiếu từng dòng: Order value, Product discount, Delivery discount, Delivery fee, (Nylon bag / Bulky surcharge nếu có), Amount payable.
2. Tự tính tay: Amount payable = Order value − Product discount − Delivery discount + Delivery fee + phụ phí.
3. So sánh kết quả tính tay với số hệ thống hiển thị.
4. Xoá 1 SKU khỏi giỏ, quan sát toàn bộ summary tính lại ngay.
5. Gỡ coupon (nếu cho phép) hoặc đổi dịch vụ sang 60-Minute, quan sát Delivery fee + Amount payable cập nhật.</t>
        </is>
      </c>
      <c r="I133" s="25" t="inlineStr">
        <is>
          <t>SKU 196.000/78.000/112.000...; coupon 'SALE40' −40.000đ.</t>
        </is>
      </c>
      <c r="J133" s="25" t="inlineStr">
        <is>
          <t>B1-3: mọi dòng khớp rule BRL-34 và khớp số học; Delivery fee = 0đ (Standard, &gt;=150.000đ - BRL-19); Amount payable = tổng đúng. B4-5: summary recompute real-time, không sai lệch sau thay đổi. Dòng 'nylon bag': TBD theo QnA-16 (có tính phí đóng gói hay không).</t>
        </is>
      </c>
      <c r="K133" s="25" t="inlineStr">
        <is>
          <t>High</t>
        </is>
      </c>
      <c r="L133" s="24" t="n"/>
      <c r="M133" s="24" t="inlineStr">
        <is>
          <t>Not Run</t>
        </is>
      </c>
      <c r="N133" s="24" t="n"/>
      <c r="O133" s="24" t="n"/>
      <c r="P133" s="25" t="inlineStr">
        <is>
          <t>QnA-16</t>
        </is>
      </c>
      <c r="Q133" s="25" t="inlineStr">
        <is>
          <t>Bổ sung theo yêu cầu review 31/08/2026.</t>
        </is>
      </c>
      <c r="R133" s="23" t="n"/>
    </row>
    <row r="134" hidden="1" ht="180" customHeight="1" s="19">
      <c r="A134" s="25" t="inlineStr">
        <is>
          <t>SCR-CRT-01-SC16-TC1</t>
        </is>
      </c>
      <c r="B134" s="25" t="inlineStr">
        <is>
          <t>SCR-CRT-01-SC16</t>
        </is>
      </c>
      <c r="C134" s="25" t="inlineStr">
        <is>
          <t>SCR-CRT-01</t>
        </is>
      </c>
      <c r="D134" s="25" t="inlineStr">
        <is>
          <t>CT-06</t>
        </is>
      </c>
      <c r="E134" s="25" t="inlineStr">
        <is>
          <t>Edge</t>
        </is>
      </c>
      <c r="F134" s="25" t="inlineStr">
        <is>
          <t>Thời gian giữ SKU hết hàng trong nhóm + hành vi khi SKU có hàng trở lại - TBD chờ QnA-05 &amp; QnA-87</t>
        </is>
      </c>
      <c r="G134" s="25" t="inlineStr">
        <is>
          <t>Sub-state Cart có nhóm 'Out of stock'; 1 SKU đã bấm 'Notify me when it is back'.</t>
        </is>
      </c>
      <c r="H134" s="25" t="inlineStr">
        <is>
          <t>1. Ghi nhận thời điểm SKU-Z vào nhóm hết hàng.
2. Giữ/theo dõi qua các mốc thời gian (giả lập nếu cần), ghi nhận khi nào SKU-Z bị loại hẳn khỏi nhóm/giỏ.
3. Giả lập SKU-Z có hàng trở lại KHI khách vẫn đang mở Cart - quan sát SKU có tự chuyển lại nhóm 'Available' + thông báo tại chỗ không.
4. Giả lập SKU-W (đã đăng ký Notify) có hàng trở lại khi khách KHÔNG mở app - ghi nhận kênh + nội dung thông báo, có deep-link về Cart không.
5. Với SKU đã bị loại ở bước 2, khi có hàng lại - ghi nhận có tự thêm lại vào giỏ không.</t>
        </is>
      </c>
      <c r="I134" s="25" t="inlineStr">
        <is>
          <t>SKU-Z (hết hàng, không đăng ký), SKU-W (hết hàng, đã đăng ký Notify).</t>
        </is>
      </c>
      <c r="J134" s="25" t="inlineStr">
        <is>
          <t>TBD - thời gian giữ đang chờ QnA-05; hành vi khi có hàng trở lại đang chờ QnA-87. Ghi nhận hành vi thực tế, không tự chấm Pass/Fail.</t>
        </is>
      </c>
      <c r="K134" s="25" t="inlineStr">
        <is>
          <t>Medium</t>
        </is>
      </c>
      <c r="L134" s="24" t="n"/>
      <c r="M134" s="24" t="inlineStr">
        <is>
          <t>Not Run</t>
        </is>
      </c>
      <c r="N134" s="24" t="n"/>
      <c r="O134" s="24" t="n"/>
      <c r="P134" s="25" t="inlineStr">
        <is>
          <t>QnA-05, QnA-87</t>
        </is>
      </c>
      <c r="Q134" s="25" t="inlineStr">
        <is>
          <t>Bổ sung theo yêu cầu review 31/08/2026.</t>
        </is>
      </c>
      <c r="R134" s="23" t="n"/>
    </row>
    <row r="135" hidden="1" ht="69.75" customHeight="1" s="19">
      <c r="A135" s="25" t="inlineStr">
        <is>
          <t>SCR-CRT-02-SC1-TC1</t>
        </is>
      </c>
      <c r="B135" s="25" t="inlineStr">
        <is>
          <t>SCR-CRT-02-SC1</t>
        </is>
      </c>
      <c r="C135" s="25" t="inlineStr">
        <is>
          <t>SCR-CRT-02</t>
        </is>
      </c>
      <c r="D135" s="25" t="inlineStr">
        <is>
          <t>CT-08</t>
        </is>
      </c>
      <c r="E135" s="25" t="inlineStr">
        <is>
          <t>Boundary</t>
        </is>
      </c>
      <c r="F135" s="25" t="inlineStr">
        <is>
          <t>Phí 60-Minute không được miễn dù giỏ hàng đã vượt ngưỡng freeship Standard 150.000đ</t>
        </is>
      </c>
      <c r="G135" s="25" t="inlineStr">
        <is>
          <t>Giỏ hàng tổng 200.000đ (đã vượt 150.000đ), địa chỉ trong bán kính 60-Minute.</t>
        </is>
      </c>
      <c r="H135" s="25" t="inlineStr">
        <is>
          <t>1. Đảm bảo giỏ hàng &gt;=150.000đ.
2. Chọn dịch vụ 60-Minute (thay vì Standard).
3. Quan sát dòng phí giao hàng trong tóm tắt thanh toán.
4. (Đối chứng) Chuyển lại về Standard, quan sát lại dòng phí.</t>
        </is>
      </c>
      <c r="I135" s="25" t="inlineStr">
        <is>
          <t>Giỏ hàng: 200.000đ. Dịch vụ: 60-Minute vs Standard.</t>
        </is>
      </c>
      <c r="J135" s="25" t="inlineStr">
        <is>
          <t>Bước 3: phí 60-Minute VẪN được tính (không về 0) dù giỏ hàng đã vượt 150.000đ. Bước 4: khi chuyển về Standard, phí giao hàng về 0đ (freeship áp dụng đúng cho Standard).</t>
        </is>
      </c>
      <c r="K135" s="25" t="inlineStr">
        <is>
          <t>High</t>
        </is>
      </c>
      <c r="L135" s="24" t="n"/>
      <c r="M135" s="24" t="inlineStr">
        <is>
          <t>Not Run</t>
        </is>
      </c>
      <c r="N135" s="24" t="n"/>
      <c r="O135" s="24" t="n"/>
      <c r="P135" s="25" t="inlineStr">
        <is>
          <t>QnA-33</t>
        </is>
      </c>
      <c r="Q135" s="25" t="inlineStr">
        <is>
          <t>Đối chiếu thêm với QnA-33 về khả năng phí Standard có thể thay đổi theo khung giờ - cần theo dõi cập nhật.</t>
        </is>
      </c>
      <c r="R135" s="23" t="n"/>
    </row>
    <row r="136" hidden="1" ht="69.75" customHeight="1" s="19">
      <c r="A136" s="23" t="inlineStr">
        <is>
          <t>SCR-CRT-02-SC2-TC1</t>
        </is>
      </c>
      <c r="B136" s="23" t="inlineStr">
        <is>
          <t>SCR-CRT-02-SC2</t>
        </is>
      </c>
      <c r="C136" s="23" t="inlineStr">
        <is>
          <t>SCR-CRT-02</t>
        </is>
      </c>
      <c r="D136" s="23" t="inlineStr">
        <is>
          <t>CT-08</t>
        </is>
      </c>
      <c r="E136" s="23" t="inlineStr">
        <is>
          <t>Boundary</t>
        </is>
      </c>
      <c r="F136" s="23" t="inlineStr">
        <is>
          <t>Cảnh báo slot 60-Minute sắp hết xuất hiện đúng lúc còn lại = ngưỡng cấu hình</t>
        </is>
      </c>
      <c r="G136" s="23" t="inlineStr">
        <is>
          <t>Store test được cấu hình còn lại 2 slot 60-Minute cho khung giờ đang xét.</t>
        </is>
      </c>
      <c r="H136" s="23" t="inlineStr">
        <is>
          <t>1. Quan sát Cart khi slot còn lại = 2 (trên ngưỡng 1, chưa cảnh báo).
2. Giả lập 1 đơn khác đặt hết 1 slot, còn lại = 1 (bằng ngưỡng).
3. Làm mới Cart, quan sát cảnh báo.</t>
        </is>
      </c>
      <c r="I136" s="23" t="inlineStr">
        <is>
          <t>Ngưỡng cấu hình: 1 slot còn lại. Slot ban đầu: 2, sau đó: 1.</t>
        </is>
      </c>
      <c r="J136" s="23" t="inlineStr">
        <is>
          <t>Bước 1: không có cảnh báo. Bước 3: cảnh báo xuất hiện ngay khi còn lại = 1, nêu rõ còn 1 chỗ.</t>
        </is>
      </c>
      <c r="K136" s="23" t="inlineStr">
        <is>
          <t>Medium</t>
        </is>
      </c>
      <c r="L136" s="24" t="n"/>
      <c r="M136" s="24" t="inlineStr">
        <is>
          <t>Not Run</t>
        </is>
      </c>
      <c r="N136" s="24" t="n"/>
      <c r="O136" s="24" t="n"/>
      <c r="P136" s="23" t="n"/>
      <c r="Q136" s="23" t="n"/>
      <c r="R136" s="23" t="n"/>
    </row>
    <row r="137" hidden="1" ht="120" customHeight="1" s="19">
      <c r="A137" s="23" t="inlineStr">
        <is>
          <t>SCR-CRT-02-SC3-TC1</t>
        </is>
      </c>
      <c r="B137" s="23" t="inlineStr">
        <is>
          <t>SCR-CRT-02-SC3</t>
        </is>
      </c>
      <c r="C137" s="23" t="inlineStr">
        <is>
          <t>SCR-CRT-02</t>
        </is>
      </c>
      <c r="D137" s="23" t="inlineStr">
        <is>
          <t>CT-08</t>
        </is>
      </c>
      <c r="E137" s="23" t="inlineStr">
        <is>
          <t>Normal</t>
        </is>
      </c>
      <c r="F137" s="23" t="inlineStr">
        <is>
          <t>Chọn 60-Minute thành công khi slot còn healthy, hoàn tất Proceed to Checkout</t>
        </is>
      </c>
      <c r="G137" s="23" t="inlineStr">
        <is>
          <t>Địa chỉ trong bán kính 3-5km của store, giỏ hàng chỉ có sản phẩm 60-Minute eligible, store còn nhiều slot (trên ngưỡng cảnh báo).</t>
        </is>
      </c>
      <c r="H137" s="23" t="inlineStr">
        <is>
          <t>1. Vào Cart, chuyển tab Delivery, chọn dịch vụ '60-Minute'.
2. Quan sát: giờ giao dự kiến ('Arrives by...'), số slot còn lại, phí 25.000đ.
3. Xác nhận danh sách sản phẩm chỉ còn item 60-Minute eligible.
4. Bấm 'Proceed to Checkout'.</t>
        </is>
      </c>
      <c r="I137" s="23" t="inlineStr">
        <is>
          <t>Địa chỉ cách store 4km (trong bán kính 60-Minute); giỏ hàng gồm 2 SKU đều gắn nhãn 60-Minute eligible.</t>
        </is>
      </c>
      <c r="J137" s="23" t="inlineStr">
        <is>
          <t>Chọn 60-Minute thành công, hiện đúng giờ giao/phí/số slot còn lại; Proceed to Checkout chuyển sang SCR-CHK-01 với dịch vụ 60-Minute đã chọn, không có cảnh báo nào (vì slot còn healthy).</t>
        </is>
      </c>
      <c r="K137" s="23" t="inlineStr">
        <is>
          <t>High</t>
        </is>
      </c>
      <c r="L137" s="24" t="n"/>
      <c r="M137" s="24" t="inlineStr">
        <is>
          <t>Not Run</t>
        </is>
      </c>
      <c r="N137" s="24" t="n"/>
      <c r="O137" s="24" t="n"/>
      <c r="P137" s="23" t="n"/>
      <c r="Q137" s="23" t="inlineStr">
        <is>
          <t>Bổ sung theo yêu cầu review 28/08/2026.</t>
        </is>
      </c>
      <c r="R137" s="23" t="n"/>
    </row>
    <row r="138" hidden="1" ht="150" customHeight="1" s="19">
      <c r="A138" s="25" t="inlineStr">
        <is>
          <t>SCR-CRT-02-SC4-TC1</t>
        </is>
      </c>
      <c r="B138" s="25" t="inlineStr">
        <is>
          <t>SCR-CRT-02-SC4</t>
        </is>
      </c>
      <c r="C138" s="25" t="inlineStr">
        <is>
          <t>SCR-CRT-02</t>
        </is>
      </c>
      <c r="D138" s="25" t="inlineStr">
        <is>
          <t>CT-08</t>
        </is>
      </c>
      <c r="E138" s="25" t="inlineStr">
        <is>
          <t>Edge</t>
        </is>
      </c>
      <c r="F138" s="25" t="inlineStr">
        <is>
          <t>60-Minute hoàn toàn hết slot (Closed) tại SCR-CRT-02 - TBD chờ QnA-65</t>
        </is>
      </c>
      <c r="G138" s="25" t="inlineStr">
        <is>
          <t>Store cấu hình 0 slot 60-Minute cho khung giờ hiện tại.</t>
        </is>
      </c>
      <c r="H138" s="25" t="inlineStr">
        <is>
          <t>1. Vào Cart, chuyển tab Delivery, thử chọn dịch vụ '60-Minute'.
2. GHI NHẬN: dịch vụ 60-Minute có bị ẩn/disable ngay từ đầu, hay vẫn chọn được rồi mới báo lỗi.
3. Nếu vẫn chọn được, thử bấm 'Proceed to Checkout', ghi nhận thông báo/hành vi.
4. Xác nhận dịch vụ cuối cùng áp dụng cho đơn hàng là gì (Standard tự động, hay bắt buộc khách tự chọn lại).</t>
        </is>
      </c>
      <c r="I138" s="25" t="inlineStr">
        <is>
          <t>Store test cấu hình 0 slot 60-Minute (đã dùng hết trong ngày).</t>
        </is>
      </c>
      <c r="J138" s="25" t="inlineStr">
        <is>
          <t>TBD - chờ câu trả lời QnA-65. Người thực thi KHÔNG tự ý chấm Pass/Fail - chỉ ghi nhận hành vi thực tế ở bước 2-4.</t>
        </is>
      </c>
      <c r="K138" s="25" t="inlineStr">
        <is>
          <t>Medium</t>
        </is>
      </c>
      <c r="L138" s="24" t="n"/>
      <c r="M138" s="24" t="inlineStr">
        <is>
          <t>Not Run</t>
        </is>
      </c>
      <c r="N138" s="24" t="n"/>
      <c r="O138" s="24" t="n"/>
      <c r="P138" s="25" t="inlineStr">
        <is>
          <t>QnA-65</t>
        </is>
      </c>
      <c r="Q138" s="25" t="inlineStr">
        <is>
          <t>Bổ sung theo yêu cầu review 28/08/2026 - khác biệt với SCR-CRT-07-SC4/QnA-57 (màn chọn slot chi tiết).</t>
        </is>
      </c>
      <c r="R138" s="23" t="n"/>
    </row>
    <row r="139" hidden="1" ht="150" customHeight="1" s="19">
      <c r="A139" s="25" t="inlineStr">
        <is>
          <t>SCR-CRT-02-SC5-TC1</t>
        </is>
      </c>
      <c r="B139" s="25" t="inlineStr">
        <is>
          <t>SCR-CRT-02-SC5</t>
        </is>
      </c>
      <c r="C139" s="25" t="inlineStr">
        <is>
          <t>SCR-CRT-02</t>
        </is>
      </c>
      <c r="D139" s="25" t="inlineStr">
        <is>
          <t>CT-07 · CT-08</t>
        </is>
      </c>
      <c r="E139" s="25" t="inlineStr">
        <is>
          <t>Edge</t>
        </is>
      </c>
      <c r="F139" s="25" t="inlineStr">
        <is>
          <t>Đổi serving store khi đang chọn 60-Minute - dịch vụ giao thay đổi thế nào</t>
        </is>
      </c>
      <c r="G139" s="25" t="inlineStr">
        <is>
          <t>Ở SCR-CRT-02 State A, đã chọn 60-Minute, địa chỉ Q.7 có &gt;=2 store trong danh sách đã lọc (1 store chỉ Standard, 1 store vẫn 60-Minute).</t>
        </is>
      </c>
      <c r="H139" s="25" t="inlineStr">
        <is>
          <t>1. Bấm 'Change ›', chọn store chỉ-Standard (ví dụ Tân Bình 6.8km).
2. Quan sát cảnh báo impact hợp nhất (SCR-CRT-06), bấm Continue.
3. Quay lại SCR-CRT-02, quan sát section 'Delivery service': 60-Minute còn không, dịch vụ đang chọn là gì, slot/phí thế nào.
4. Lặp lại: đổi sang store khác vẫn trong bán kính 60-Minute, quan sát 60-Minute có giữ / có tự nâng lại không, slot+giờ giao dự kiến+số slot còn lại.</t>
        </is>
      </c>
      <c r="I139" s="25" t="inlineStr">
        <is>
          <t>Store Nam Sài Gòn (60-Minute+Standard), Tân Bình (Standard only), 1 store thứ 3 vẫn 60-Minute.</t>
        </is>
      </c>
      <c r="J139" s="25" t="inlineStr">
        <is>
          <t>B2-3: sau Continue, 60-Minute biến mất khỏi lựa chọn ở store chỉ-Standard, dịch vụ tự fallback về Standard, slot re-suggest theo BRL-25..27, phí cập nhật (Standard free khi đủ ngưỡng); khách được thông báo dịch vụ đã đổi (BRL-08/BRL-24). B4: ở store vẫn có 60-Minute → 60-Minute khả dụng trở lại; việc có TỰ ĐỘNG chọn lại 60-Minute hay giữ Standard: TBD chờ QnA-63; slot/giờ giao/số slot tính theo store mới.</t>
        </is>
      </c>
      <c r="K139" s="25" t="inlineStr">
        <is>
          <t>High</t>
        </is>
      </c>
      <c r="L139" s="24" t="n"/>
      <c r="M139" s="24" t="inlineStr">
        <is>
          <t>Not Run</t>
        </is>
      </c>
      <c r="N139" s="24" t="n"/>
      <c r="O139" s="24" t="n"/>
      <c r="P139" s="25" t="inlineStr">
        <is>
          <t>QnA-25, QnA-63</t>
        </is>
      </c>
      <c r="Q139" s="25" t="inlineStr">
        <is>
          <t>Bổ sung theo yêu cầu review 31/08/2026.</t>
        </is>
      </c>
      <c r="R139" s="23" t="n"/>
    </row>
    <row r="140" hidden="1" ht="105" customHeight="1" s="19">
      <c r="A140" s="23" t="inlineStr">
        <is>
          <t>SCR-CRT-02-SC6-TC1</t>
        </is>
      </c>
      <c r="B140" s="23" t="inlineStr">
        <is>
          <t>SCR-CRT-02-SC6</t>
        </is>
      </c>
      <c r="C140" s="23" t="inlineStr">
        <is>
          <t>SCR-CRT-02</t>
        </is>
      </c>
      <c r="D140" s="23" t="inlineStr">
        <is>
          <t>CT-08 · BRL-18</t>
        </is>
      </c>
      <c r="E140" s="23" t="inlineStr">
        <is>
          <t>Boundary</t>
        </is>
      </c>
      <c r="F140" s="23" t="inlineStr">
        <is>
          <t>Coupon giao hàng phủ hết phí 60-Minute thì phí được miễn; phủ 1 phần thì vẫn thu phần còn lại</t>
        </is>
      </c>
      <c r="G140" s="23" t="inlineStr">
        <is>
          <t>Ở SCR-CRT-02, đã chọn 60-Minute (phí cố định 25.000đ).</t>
        </is>
      </c>
      <c r="H140" s="23" t="inlineStr">
        <is>
          <t>1. Áp coupon giao hàng 'SHIP25' trị giá 25.000đ (đủ phủ hết phí).
2. Quan sát dòng phí 60-Minute + Delivery discount + Amount payable ở provisional summary.
3. Gỡ coupon, áp coupon giao hàng 'SHIP15' trị giá 15.000đ.
4. Quan sát lại các dòng phí.</t>
        </is>
      </c>
      <c r="I140" s="23" t="inlineStr">
        <is>
          <t>Coupon SHIP25 (−25.000đ, giao hàng), SHIP15 (−15.000đ, giao hàng), phí 60-Minute 25.000đ.</t>
        </is>
      </c>
      <c r="J140" s="23" t="inlineStr">
        <is>
          <t>B2: phí 60-Minute về 0đ / 'Miễn phí' (BRL-18 - chỉ coupon giao hàng phủ hết mới miễn, không bao giờ miễn theo giá trị đơn). B4: phí gốc vẫn 25.000đ, Delivery discount −15.000đ, còn thu 10.000đ; phí KHÔNG về 0 khi coupon chỉ phủ 1 phần.</t>
        </is>
      </c>
      <c r="K140" s="23" t="inlineStr">
        <is>
          <t>High</t>
        </is>
      </c>
      <c r="L140" s="24" t="n"/>
      <c r="M140" s="24" t="inlineStr">
        <is>
          <t>Not Run</t>
        </is>
      </c>
      <c r="N140" s="24" t="n"/>
      <c r="O140" s="24" t="n"/>
      <c r="P140" s="23" t="n"/>
      <c r="Q140" s="23" t="inlineStr">
        <is>
          <t>Bổ sung theo yêu cầu review 31/08/2026 - nhánh ngược của SCR-CRT-02-SC1.</t>
        </is>
      </c>
      <c r="R140" s="23" t="n"/>
    </row>
    <row r="141" hidden="1" ht="120" customHeight="1" s="19">
      <c r="A141" s="25" t="inlineStr">
        <is>
          <t>SCR-CRT-02-SC7-TC1</t>
        </is>
      </c>
      <c r="B141" s="25" t="inlineStr">
        <is>
          <t>SCR-CRT-02-SC7</t>
        </is>
      </c>
      <c r="C141" s="25" t="inlineStr">
        <is>
          <t>SCR-CRT-02</t>
        </is>
      </c>
      <c r="D141" s="25" t="inlineStr">
        <is>
          <t>CT-08 · BRL-20</t>
        </is>
      </c>
      <c r="E141" s="25" t="inlineStr">
        <is>
          <t>Edge</t>
        </is>
      </c>
      <c r="F141" s="25" t="inlineStr">
        <is>
          <t>Chọn 60-Minute khi còn 1 slot, slot bị lấy mất trước khi Proceed to Checkout - TBD chờ QnA-88</t>
        </is>
      </c>
      <c r="G141" s="25" t="inlineStr">
        <is>
          <t>Ở SCR-CRT-02 State B (đã hiện 'Only 1 slot left'), đã chọn 60-Minute.</t>
        </is>
      </c>
      <c r="H141" s="25" t="inlineStr">
        <is>
          <t>1. Xác nhận đang ở State B, cảnh báo còn 1 slot.
2. Giả lập 1 đơn khác chiếm nốt slot 60-Minute (còn 0).
3. Bấm 'Proceed to Checkout'.
4. GHI NHẬN: hệ thống chặn tại Cart bắt chọn Standard / tự chuyển Standard kèm xác nhận / cho qua Checkout rồi báo lỗi; phí-slot-thời gian giao được tính lại thế nào.</t>
        </is>
      </c>
      <c r="I141" s="25" t="inlineStr">
        <is>
          <t>Slot 60-Minute còn 1 → 0.</t>
        </is>
      </c>
      <c r="J141" s="25" t="inlineStr">
        <is>
          <t>TBD - đang chờ QnA-88. Người thực thi ghi nhận hành vi thực tế ở bước 4, KHÔNG tự chấm Pass/Fail; yêu cầu tối thiểu: không đưa khách vào Checkout với 60-Minute đã hết slot mà không xử lý.</t>
        </is>
      </c>
      <c r="K141" s="25" t="inlineStr">
        <is>
          <t>Medium</t>
        </is>
      </c>
      <c r="L141" s="24" t="n"/>
      <c r="M141" s="24" t="inlineStr">
        <is>
          <t>Not Run</t>
        </is>
      </c>
      <c r="N141" s="24" t="n"/>
      <c r="O141" s="24" t="n"/>
      <c r="P141" s="25" t="inlineStr">
        <is>
          <t>QnA-88</t>
        </is>
      </c>
      <c r="Q141" s="25" t="inlineStr">
        <is>
          <t>Bổ sung theo yêu cầu review 31/08/2026 - race condition, khác với SCR-CRT-02-SC4 (0 slot ngay từ đầu, QnA-65).</t>
        </is>
      </c>
      <c r="R141" s="23" t="n"/>
    </row>
    <row r="142" ht="105" customHeight="1" s="19">
      <c r="A142" s="23" t="inlineStr">
        <is>
          <t>SCR-CRT-02-SC8-TC1</t>
        </is>
      </c>
      <c r="B142" s="23" t="inlineStr">
        <is>
          <t>SCR-CRT-02-SC8</t>
        </is>
      </c>
      <c r="C142" s="23" t="inlineStr">
        <is>
          <t>SCR-CRT-02</t>
        </is>
      </c>
      <c r="D142" s="23" t="inlineStr">
        <is>
          <t>CT-08 · BRL-21</t>
        </is>
      </c>
      <c r="E142" s="23" t="inlineStr">
        <is>
          <t>Functional</t>
        </is>
      </c>
      <c r="F142" s="23" t="inlineStr">
        <is>
          <t>Slot 60-Minute Closed tự động mở lại khi capacity được giải phóng</t>
        </is>
      </c>
      <c r="G142" s="23" t="inlineStr">
        <is>
          <t>Ở SCR-CRT-02, slot 60-Minute hiện tại Closed (hết chỗ), đang mở Cart.</t>
        </is>
      </c>
      <c r="H142" s="23" t="inlineStr">
        <is>
          <t>1. Xác nhận 60-Minute đang Closed / không chọn được, không load lại trang.
2. Giả lập backend đánh dấu 1 đơn 60-Minute khác là 'ready for delivery' (giải phóng 1 suất).
3. Quan sát section 'Delivery service' trong Cart mà KHÔNG bấm refresh.
4. Thử chọn 60-Minute.</t>
        </is>
      </c>
      <c r="I142" s="23" t="inlineStr">
        <is>
          <t>Slot 60-Minute = 0 → +1 sau khi 1 đơn 'ready for delivery'.</t>
        </is>
      </c>
      <c r="J142" s="23" t="inlineStr">
        <is>
          <t>B3: slot 60-Minute tự động chuyển sang khả dụng trong Cart, số slot còn lại / trạng thái (còn 1 / Healthy) cập nhật đúng, KHÔNG cần khách refresh (BRL-21). B4: chọn được 60-Minute bình thường.</t>
        </is>
      </c>
      <c r="K142" s="23" t="inlineStr">
        <is>
          <t>Medium</t>
        </is>
      </c>
      <c r="L142" s="24" t="n"/>
      <c r="M142" s="24" t="inlineStr">
        <is>
          <t>Not Run</t>
        </is>
      </c>
      <c r="N142" s="24" t="n"/>
      <c r="O142" s="24" t="n"/>
      <c r="P142" s="23" t="n"/>
      <c r="Q142" s="23" t="inlineStr">
        <is>
          <t>Bổ sung theo yêu cầu review 31/08/2026.</t>
        </is>
      </c>
      <c r="R142" s="23" t="n"/>
    </row>
    <row r="143" ht="180" customHeight="1" s="19">
      <c r="A143" s="25" t="inlineStr">
        <is>
          <t>SCR-CRT-02-SC9-TC1</t>
        </is>
      </c>
      <c r="B143" s="25" t="inlineStr">
        <is>
          <t>SCR-CRT-02-SC9</t>
        </is>
      </c>
      <c r="C143" s="25" t="inlineStr">
        <is>
          <t>SCR-CRT-02</t>
        </is>
      </c>
      <c r="D143" s="25" t="inlineStr">
        <is>
          <t>CT-04 · CT-08</t>
        </is>
      </c>
      <c r="E143" s="25" t="inlineStr">
        <is>
          <t>Edge</t>
        </is>
      </c>
      <c r="F143" s="25" t="inlineStr">
        <is>
          <t>Chọn 60-Minute khi giỏ có SKU không đủ điều kiện 60-Minute - TBD chờ QnA-89</t>
        </is>
      </c>
      <c r="G143" s="25" t="inlineStr">
        <is>
          <t>Địa chỉ trong bán kính 3-5km; giỏ có SKU-60M-OK và SKU-60M-NO.</t>
        </is>
      </c>
      <c r="H143" s="25" t="inlineStr">
        <is>
          <t>1. Xác nhận điều khiển chọn 60-Minute nằm trong section 'Delivery service' của SCR-CRT-02 và chỉ hiện khi địa chỉ trong bán kính (không có màn config riêng).
2. Chọn '60-Minute'.
3. GHI NHẬN chuyện gì xảy ra với SKU-60M-NO: bị loại khỏi đơn / tách sang đơn Standard riêng / chỉ bị ẩn khỏi danh sách / hệ thống chặn chọn 60-Minute.
4. GHI NHẬN có cảnh báo trước khi khách mất SKU-60M-NO không.
5. Bấm Proceed to Checkout, xác nhận đơn cuối cùng gồm những SKU nào.</t>
        </is>
      </c>
      <c r="I143" s="25" t="inlineStr">
        <is>
          <t>SKU-60M-OK (eligible), SKU-60M-NO (không eligible).</t>
        </is>
      </c>
      <c r="J143" s="25" t="inlineStr">
        <is>
          <t>B1: xác nhận vị trí điều khiển. B3-5: TBD - đang chờ QnA-89 &amp; QnA-42. Ghi nhận hành vi thực tế, không tự chấm Pass/Fail; yêu cầu tối thiểu: không âm thầm loại SKU khỏi đơn mà không cảnh báo.</t>
        </is>
      </c>
      <c r="K143" s="25" t="inlineStr">
        <is>
          <t>Medium</t>
        </is>
      </c>
      <c r="L143" s="24" t="n"/>
      <c r="M143" s="24" t="inlineStr">
        <is>
          <t>Not Run</t>
        </is>
      </c>
      <c r="N143" s="24" t="n"/>
      <c r="O143" s="24" t="n"/>
      <c r="P143" s="25" t="inlineStr">
        <is>
          <t>QnA-89, QnA-42</t>
        </is>
      </c>
      <c r="Q143" s="25" t="inlineStr">
        <is>
          <t>Bổ sung theo yêu cầu review 31/08/2026.</t>
        </is>
      </c>
      <c r="R143" s="23" t="n"/>
    </row>
    <row r="144" hidden="1" ht="69.75" customHeight="1" s="19">
      <c r="A144" s="25" t="inlineStr">
        <is>
          <t>SCR-CRT-03-SC1-TC1</t>
        </is>
      </c>
      <c r="B144" s="25" t="inlineStr">
        <is>
          <t>SCR-CRT-03-SC1</t>
        </is>
      </c>
      <c r="C144" s="25" t="inlineStr">
        <is>
          <t>SCR-CRT-03</t>
        </is>
      </c>
      <c r="D144" s="25" t="inlineStr">
        <is>
          <t>CT-08</t>
        </is>
      </c>
      <c r="E144" s="25" t="inlineStr">
        <is>
          <t>Functional</t>
        </is>
      </c>
      <c r="F144" s="25" t="inlineStr">
        <is>
          <t>Địa chỉ Next-day chỉ hiện bộ chọn ngày, không có khung giờ</t>
        </is>
      </c>
      <c r="G144" s="25" t="inlineStr">
        <is>
          <t>Địa chỉ test nằm ngoài bán kính Standard, trong 1 khu vực Next-day đã cấu hình.</t>
        </is>
      </c>
      <c r="H144" s="25" t="inlineStr">
        <is>
          <t>1. Vào Cart, chọn dịch vụ tương ứng địa chỉ Next-day.
2. Quan sát giao diện chọn thời gian giao.
3. Chọn 1 ngày hợp lệ trong danh sách.</t>
        </is>
      </c>
      <c r="I144" s="25" t="inlineStr">
        <is>
          <t>Địa chỉ test: thuộc khu vực Next-day đã cấu hình (ví dụ ngoài TP.HCM, thuộc diện Next-day).</t>
        </is>
      </c>
      <c r="J144" s="25" t="inlineStr">
        <is>
          <t>Giao diện CHỈ hiện lưới chọn NGÀY (không có khung giờ nào); ngày không khả dụng hiện dạng mờ (disabled), không bị ẩn; chọn 1 ngày hợp lệ được xác nhận.</t>
        </is>
      </c>
      <c r="K144" s="25" t="inlineStr">
        <is>
          <t>High</t>
        </is>
      </c>
      <c r="L144" s="24" t="n"/>
      <c r="M144" s="24" t="inlineStr">
        <is>
          <t>Not Run</t>
        </is>
      </c>
      <c r="N144" s="24" t="n"/>
      <c r="O144" s="24" t="n"/>
      <c r="P144" s="25" t="inlineStr">
        <is>
          <t>QnA-09</t>
        </is>
      </c>
      <c r="Q144" s="25" t="n"/>
      <c r="R144" s="23" t="n"/>
    </row>
    <row r="145" hidden="1" ht="69.75" customHeight="1" s="19">
      <c r="A145" s="23" t="inlineStr">
        <is>
          <t>SCR-CRT-03-SC1-TC2</t>
        </is>
      </c>
      <c r="B145" s="23" t="inlineStr">
        <is>
          <t>SCR-CRT-03-SC1</t>
        </is>
      </c>
      <c r="C145" s="23" t="inlineStr">
        <is>
          <t>SCR-CRT-03</t>
        </is>
      </c>
      <c r="D145" s="23" t="inlineStr">
        <is>
          <t>CT-08</t>
        </is>
      </c>
      <c r="E145" s="23" t="inlineStr">
        <is>
          <t>Functional</t>
        </is>
      </c>
      <c r="F145" s="23" t="inlineStr">
        <is>
          <t>Địa chỉ KHÔNG thuộc Next-day (Standard) thì KHÔNG hiển thị section 'Date, not slot'</t>
        </is>
      </c>
      <c r="G145" s="23" t="inlineStr">
        <is>
          <t>Địa chỉ test thuộc khu vực Standard (trong bán kính giao tiêu chuẩn, có khung giờ giao như bình thường), KHÔNG thuộc khu vực Next-day.</t>
        </is>
      </c>
      <c r="H145" s="23" t="inlineStr">
        <is>
          <t>1. Vào Cart, chọn dịch vụ giao hàng với địa chỉ Standard.
2. Quan sát giao diện chọn thời gian giao.
3. Kiểm tra section 'Date, not slot' (chỉ chọn ngày, không chọn khung giờ) có xuất hiện hay không.</t>
        </is>
      </c>
      <c r="I145" s="23" t="inlineStr">
        <is>
          <t>Địa chỉ test: thuộc khu vực Standard (ví dụ nội thành, không thuộc diện Next-day).</t>
        </is>
      </c>
      <c r="J145" s="23" t="inlineStr">
        <is>
          <t>Section 'Date, not slot' KHÔNG hiển thị; thay vào đó giao diện hiển thị đầy đủ lưới chọn NGÀY + khung giờ (slot) như flow giao hàng tiêu chuẩn thông thường.</t>
        </is>
      </c>
      <c r="K145" s="23" t="inlineStr">
        <is>
          <t>High</t>
        </is>
      </c>
      <c r="L145" s="24" t="n"/>
      <c r="M145" s="24" t="inlineStr">
        <is>
          <t>Not Run</t>
        </is>
      </c>
      <c r="N145" s="24" t="n"/>
      <c r="O145" s="24" t="n"/>
      <c r="P145" s="23" t="n"/>
      <c r="Q145" s="23" t="n"/>
      <c r="R145" s="23" t="n"/>
    </row>
    <row r="146" hidden="1" ht="69.75" customHeight="1" s="19">
      <c r="A146" s="23" t="inlineStr">
        <is>
          <t>SCR-CRT-03-SC2-TC1</t>
        </is>
      </c>
      <c r="B146" s="23" t="inlineStr">
        <is>
          <t>SCR-CRT-03-SC2</t>
        </is>
      </c>
      <c r="C146" s="23" t="inlineStr">
        <is>
          <t>SCR-CRT-03</t>
        </is>
      </c>
      <c r="D146" s="23" t="inlineStr">
        <is>
          <t>CT-08</t>
        </is>
      </c>
      <c r="E146" s="23" t="inlineStr">
        <is>
          <t>Boundary</t>
        </is>
      </c>
      <c r="F146" s="23" t="inlineStr">
        <is>
          <t>Tổng trọng lượng giỏ hàng &gt;15kg (không có SKU gắn nhãn bulky) đẩy ngày giao từ T+2 sang T+4 và cộng phụ phí</t>
        </is>
      </c>
      <c r="G146" s="23" t="inlineStr">
        <is>
          <t>Giỏ hàng có tổng trọng lượng &gt;15kg, KHÔNG có SKU nào gắn nhãn 'bulky' (trigger hoàn toàn do tổng khối lượng).</t>
        </is>
      </c>
      <c r="H146" s="23" t="inlineStr">
        <is>
          <t>1. Thêm SKU thường (không gắn nhãn bulky) vào giỏ sao cho tổng trọng lượng = 16kg.
2. Mở bước chọn ngày giao.
3. Quan sát các ngày bị disable (trước T+4).
4. Quan sát dòng phụ phí trong tóm tắt thanh toán.</t>
        </is>
      </c>
      <c r="I146" s="23" t="inlineStr">
        <is>
          <t>Nhiều SKU thường, tổng trọng lượng giỏ hàng = 16kg (không SKU nào gắn nhãn 'bulky').</t>
        </is>
      </c>
      <c r="J146" s="23" t="inlineStr">
        <is>
          <t>Các ngày trước T+4 đều disabled (ngày sớm nhất chọn được là T+4); dòng 'Phụ phí đơn hàng cồng kềnh' xuất hiện thêm vào phí dịch vụ, không bị miễn bởi freeship.</t>
        </is>
      </c>
      <c r="K146" s="23" t="inlineStr">
        <is>
          <t>High</t>
        </is>
      </c>
      <c r="L146" s="24" t="n"/>
      <c r="M146" s="24" t="inlineStr">
        <is>
          <t>Not Run</t>
        </is>
      </c>
      <c r="N146" s="24" t="n"/>
      <c r="O146" s="24" t="n"/>
      <c r="P146" s="23" t="n"/>
      <c r="Q146" s="23" t="n"/>
      <c r="R146" s="23" t="n"/>
    </row>
    <row r="147" hidden="1" ht="69.75" customHeight="1" s="19">
      <c r="A147" s="23" t="inlineStr">
        <is>
          <t>SCR-CRT-03-SC2-TC2</t>
        </is>
      </c>
      <c r="B147" s="23" t="inlineStr">
        <is>
          <t>SCR-CRT-03-SC2</t>
        </is>
      </c>
      <c r="C147" s="23" t="inlineStr">
        <is>
          <t>SCR-CRT-03</t>
        </is>
      </c>
      <c r="D147" s="23" t="inlineStr">
        <is>
          <t>CT-08</t>
        </is>
      </c>
      <c r="E147" s="23" t="inlineStr">
        <is>
          <t>Boundary</t>
        </is>
      </c>
      <c r="F147" s="23" t="inlineStr">
        <is>
          <t>SKU gắn nhãn 'bulky' (dù tổng trọng lượng &lt;15kg) đẩy ngày giao từ T+2 sang T+4 và cộng phụ phí</t>
        </is>
      </c>
      <c r="G147" s="23" t="inlineStr">
        <is>
          <t>Giỏ hàng có 1 SKU gắn nhãn 'bulky', tổng trọng lượng giỏ hàng &lt;15kg (trigger hoàn toàn do nhãn, không phải do khối lượng).</t>
        </is>
      </c>
      <c r="H147" s="23" t="inlineStr">
        <is>
          <t>1. Thêm 1 SKU gắn nhãn 'bulky' (trọng lượng nhẹ) vào giỏ, tổng trọng lượng giỏ = 5kg.
2. Mở bước chọn ngày giao.
3. Quan sát các ngày bị disable (trước T+4).
4. Quan sát ghi chú nêu rõ SKU nào gây bulky.
5. Quan sát dòng phụ phí trong tóm tắt thanh toán.</t>
        </is>
      </c>
      <c r="I147" s="23" t="inlineStr">
        <is>
          <t>SKU-Bulky: gắn nhãn 'bulky', tổng trọng lượng giỏ hàng = 5kg.</t>
        </is>
      </c>
      <c r="J147" s="23" t="inlineStr">
        <is>
          <t>Các ngày trước T+4 đều disabled dù tổng trọng lượng chỉ 5kg (dưới ngưỡng 15kg) - xác nhận nhãn 'bulky' tự nó đủ để trigger, không phụ thuộc khối lượng; màn hình nêu rõ tên SKU gây bulky; dòng 'Phụ phí đơn hàng cồng kềnh' xuất hiện thêm vào phí dịch vụ.</t>
        </is>
      </c>
      <c r="K147" s="23" t="inlineStr">
        <is>
          <t>High</t>
        </is>
      </c>
      <c r="L147" s="24" t="n"/>
      <c r="M147" s="24" t="inlineStr">
        <is>
          <t>Not Run</t>
        </is>
      </c>
      <c r="N147" s="24" t="n"/>
      <c r="O147" s="24" t="n"/>
      <c r="P147" s="23" t="n"/>
      <c r="Q147" s="23" t="n"/>
      <c r="R147" s="23" t="n"/>
    </row>
    <row r="148" hidden="1" ht="69.75" customHeight="1" s="19">
      <c r="A148" s="25" t="inlineStr">
        <is>
          <t>SCR-CRT-03-SC2-TC3</t>
        </is>
      </c>
      <c r="B148" s="25" t="inlineStr">
        <is>
          <t>SCR-CRT-03-SC2</t>
        </is>
      </c>
      <c r="C148" s="25" t="inlineStr">
        <is>
          <t>SCR-CRT-03</t>
        </is>
      </c>
      <c r="D148" s="25" t="inlineStr">
        <is>
          <t>CT-08</t>
        </is>
      </c>
      <c r="E148" s="25" t="inlineStr">
        <is>
          <t>Validation</t>
        </is>
      </c>
      <c r="F148" s="25" t="inlineStr">
        <is>
          <t>Trigger bulky do tổng khối lượng &gt;15kg (không SKU gắn nhãn) - kiểm tra hiển thị danh sách SKU đóng góp</t>
        </is>
      </c>
      <c r="G148" s="25" t="inlineStr">
        <is>
          <t>Giỏ hàng có tổng trọng lượng &gt;15kg do nhiều SKU thường cộng dồn, không SKU nào gắn nhãn 'bulky'.</t>
        </is>
      </c>
      <c r="H148" s="25" t="inlineStr">
        <is>
          <t>1. Thêm nhiều SKU thường vào giỏ sao cho tổng trọng lượng = 16kg (ví dụ 4 SKU x 4kg).
2. Mở bước chọn ngày giao, xem ghi chú giải thích lý do bị đẩy sang T+4.
3. Kiểm tra ghi chú có liệt kê ('contributing items') các SKU đóng góp vào tổng trọng lượng, hay chỉ hiện thông báo chung chung không nêu SKU cụ thể.</t>
        </is>
      </c>
      <c r="I148" s="25" t="inlineStr">
        <is>
          <t>4 SKU thường, mỗi SKU 4kg, tổng = 16kg.</t>
        </is>
      </c>
      <c r="J148" s="25" t="inlineStr">
        <is>
          <t>[CẦN XÁC NHẬN - xem QnA-94] Ghi chú cần nêu rõ các SKU đóng góp vào tổng trọng lượng vượt ngưỡng (tương tự cách SC2-TC2 nêu tên SKU gắn nhãn 'bulky'), để khách hiểu vì sao đơn bị đẩy ngày; không nên chỉ hiện thông báo chung chung không rõ nguyên nhân.</t>
        </is>
      </c>
      <c r="K148" s="25" t="inlineStr">
        <is>
          <t>Medium</t>
        </is>
      </c>
      <c r="L148" s="24" t="n"/>
      <c r="M148" s="24" t="inlineStr">
        <is>
          <t>Not Run</t>
        </is>
      </c>
      <c r="N148" s="24" t="n"/>
      <c r="O148" s="24" t="n"/>
      <c r="P148" s="25" t="inlineStr">
        <is>
          <t>QnA-94</t>
        </is>
      </c>
      <c r="Q148" s="25" t="n"/>
      <c r="R148" s="23" t="n"/>
    </row>
    <row r="149" hidden="1" ht="69.75" customHeight="1" s="19">
      <c r="A149" s="23" t="inlineStr">
        <is>
          <t>SCR-CRT-03-SC3-TC1</t>
        </is>
      </c>
      <c r="B149" s="23" t="inlineStr">
        <is>
          <t>SCR-CRT-03-SC3</t>
        </is>
      </c>
      <c r="C149" s="23" t="inlineStr">
        <is>
          <t>SCR-CRT-03</t>
        </is>
      </c>
      <c r="D149" s="23" t="inlineStr">
        <is>
          <t>CT-08</t>
        </is>
      </c>
      <c r="E149" s="23" t="inlineStr">
        <is>
          <t>Edge</t>
        </is>
      </c>
      <c r="F149" s="23" t="inlineStr">
        <is>
          <t>Xoá SKU bulky duy nhất đưa đơn trở lại T+2 ngay lập tức</t>
        </is>
      </c>
      <c r="G149" s="23" t="inlineStr">
        <is>
          <t>Đơn đang ở trạng thái bulky (T+4) chỉ vì 1 SKU gắn nhãn bulky, các SKU khác bình thường.</t>
        </is>
      </c>
      <c r="H149" s="23" t="inlineStr">
        <is>
          <t>1. Xác nhận đơn đang T+4 do SKU-Bulky.
2. Xoá SKU-Bulky khỏi giỏ hàng.
3. Mở lại bước chọn ngày giao, quan sát ngày sớm nhất khả dụng.</t>
        </is>
      </c>
      <c r="I149" s="23" t="inlineStr">
        <is>
          <t>SKU-Bulky là SKU duy nhất gây bulky trong giỏ.</t>
        </is>
      </c>
      <c r="J149" s="23" t="inlineStr">
        <is>
          <t>Sau khi xoá SKU-Bulky, ngày sớm nhất có thể chọn quay lại T+2 (đánh giá lại tức thì, không cần thao tác thêm).</t>
        </is>
      </c>
      <c r="K149" s="23" t="inlineStr">
        <is>
          <t>Medium</t>
        </is>
      </c>
      <c r="L149" s="24" t="n"/>
      <c r="M149" s="24" t="inlineStr">
        <is>
          <t>Not Run</t>
        </is>
      </c>
      <c r="N149" s="24" t="n"/>
      <c r="O149" s="24" t="n"/>
      <c r="P149" s="23" t="n"/>
      <c r="Q149" s="23" t="n"/>
      <c r="R149" s="23" t="n"/>
    </row>
    <row r="150" hidden="1" ht="69.75" customHeight="1" s="19">
      <c r="A150" s="23" t="inlineStr">
        <is>
          <t>SCR-CRT-03-SC3-TC2</t>
        </is>
      </c>
      <c r="B150" s="23" t="inlineStr">
        <is>
          <t>SCR-CRT-03-SC3</t>
        </is>
      </c>
      <c r="C150" s="23" t="inlineStr">
        <is>
          <t>SCR-CRT-03</t>
        </is>
      </c>
      <c r="D150" s="23" t="inlineStr">
        <is>
          <t>CT-08</t>
        </is>
      </c>
      <c r="E150" s="23" t="inlineStr">
        <is>
          <t>Edge</t>
        </is>
      </c>
      <c r="F150" s="23" t="inlineStr">
        <is>
          <t>Xoá SKU bulky duy nhất - phụ phí cồng kềnh cũng được gỡ bỏ/tính lại (không chỉ ngày giao)</t>
        </is>
      </c>
      <c r="G150" s="23" t="inlineStr">
        <is>
          <t>Đơn đang ở trạng thái bulky (T+4) chỉ vì 1 SKU gắn nhãn bulky (không do khối lượng), phụ phí cồng kềnh đang hiển thị trong tóm tắt thanh toán.</t>
        </is>
      </c>
      <c r="H150" s="23" t="inlineStr">
        <is>
          <t>1. Xác nhận đơn đang T+4 do SKU-Bulky và có dòng 'Phụ phí đơn hàng cồng kềnh' trong tóm tắt thanh toán.
2. Xoá SKU-Bulky khỏi giỏ hàng.
3. Quan sát lại tóm tắt thanh toán, kiểm tra dòng phụ phí cồng kềnh.
4. Kiểm tra lại tổng tiền thanh toán.</t>
        </is>
      </c>
      <c r="I150" s="23" t="inlineStr">
        <is>
          <t>SKU-Bulky là SKU duy nhất gây bulky trong giỏ, các SKU còn lại không kích hoạt bulky.</t>
        </is>
      </c>
      <c r="J150" s="23" t="inlineStr">
        <is>
          <t>Sau khi xoá SKU-Bulky, dòng 'Phụ phí đơn hàng cồng kềnh' biến mất khỏi tóm tắt thanh toán (được tính toán lại, không còn áp dụng); tổng tiền thanh toán giảm tương ứng đúng bằng giá trị phụ phí đã gỡ; ngày giao sớm nhất cũng quay lại T+2 đồng thời (đồng bộ với SCR-CRT-03-SC3-TC1).</t>
        </is>
      </c>
      <c r="K150" s="23" t="inlineStr">
        <is>
          <t>High</t>
        </is>
      </c>
      <c r="L150" s="24" t="n"/>
      <c r="M150" s="24" t="inlineStr">
        <is>
          <t>Not Run</t>
        </is>
      </c>
      <c r="N150" s="24" t="n"/>
      <c r="O150" s="24" t="n"/>
      <c r="P150" s="23" t="n"/>
      <c r="Q150" s="23" t="n"/>
      <c r="R150" s="23" t="n"/>
    </row>
    <row r="151" hidden="1" ht="69.75" customHeight="1" s="19">
      <c r="A151" s="23" t="inlineStr">
        <is>
          <t>SCR-CRT-04-SC1-TC1</t>
        </is>
      </c>
      <c r="B151" s="23" t="inlineStr">
        <is>
          <t>SCR-CRT-04-SC1</t>
        </is>
      </c>
      <c r="C151" s="23" t="inlineStr">
        <is>
          <t>SCR-CRT-04</t>
        </is>
      </c>
      <c r="D151" s="23" t="inlineStr">
        <is>
          <t>CT-02, CT-09</t>
        </is>
      </c>
      <c r="E151" s="23" t="inlineStr">
        <is>
          <t>Functional</t>
        </is>
      </c>
      <c r="F151" s="23" t="inlineStr">
        <is>
          <t>Thông tin người nhận Pickup độc lập với hồ sơ tài khoản đang đăng nhập</t>
        </is>
      </c>
      <c r="G151" s="23" t="inlineStr">
        <is>
          <t>Tài khoản đang đăng nhập: Nguyễn Văn A / 0911111111. Chọn tab Pickup.</t>
        </is>
      </c>
      <c r="H151" s="23" t="inlineStr">
        <is>
          <t>1. Vào tab 'Tự đến lấy'.
2. Nhập tên người nhận 'Trần Thị B', SĐT '0922222222' (khác tài khoản).
3. Tiếp tục sang bước chọn store/slot Pickup.
4. Kiểm tra thông tin người nhận được lưu đúng như đã nhập (không bị ghi đè bởi hồ sơ tài khoản).</t>
        </is>
      </c>
      <c r="I151" s="23" t="inlineStr">
        <is>
          <t>Tài khoản: Nguyễn Văn A/0911111111. Người nhận nhập: Trần Thị B/0922222222.</t>
        </is>
      </c>
      <c r="J151" s="23" t="inlineStr">
        <is>
          <t>Hệ thống chấp nhận tên/SĐT người nhận khác hoàn toàn chủ tài khoản, không báo lỗi, không tự động ghi đè bằng thông tin profile.</t>
        </is>
      </c>
      <c r="K151" s="23" t="inlineStr">
        <is>
          <t>Medium</t>
        </is>
      </c>
      <c r="L151" s="24" t="n"/>
      <c r="M151" s="24" t="inlineStr">
        <is>
          <t>Not Run</t>
        </is>
      </c>
      <c r="N151" s="24" t="n"/>
      <c r="O151" s="24" t="n"/>
      <c r="P151" s="23" t="n"/>
      <c r="Q151" s="23" t="n"/>
      <c r="R151" s="23" t="n"/>
    </row>
    <row r="152" hidden="1" ht="105" customHeight="1" s="19">
      <c r="A152" s="23" t="inlineStr">
        <is>
          <t>SCR-CRT-04-SC1-TC2</t>
        </is>
      </c>
      <c r="B152" s="23" t="inlineStr">
        <is>
          <t>SCR-CRT-04-SC1</t>
        </is>
      </c>
      <c r="C152" s="23" t="inlineStr">
        <is>
          <t>SCR-CRT-04</t>
        </is>
      </c>
      <c r="D152" s="23" t="inlineStr">
        <is>
          <t>CT-02, CT-09</t>
        </is>
      </c>
      <c r="E152" s="23" t="inlineStr">
        <is>
          <t>Validation</t>
        </is>
      </c>
      <c r="F152" s="23" t="inlineStr">
        <is>
          <t>Bỏ trống Tên/SĐT người nhận ở tab Pickup bị chặn tiếp tục</t>
        </is>
      </c>
      <c r="G152" s="23" t="inlineStr">
        <is>
          <t>Đang ở tab Pickup trong Cart, chuẩn bị nhập thông tin người nhận.</t>
        </is>
      </c>
      <c r="H152" s="23" t="inlineStr">
        <is>
          <t>1. Để trống trường Tên người nhận, điền SĐT hợp lệ.
2. Thử bấm Tiếp tục / chuyển sang bước chọn store-slot Pickup.
3. Điền lại Tên người nhận, để trống SĐT, lặp lại bước 2.
4. Điền đủ cả 2 trường, bấm Tiếp tục.</t>
        </is>
      </c>
      <c r="I152" s="23" t="inlineStr">
        <is>
          <t>Tên người nhận và SĐT người nhận, thử để trống lần lượt từng trường.</t>
        </is>
      </c>
      <c r="J152" s="23" t="inlineStr">
        <is>
          <t>Bước 2 và 3: hệ thống CHẶN tiếp tục (nút disabled hoặc báo lỗi bắt buộc) khi thiếu 1 trong 2 trường - nhất quán với validation bắt buộc của Member tại SCR-HOM-02-SC2. Bước 4: đủ cả 2 trường thì tiếp tục được bình thường.</t>
        </is>
      </c>
      <c r="K152" s="23" t="inlineStr">
        <is>
          <t>Medium</t>
        </is>
      </c>
      <c r="L152" s="24" t="n"/>
      <c r="M152" s="24" t="inlineStr">
        <is>
          <t>Not Run</t>
        </is>
      </c>
      <c r="N152" s="24" t="n"/>
      <c r="O152" s="24" t="n"/>
      <c r="P152" s="23" t="n"/>
      <c r="Q152" s="23" t="inlineStr">
        <is>
          <t>Bổ sung theo yêu cầu review 27/08/2026 - SCR-CRT-04-SC1 trước đó chỉ test trường hợp điền ĐẦY ĐỦ thông tin khác chủ tài khoản, chưa test validation khi bỏ trống.</t>
        </is>
      </c>
      <c r="R152" s="23" t="n"/>
    </row>
    <row r="153" hidden="1" ht="69.75" customHeight="1" s="19">
      <c r="A153" s="25" t="inlineStr">
        <is>
          <t>SCR-CRT-04-SC1-TC3</t>
        </is>
      </c>
      <c r="B153" s="25" t="inlineStr">
        <is>
          <t>SCR-CRT-04-SC1</t>
        </is>
      </c>
      <c r="C153" s="25" t="inlineStr">
        <is>
          <t>SCR-CRT-04</t>
        </is>
      </c>
      <c r="D153" s="25" t="inlineStr">
        <is>
          <t>CT-02, CT-09</t>
        </is>
      </c>
      <c r="E153" s="25" t="inlineStr">
        <is>
          <t>Functional</t>
        </is>
      </c>
      <c r="F153" s="25" t="inlineStr">
        <is>
          <t>Giá trị mặc định của trường Tên/SĐT người nhận Pickup khi chưa chỉnh sửa gì</t>
        </is>
      </c>
      <c r="G153" s="25" t="inlineStr">
        <is>
          <t>Tài khoản đang đăng nhập: Nguyễn Văn A / 0911111111. Chưa từng đặt Pickup trước đó (chưa có giá trị đã lưu từ lần trước).</t>
        </is>
      </c>
      <c r="H153" s="25" t="inlineStr">
        <is>
          <t>1. Đăng nhập tài khoản A, vào tab 'Tự đến lấy' LẦN ĐẦU.
2. Quan sát trường Tên và SĐT người nhận NGAY KHI MỞ (chưa gõ gì).
3. Ghi nhận giá trị hiển thị (trống hoàn toàn / có placeholder mờ / đã điền sẵn giá trị nào).</t>
        </is>
      </c>
      <c r="I153" s="25" t="inlineStr">
        <is>
          <t>Tài khoản: Nguyễn Văn A / 0911111111, chưa có lịch sử Pickup.</t>
        </is>
      </c>
      <c r="J153" s="25" t="inlineStr">
        <is>
          <t>[CẦN XÁC NHẬN - xem QnA-95] Ghi nhận rõ giá trị mặc định thực tế: hoặc (a) trường để TRỐNG bắt khách tự nhập, hoặc (b) được PRE-FILL sẵn bằng tên/SĐT tài khoản đang đăng nhập (Nguyễn Văn A/0911111111) - SC1-TC1 chỉ xác nhận trường ĐỘC LẬP với tài khoản khi khách tự nhập khác, chưa xác nhận giá trị ban đầu.</t>
        </is>
      </c>
      <c r="K153" s="25" t="inlineStr">
        <is>
          <t>Medium</t>
        </is>
      </c>
      <c r="L153" s="24" t="n"/>
      <c r="M153" s="24" t="inlineStr">
        <is>
          <t>Not Run</t>
        </is>
      </c>
      <c r="N153" s="24" t="n"/>
      <c r="O153" s="24" t="n"/>
      <c r="P153" s="25" t="inlineStr">
        <is>
          <t>QnA-95</t>
        </is>
      </c>
      <c r="Q153" s="25" t="n"/>
      <c r="R153" s="23" t="n"/>
    </row>
    <row r="154" hidden="1" ht="69.75" customHeight="1" s="19">
      <c r="A154" s="23" t="inlineStr">
        <is>
          <t>SCR-CRT-04-SC2-TC1</t>
        </is>
      </c>
      <c r="B154" s="23" t="inlineStr">
        <is>
          <t>SCR-CRT-04-SC2</t>
        </is>
      </c>
      <c r="C154" s="23" t="inlineStr">
        <is>
          <t>SCR-CRT-04</t>
        </is>
      </c>
      <c r="D154" s="23" t="inlineStr">
        <is>
          <t>CT-09</t>
        </is>
      </c>
      <c r="E154" s="23" t="inlineStr">
        <is>
          <t>Functional</t>
        </is>
      </c>
      <c r="F154" s="23" t="inlineStr">
        <is>
          <t>Tuỳ chọn thanh toán tiền mặt khi Pickup HIỂN THỊ với tài khoản hạng Platinum</t>
        </is>
      </c>
      <c r="G154" s="23" t="inlineStr">
        <is>
          <t>Tài khoản test: hạng Platinum.</t>
        </is>
      </c>
      <c r="H154" s="23" t="inlineStr">
        <is>
          <t>1. Đăng nhập tài khoản Platinum, vào Cart tab Pickup.
2. Xem danh sách phương thức thanh toán tại cửa hàng.</t>
        </is>
      </c>
      <c r="I154" s="23" t="inlineStr">
        <is>
          <t>Tài khoản: tier Platinum.</t>
        </is>
      </c>
      <c r="J154" s="23" t="inlineStr">
        <is>
          <t>Tuỳ chọn 'Thanh toán tiền mặt' hiển thị trong danh sách và chọn được (theo BRL-29).</t>
        </is>
      </c>
      <c r="K154" s="23" t="inlineStr">
        <is>
          <t>High</t>
        </is>
      </c>
      <c r="L154" s="24" t="n"/>
      <c r="M154" s="24" t="inlineStr">
        <is>
          <t>Not Run</t>
        </is>
      </c>
      <c r="N154" s="24" t="n"/>
      <c r="O154" s="24" t="n"/>
      <c r="P154" s="23" t="n"/>
      <c r="Q154" s="23" t="n"/>
      <c r="R154" s="23" t="n"/>
    </row>
    <row r="155" hidden="1" ht="69.75" customHeight="1" s="19">
      <c r="A155" s="23" t="inlineStr">
        <is>
          <t>SCR-CRT-04-SC2-TC2</t>
        </is>
      </c>
      <c r="B155" s="23" t="inlineStr">
        <is>
          <t>SCR-CRT-04-SC2</t>
        </is>
      </c>
      <c r="C155" s="23" t="inlineStr">
        <is>
          <t>SCR-CRT-04</t>
        </is>
      </c>
      <c r="D155" s="23" t="inlineStr">
        <is>
          <t>CT-09</t>
        </is>
      </c>
      <c r="E155" s="23" t="inlineStr">
        <is>
          <t>Functional</t>
        </is>
      </c>
      <c r="F155" s="23" t="inlineStr">
        <is>
          <t>Tuỳ chọn thanh toán tiền mặt khi Pickup HIỂN THỊ với tài khoản hạng Diamond</t>
        </is>
      </c>
      <c r="G155" s="23" t="inlineStr">
        <is>
          <t>Tài khoản test: hạng Diamond.</t>
        </is>
      </c>
      <c r="H155" s="23" t="inlineStr">
        <is>
          <t>1. Đăng nhập tài khoản Diamond, vào Cart tab Pickup.
2. Xem danh sách phương thức thanh toán tại cửa hàng.</t>
        </is>
      </c>
      <c r="I155" s="23" t="inlineStr">
        <is>
          <t>Tài khoản: tier Diamond.</t>
        </is>
      </c>
      <c r="J155" s="23" t="inlineStr">
        <is>
          <t>Tuỳ chọn 'Thanh toán tiền mặt' hiển thị trong danh sách và chọn được, giống hệt tài khoản Platinum (BRL-29 áp dụng cho cả Platinum lẫn Diamond).</t>
        </is>
      </c>
      <c r="K155" s="23" t="inlineStr">
        <is>
          <t>High</t>
        </is>
      </c>
      <c r="L155" s="24" t="n"/>
      <c r="M155" s="24" t="inlineStr">
        <is>
          <t>Not Run</t>
        </is>
      </c>
      <c r="N155" s="24" t="n"/>
      <c r="O155" s="24" t="n"/>
      <c r="P155" s="23" t="n"/>
      <c r="Q155" s="23" t="n"/>
      <c r="R155" s="23" t="n"/>
    </row>
    <row r="156" hidden="1" ht="69.75" customHeight="1" s="19">
      <c r="A156" s="23" t="inlineStr">
        <is>
          <t>SCR-CRT-04-SC2-TC3</t>
        </is>
      </c>
      <c r="B156" s="23" t="inlineStr">
        <is>
          <t>SCR-CRT-04-SC2</t>
        </is>
      </c>
      <c r="C156" s="23" t="inlineStr">
        <is>
          <t>SCR-CRT-04</t>
        </is>
      </c>
      <c r="D156" s="23" t="inlineStr">
        <is>
          <t>CT-09</t>
        </is>
      </c>
      <c r="E156" s="23" t="inlineStr">
        <is>
          <t>Functional</t>
        </is>
      </c>
      <c r="F156" s="23" t="inlineStr">
        <is>
          <t>Tuỳ chọn thanh toán tiền mặt khi Pickup KHÔNG hiển thị với tài khoản hạng thường</t>
        </is>
      </c>
      <c r="G156" s="23" t="inlineStr">
        <is>
          <t>Tài khoản test: không có tier/hạng thường (không Platinum, không Diamond).</t>
        </is>
      </c>
      <c r="H156" s="23" t="inlineStr">
        <is>
          <t>1. Đăng nhập tài khoản hạng thường, vào Cart tab Pickup.
2. Xem danh sách phương thức thanh toán tại cửa hàng.</t>
        </is>
      </c>
      <c r="I156" s="23" t="inlineStr">
        <is>
          <t>Tài khoản: không có tier đặc biệt.</t>
        </is>
      </c>
      <c r="J156" s="23" t="inlineStr">
        <is>
          <t>Tuỳ chọn 'Thanh toán tiền mặt' KHÔNG xuất hiện trong danh sách (ẩn hoàn toàn, không phải bị mờ/disabled).</t>
        </is>
      </c>
      <c r="K156" s="23" t="inlineStr">
        <is>
          <t>High</t>
        </is>
      </c>
      <c r="L156" s="24" t="n"/>
      <c r="M156" s="24" t="inlineStr">
        <is>
          <t>Not Run</t>
        </is>
      </c>
      <c r="N156" s="24" t="n"/>
      <c r="O156" s="24" t="n"/>
      <c r="P156" s="23" t="n"/>
      <c r="Q156" s="23" t="n"/>
      <c r="R156" s="23" t="n"/>
    </row>
    <row r="157" hidden="1" ht="69.75" customHeight="1" s="19">
      <c r="A157" s="25" t="inlineStr">
        <is>
          <t>SCR-CRT-04-SC3-TC1</t>
        </is>
      </c>
      <c r="B157" s="25" t="inlineStr">
        <is>
          <t>SCR-CRT-04-SC3</t>
        </is>
      </c>
      <c r="C157" s="25" t="inlineStr">
        <is>
          <t>SCR-CRT-04</t>
        </is>
      </c>
      <c r="D157" s="25" t="inlineStr">
        <is>
          <t>CT-10</t>
        </is>
      </c>
      <c r="E157" s="25" t="inlineStr">
        <is>
          <t>Functional</t>
        </is>
      </c>
      <c r="F157" s="25" t="inlineStr">
        <is>
          <t>Phân biệt đúng thông tin hiển thị giữa locker gần nhà (Delivery) và locker tại store (Pickup)</t>
        </is>
      </c>
      <c r="G157" s="25" t="inlineStr">
        <is>
          <t>Đang ở Cart, giỏ hàng đủ điều kiện cả 2 nhánh Delivery và Pickup.</t>
        </is>
      </c>
      <c r="H157" s="25" t="inlineStr">
        <is>
          <t>1. Ở tab Delivery, chọn tuỳ chọn locker gần nhà. Ghi nhận các thông tin hiển thị.
2. Chuyển sang tab Pickup, chọn tuỳ chọn locker tại store. Ghi nhận các thông tin hiển thị.
3. So sánh 2 bộ thông tin.</t>
        </is>
      </c>
      <c r="I157" s="25" t="inlineStr">
        <is>
          <t>N/A (kiểm tra nội dung hiển thị, chưa có dữ liệu vận hành locker chính thức).</t>
        </is>
      </c>
      <c r="J157" s="25" t="inlineStr">
        <is>
          <t>Locker gần nhà (bước 1) hiện: thời gian dự kiến nhận, tên/địa chỉ locker gần địa chỉ khách. Locker tại store (bước 2) hiện: thời gian dự kiến, vị trí locker trong store. 2 bộ thông tin không thể lẫn/giống hệt nhau.</t>
        </is>
      </c>
      <c r="K157" s="25" t="inlineStr">
        <is>
          <t>Low</t>
        </is>
      </c>
      <c r="L157" s="24" t="n"/>
      <c r="M157" s="24" t="inlineStr">
        <is>
          <t>Not Run</t>
        </is>
      </c>
      <c r="N157" s="24" t="n"/>
      <c r="O157" s="24" t="n"/>
      <c r="P157" s="25" t="inlineStr">
        <is>
          <t>QnA-23, QnA-31</t>
        </is>
      </c>
      <c r="Q157" s="25" t="inlineStr">
        <is>
          <t>Quy tắc vận hành đầy đủ (giá, thời gian giữ, no-show) còn chờ OQ-23/QnA-23; cần xác nhận thêm QnA-31 trước khi coi đây là test case chính thức cho release đầu tiên.</t>
        </is>
      </c>
      <c r="R157" s="23" t="n"/>
    </row>
    <row r="158" hidden="1" ht="69.75" customHeight="1" s="19">
      <c r="A158" s="23" t="inlineStr">
        <is>
          <t>SCR-CRT-04-SC4-TC1</t>
        </is>
      </c>
      <c r="B158" s="23" t="inlineStr">
        <is>
          <t>SCR-CRT-04-SC4</t>
        </is>
      </c>
      <c r="C158" s="23" t="inlineStr">
        <is>
          <t>SCR-CRT-04</t>
        </is>
      </c>
      <c r="D158" s="23" t="inlineStr">
        <is>
          <t>CT-09</t>
        </is>
      </c>
      <c r="E158" s="23" t="inlineStr">
        <is>
          <t>Boundary</t>
        </is>
      </c>
      <c r="F158" s="23" t="inlineStr">
        <is>
          <t>3 trạng thái slot Pickup (Open/Closing soon/Closed) hiển thị đúng theo capacity (BRL-28)</t>
        </is>
      </c>
      <c r="G158" s="23" t="inlineStr">
        <is>
          <t>Đang ở tab Pickup trong Cart, mở màn chọn slot.</t>
        </is>
      </c>
      <c r="H158" s="23" t="inlineStr">
        <is>
          <t>1. Quan sát Slot A (còn nhiều chỗ) - xác nhận trạng thái Open, chọn được.
2. Quan sát Slot B (còn lại = ngưỡng cảnh báo) - xác nhận trạng thái Closing soon kèm cảnh báo, VẪN chọn được.
3. Quan sát Slot C (hết chỗ) - xác nhận trạng thái Closed, KHÔNG chọn được (disabled).
4. Thử chạm vào Slot C, xác nhận không có phản ứng chọn nào xảy ra.</t>
        </is>
      </c>
      <c r="I158" s="23" t="inlineStr">
        <is>
          <t>Slot A: còn 5/5 chỗ. Slot B: còn 1/5 chỗ (bằng ngưỡng cảnh báo). Slot C: còn 0/5 chỗ.</t>
        </is>
      </c>
      <c r="J158" s="23" t="inlineStr">
        <is>
          <t>3 trạng thái Open/Closing soon/Closed hiển thị đúng theo đúng slot, loại trừ lẫn nhau; Slot C không chọn được; ngưỡng cảnh báo của Closing soon khớp với ngưỡng đã cấu hình (tương tự BRL-20 bên Delivery).</t>
        </is>
      </c>
      <c r="K158" s="23" t="inlineStr">
        <is>
          <t>High</t>
        </is>
      </c>
      <c r="L158" s="24" t="n"/>
      <c r="M158" s="24" t="inlineStr">
        <is>
          <t>Not Run</t>
        </is>
      </c>
      <c r="N158" s="24" t="n"/>
      <c r="O158" s="24" t="n"/>
      <c r="P158" s="23" t="n"/>
      <c r="Q158" s="23" t="inlineStr">
        <is>
          <t>Bổ sung theo Review 26/08/2026 - đóng gap 'thiếu test trạng thái slot Pickup theo BRL-28' trong Review - Gaps &amp; Issues.</t>
        </is>
      </c>
      <c r="R158" s="23" t="n"/>
    </row>
    <row r="159" hidden="1" ht="69.75" customHeight="1" s="19">
      <c r="A159" s="23" t="inlineStr">
        <is>
          <t>SCR-CRT-05-SC1-TC1</t>
        </is>
      </c>
      <c r="B159" s="23" t="inlineStr">
        <is>
          <t>SCR-CRT-05-SC1</t>
        </is>
      </c>
      <c r="C159" s="23" t="inlineStr">
        <is>
          <t>SCR-CRT-05</t>
        </is>
      </c>
      <c r="D159" s="23" t="inlineStr">
        <is>
          <t>CT-05</t>
        </is>
      </c>
      <c r="E159" s="23" t="inlineStr">
        <is>
          <t>Functional</t>
        </is>
      </c>
      <c r="F159" s="23" t="inlineStr">
        <is>
          <t>Vuốt trái xoá sản phẩm phải qua dialog xác nhận, chỉ Confirm mới xoá thật</t>
        </is>
      </c>
      <c r="G159" s="23" t="inlineStr">
        <is>
          <t>Giỏ hàng có sản phẩm SKU-A.</t>
        </is>
      </c>
      <c r="H159" s="23" t="inlineStr">
        <is>
          <t>1. Vuốt trái dòng SKU-A, bấm nút Xoá xuất hiện.
2. Quan sát dialog xác nhận hiện ra.
3. Bấm 'Không'/No, kiểm tra SKU-A còn nguyên trong giỏ.
4. Lặp lại bước 1-2, lần này bấm 'Đồng ý'/Confirm.
5. Kiểm tra SKU-A đã bị xoá.</t>
        </is>
      </c>
      <c r="I159" s="23" t="inlineStr">
        <is>
          <t>SKU-A: bất kỳ sản phẩm trong giỏ.</t>
        </is>
      </c>
      <c r="J159" s="23" t="inlineStr">
        <is>
          <t>Bước 2: dialog đúng nội dung 'Bạn chắc chắn muốn xoá sản phẩm này?' với 2 nút No/Confirm. Bước 3: bấm No thì SKU-A KHÔNG bị xoá. Bước 5: bấm Confirm thì SKU-A bị xoá khỏi giỏ.</t>
        </is>
      </c>
      <c r="K159" s="23" t="inlineStr">
        <is>
          <t>High</t>
        </is>
      </c>
      <c r="L159" s="24" t="n"/>
      <c r="M159" s="24" t="inlineStr">
        <is>
          <t>Not Run</t>
        </is>
      </c>
      <c r="N159" s="24" t="n"/>
      <c r="O159" s="24" t="n"/>
      <c r="P159" s="23" t="n"/>
      <c r="Q159" s="23" t="n"/>
      <c r="R159" s="23" t="n"/>
    </row>
    <row r="160" hidden="1" ht="69.75" customHeight="1" s="19">
      <c r="A160" s="23" t="inlineStr">
        <is>
          <t>SCR-CRT-05-SC2-TC1</t>
        </is>
      </c>
      <c r="B160" s="23" t="inlineStr">
        <is>
          <t>SCR-CRT-05-SC2</t>
        </is>
      </c>
      <c r="C160" s="23" t="inlineStr">
        <is>
          <t>SCR-CRT-05</t>
        </is>
      </c>
      <c r="D160" s="23" t="inlineStr">
        <is>
          <t>CT-05</t>
        </is>
      </c>
      <c r="E160" s="23" t="inlineStr">
        <is>
          <t>Functional</t>
        </is>
      </c>
      <c r="F160" s="23" t="inlineStr">
        <is>
          <t>Giảm số lượng về 0 kích hoạt dialog xác nhận giống swipe; No thì khôi phục về 1</t>
        </is>
      </c>
      <c r="G160" s="23" t="inlineStr">
        <is>
          <t>SKU-B trong giỏ đang có số lượng = 1.</t>
        </is>
      </c>
      <c r="H160" s="23" t="inlineStr">
        <is>
          <t>1. Bấm nút giảm số lượng của SKU-B từ 1 xuống 0.
2. Quan sát dialog xác nhận xuất hiện (giống hệt nội dung ở SC1).
3. Bấm 'Không'/No.
4. Kiểm tra số lượng SKU-B.</t>
        </is>
      </c>
      <c r="I160" s="23" t="inlineStr">
        <is>
          <t>SKU-B: số lượng ban đầu = 1.</t>
        </is>
      </c>
      <c r="J160" s="23" t="inlineStr">
        <is>
          <t>Bước 2: dialog giống hệt trường hợp vuốt trái (cùng wording, cùng No/Confirm). Bước 4: sau khi bấm No, số lượng SKU-B được KHÔI PHỤC về 1 (không giữ ở 0 và cũng không bị xoá dòng).</t>
        </is>
      </c>
      <c r="K160" s="23" t="inlineStr">
        <is>
          <t>High</t>
        </is>
      </c>
      <c r="L160" s="24" t="n"/>
      <c r="M160" s="24" t="inlineStr">
        <is>
          <t>Not Run</t>
        </is>
      </c>
      <c r="N160" s="24" t="n"/>
      <c r="O160" s="24" t="n"/>
      <c r="P160" s="23" t="n"/>
      <c r="Q160" s="23" t="n"/>
      <c r="R160" s="23" t="n"/>
    </row>
    <row r="161" hidden="1" ht="69.75" customHeight="1" s="19">
      <c r="A161" s="23" t="inlineStr">
        <is>
          <t>SCR-CRT-05-SC3-TC1</t>
        </is>
      </c>
      <c r="B161" s="23" t="inlineStr">
        <is>
          <t>SCR-CRT-05-SC3</t>
        </is>
      </c>
      <c r="C161" s="23" t="inlineStr">
        <is>
          <t>SCR-CRT-05</t>
        </is>
      </c>
      <c r="D161" s="23" t="inlineStr">
        <is>
          <t>CT-05</t>
        </is>
      </c>
      <c r="E161" s="23" t="inlineStr">
        <is>
          <t>Boundary</t>
        </is>
      </c>
      <c r="F161" s="23" t="inlineStr">
        <is>
          <t>Chọn 31 sản phẩm (vượt giới hạn 30) bị chặn Proceed to Checkout kèm thông báo lỗi</t>
        </is>
      </c>
      <c r="G161" s="23" t="inlineStr">
        <is>
          <t>Giỏ hàng có sẵn 35 sản phẩm có thể chọn (dùng dữ liệu test 35 SKU).</t>
        </is>
      </c>
      <c r="H161" s="23" t="inlineStr">
        <is>
          <t>1. Bấm 'Chọn tất cả (35 mặt hàng)'.
2. Quan sát thông báo lỗi và bộ đếm số lượng/giới hạn.
3. Thử bấm 'Thanh toán'.
4. Bỏ chọn bớt cho đến khi còn đúng 30 sản phẩm.
5. Bấm lại 'Thanh toán'.</t>
        </is>
      </c>
      <c r="I161" s="23" t="inlineStr">
        <is>
          <t>35 SKU test có sẵn trong giỏ hàng.</t>
        </is>
      </c>
      <c r="J161" s="23" t="inlineStr">
        <is>
          <t>Bước 2: hiện lỗi 'Giỏ hàng đã vượt quá giới hạn tối đa 30 sản phẩm cho 1 đơn hàng.'; bộ đếm hiện '35/30' (hoặc tương đương). Bước 3: nút Thanh toán không thực thi được (disabled/chặn). Bước 5: sau khi còn &lt;=30, Thanh toán thực hiện được bình thường.</t>
        </is>
      </c>
      <c r="K161" s="23" t="inlineStr">
        <is>
          <t>High</t>
        </is>
      </c>
      <c r="L161" s="24" t="n"/>
      <c r="M161" s="24" t="inlineStr">
        <is>
          <t>Not Run</t>
        </is>
      </c>
      <c r="N161" s="24" t="n"/>
      <c r="O161" s="24" t="n"/>
      <c r="P161" s="23" t="n"/>
      <c r="Q161" s="23" t="n"/>
      <c r="R161" s="23" t="inlineStr">
        <is>
          <t>[Review trước đó — ĐÃ ĐƯỢC XỬ LÝ] Gap 'thiếu test đúng 30 sản phẩm' đã được bổ sung bằng test case mới SCR-CRT-05-SC3-TC2 (thêm theo Review 25/08/2026). Không cần sửa gì thêm ở TC1 này.</t>
        </is>
      </c>
    </row>
    <row r="162" hidden="1" ht="90" customHeight="1" s="19">
      <c r="A162" s="23" t="inlineStr">
        <is>
          <t>SCR-CRT-05-SC3-TC2</t>
        </is>
      </c>
      <c r="B162" s="23" t="inlineStr">
        <is>
          <t>SCR-CRT-05-SC3</t>
        </is>
      </c>
      <c r="C162" s="23" t="inlineStr">
        <is>
          <t>SCR-CRT-05</t>
        </is>
      </c>
      <c r="D162" s="23" t="inlineStr">
        <is>
          <t>CT-05, BRL-31</t>
        </is>
      </c>
      <c r="E162" s="23" t="inlineStr">
        <is>
          <t>Boundary</t>
        </is>
      </c>
      <c r="F162" s="23" t="inlineStr">
        <is>
          <t>Giỏ hàng đúng 30 sản phẩm (không hơn không kém) vẫn thanh toán được bình thường</t>
        </is>
      </c>
      <c r="G162" s="23" t="inlineStr">
        <is>
          <t>Giỏ hàng đang có đúng 30 sản phẩm hợp lệ.</t>
        </is>
      </c>
      <c r="H162" s="23" t="inlineStr">
        <is>
          <t>1. Mở Giỏ hàng đang có đúng 30 sản phẩm.
2. Quan sát bộ đếm số lượng/giới hạn.
3. Bấm 'Thanh toán'.</t>
        </is>
      </c>
      <c r="I162" s="23" t="inlineStr">
        <is>
          <t>Giỏ hàng: đúng 30 SKU (không hơn, không kém).</t>
        </is>
      </c>
      <c r="J162" s="23" t="inlineStr">
        <is>
          <t>Bước 2: bộ đếm hiển thị '30/30' (hoặc tương đương), KHÔNG hiện lỗi vượt giới hạn. Bước 3: nút Thanh toán bấm được bình thường (không bị disable/chặn), chuyển sang màn Checkout đúng như trường hợp dưới 30 sản phẩm.</t>
        </is>
      </c>
      <c r="K162" s="23" t="inlineStr">
        <is>
          <t>Low</t>
        </is>
      </c>
      <c r="L162" s="24" t="n"/>
      <c r="M162" s="24" t="inlineStr">
        <is>
          <t>Not Run</t>
        </is>
      </c>
      <c r="N162" s="24" t="n"/>
      <c r="O162" s="24" t="n"/>
      <c r="P162" s="23" t="n"/>
      <c r="Q162" s="23" t="inlineStr">
        <is>
          <t>Bổ sung theo Review 25/08/2026 - bổ sung mốc "đúng 30" còn thiếu, đi cùng SCR-CRT-05-SC3-TC1 (31 SP vượt giới hạn) và SCR-CRT-05-SC2 (giảm dưới 30).</t>
        </is>
      </c>
      <c r="R162" s="23" t="n"/>
    </row>
    <row r="163" hidden="1" ht="90" customHeight="1" s="19">
      <c r="A163" s="25" t="inlineStr">
        <is>
          <t>SCR-CRT-05-SC4-TC1</t>
        </is>
      </c>
      <c r="B163" s="25" t="inlineStr">
        <is>
          <t>SCR-CRT-05-SC4</t>
        </is>
      </c>
      <c r="C163" s="25" t="inlineStr">
        <is>
          <t>SCR-CRT-05</t>
        </is>
      </c>
      <c r="D163" s="25" t="inlineStr">
        <is>
          <t>CT-05</t>
        </is>
      </c>
      <c r="E163" s="25" t="inlineStr">
        <is>
          <t>Functional</t>
        </is>
      </c>
      <c r="F163" s="25" t="inlineStr">
        <is>
          <t>Chạm vào ô nhập số lượng sản phẩm (không dùng nút +/-)</t>
        </is>
      </c>
      <c r="G163" s="25" t="inlineStr">
        <is>
          <t>Giỏ hàng có SKU-C, số lượng hiện tại = 3.</t>
        </is>
      </c>
      <c r="H163" s="25" t="inlineStr">
        <is>
          <t>1. Chạm (tap) trực tiếp vào ô hiển thị số lượng của SKU-C (không bấm nút +/-).
2. Quan sát phản ứng giao diện (có mở bàn phím số không, giá trị hiện tại có được bôi đen/chọn sẵn để gõ đè không).
3. Nhập 1 số mới (ví dụ 7) rồi xác nhận (Done/Enter hoặc chạm ra ngoài ô).
4. Kiểm tra số lượng SKU-C sau khi xác nhận.
5. Lặp lại, lần này nhập 1 giá trị KHÔNG hợp lệ (0, số âm, hoặc vượt tồn kho/giới hạn 30 sản phẩm) rồi xác nhận, quan sát phản ứng.</t>
        </is>
      </c>
      <c r="I163" s="25" t="inlineStr">
        <is>
          <t>SKU-C: số lượng ban đầu = 3, tồn kho đủ lớn để test giá trị hợp lệ (7) và giá trị vượt tồn kho.</t>
        </is>
      </c>
      <c r="J163" s="25" t="inlineStr">
        <is>
          <t>[CẦN XÁC NHẬN - xem QnA-99, hành vi UI chưa được đặc tả] Ô số lượng cho phép chạm để mở bàn phím số và nhập trực tiếp 1 giá trị (không chỉ tăng/giảm từng đơn vị qua nút +/-); giá trị hợp lệ (7) được cập nhật ngay sau khi xác nhận; giá trị không hợp lệ (0/âm/vượt giới hạn) bị chặn khi nhập hoặc báo lỗi/làm tròn về giới hạn gần nhất sau khi xác nhận, không được chấp nhận âm thầm.</t>
        </is>
      </c>
      <c r="K163" s="25" t="inlineStr">
        <is>
          <t>Medium</t>
        </is>
      </c>
      <c r="L163" s="24" t="n"/>
      <c r="M163" s="24" t="inlineStr">
        <is>
          <t>Not Run</t>
        </is>
      </c>
      <c r="N163" s="24" t="n"/>
      <c r="O163" s="24" t="n"/>
      <c r="P163" s="25" t="inlineStr">
        <is>
          <t>QnA-99</t>
        </is>
      </c>
      <c r="Q163" s="25" t="n"/>
      <c r="R163" s="23" t="n"/>
    </row>
    <row r="164" hidden="1" ht="120" customHeight="1" s="19">
      <c r="A164" s="23" t="inlineStr">
        <is>
          <t>SCR-CRT-06-SC1-TC1</t>
        </is>
      </c>
      <c r="B164" s="23" t="inlineStr">
        <is>
          <t>SCR-CRT-06-SC1</t>
        </is>
      </c>
      <c r="C164" s="23" t="inlineStr">
        <is>
          <t>SCR-CRT-06</t>
        </is>
      </c>
      <c r="D164" s="23" t="inlineStr">
        <is>
          <t>CT-07</t>
        </is>
      </c>
      <c r="E164" s="23" t="inlineStr">
        <is>
          <t>Functional</t>
        </is>
      </c>
      <c r="F164" s="23" t="inlineStr">
        <is>
          <t>Đổi store không ảnh hưởng gì thì áp dụng ngay, không hiện dialog cảnh báo</t>
        </is>
      </c>
      <c r="G164" s="23" t="inlineStr">
        <is>
          <t>Chọn store B đảm bảo không SKU nào đổi giá/hết hàng và dịch vụ/slot vẫn giữ nguyên hợp lệ.</t>
        </is>
      </c>
      <c r="H164" s="23" t="inlineStr">
        <is>
          <t>1. Mở sheet đổi store trong Cart (danh sách đã lọc theo địa chỉ).
2. Chọn store B (không gây ảnh hưởng).
3. Quan sát có dialog cảnh báo xuất hiện hay không.
4. Kiểm tra giỏ hàng sau khi đổi.</t>
        </is>
      </c>
      <c r="I164" s="23" t="inlineStr">
        <is>
          <t>Store B: không gây thay đổi giá/tồn kho/dịch vụ/slot cho giỏ hàng hiện tại.</t>
        </is>
      </c>
      <c r="J164" s="23" t="inlineStr">
        <is>
          <t>Store đổi NGAY, không có dialog xác nhận nào xuất hiện; toàn bộ sản phẩm/dịch vụ/slot giữ nguyên.</t>
        </is>
      </c>
      <c r="K164" s="23" t="inlineStr">
        <is>
          <t>Medium</t>
        </is>
      </c>
      <c r="L164" s="24" t="n"/>
      <c r="M164" s="24" t="inlineStr">
        <is>
          <t>Not Run</t>
        </is>
      </c>
      <c r="N164" s="24" t="n"/>
      <c r="O164" s="24" t="n"/>
      <c r="P164" s="23" t="n"/>
      <c r="Q164" s="23" t="n"/>
      <c r="R164" s="23" t="n"/>
    </row>
    <row r="165" hidden="1" ht="120" customHeight="1" s="19">
      <c r="A165" s="25" t="inlineStr">
        <is>
          <t>SCR-CRT-06-SC2-TC1</t>
        </is>
      </c>
      <c r="B165" s="25" t="inlineStr">
        <is>
          <t>SCR-CRT-06-SC2</t>
        </is>
      </c>
      <c r="C165" s="25" t="inlineStr">
        <is>
          <t>SCR-CRT-06</t>
        </is>
      </c>
      <c r="D165" s="25" t="inlineStr">
        <is>
          <t>CT-07</t>
        </is>
      </c>
      <c r="E165" s="25" t="inlineStr">
        <is>
          <t>Edge</t>
        </is>
      </c>
      <c r="F165" s="25" t="inlineStr">
        <is>
          <t>Đổi store gây ảnh hưởng cả sản phẩm lẫn dịch vụ/slot hiện 1 cảnh báo gộp, Continue áp dụng đầy đủ thay đổi</t>
        </is>
      </c>
      <c r="G165" s="25" t="inlineStr">
        <is>
          <t>Chọn store C: 1 SKU hết hàng tại C, 1 SKU đổi giá tại C, dịch vụ 60-Minute không còn khả dụng tại C.</t>
        </is>
      </c>
      <c r="H165" s="25" t="inlineStr">
        <is>
          <t>1. Mở sheet đổi store, chọn store C.
2. Quan sát dialog cảnh báo - đếm số nhóm ảnh hưởng được liệt kê.
3. Bấm Continue.
4. Kiểm tra giỏ hàng: SKU hết hàng, SKU đổi giá, dịch vụ/slot mới.</t>
        </is>
      </c>
      <c r="I165" s="25" t="inlineStr">
        <is>
          <t>Store C gây ảnh hưởng đồng thời 2 nhóm: sản phẩm (1 hết hàng + 1 đổi giá) và dịch vụ/slot (mất 60-Minute).</t>
        </is>
      </c>
      <c r="J165" s="25" t="inlineStr">
        <is>
          <t>Bước 2: CHỈ 1 dialog duy nhất, liệt kê cả 2 nhóm ảnh hưởng (không tách 2 dialog riêng). Bước 4: SKU hết hàng chuyển nhóm riêng, SKU đổi giá cập nhật giá mới của store C, dịch vụ/slot được gợi ý lại theo BRL-25...27.</t>
        </is>
      </c>
      <c r="K165" s="25" t="inlineStr">
        <is>
          <t>High</t>
        </is>
      </c>
      <c r="L165" s="24" t="n"/>
      <c r="M165" s="24" t="inlineStr">
        <is>
          <t>Not Run</t>
        </is>
      </c>
      <c r="N165" s="24" t="n"/>
      <c r="O165" s="24" t="n"/>
      <c r="P165" s="25" t="inlineStr">
        <is>
          <t>QnA-25, QnA-64</t>
        </is>
      </c>
      <c r="Q165" s="25" t="inlineStr">
        <is>
          <t>Bố cục UI chi tiết của cảnh báo gộp vẫn chờ xác nhận (OQ-25/QnA-25) - test này xác minh HÀNH VI logic, không xác minh bố cục UI cuối cùng. | Xem thêm QnA-64 (bổ sung 28/08/2026): xung đột với rule đổi store trên Homepage (SCR-HOM-04), vốn không yêu cầu xác nhận.</t>
        </is>
      </c>
      <c r="R165" s="23" t="n"/>
    </row>
    <row r="166" hidden="1" ht="135" customHeight="1" s="19">
      <c r="A166" s="23" t="inlineStr">
        <is>
          <t>SCR-CRT-06-SC3-TC1</t>
        </is>
      </c>
      <c r="B166" s="23" t="inlineStr">
        <is>
          <t>SCR-CRT-06-SC3</t>
        </is>
      </c>
      <c r="C166" s="23" t="inlineStr">
        <is>
          <t>SCR-CRT-06</t>
        </is>
      </c>
      <c r="D166" s="23" t="inlineStr">
        <is>
          <t>CT-07</t>
        </is>
      </c>
      <c r="E166" s="23" t="inlineStr">
        <is>
          <t>Negative</t>
        </is>
      </c>
      <c r="F166" s="23" t="inlineStr">
        <is>
          <t>Bấm Cancel trên cảnh báo đổi store giữ nguyên 100% trạng thái giỏ hàng cũ</t>
        </is>
      </c>
      <c r="G166" s="23" t="inlineStr">
        <is>
          <t>Đã mở dialog cảnh báo gộp như SC2 (chưa bấm Continue).</t>
        </is>
      </c>
      <c r="H166" s="23" t="inlineStr">
        <is>
          <t>1. Từ dialog cảnh báo đổi store C, bấm 'Cancel'.
2. Kiểm tra store hiện tại (phải là store cũ).
3. Kiểm tra toàn bộ sản phẩm/dịch vụ/slot trong giỏ hàng.</t>
        </is>
      </c>
      <c r="I166" s="23" t="inlineStr">
        <is>
          <t>Trạng thái giỏ hàng trước khi mở dialog: ghi nhận làm baseline để so sánh.</t>
        </is>
      </c>
      <c r="J166" s="23" t="inlineStr">
        <is>
          <t>Store vẫn là store CŨ (không đổi); toàn bộ sản phẩm, giá, dịch vụ, slot GIỐNG HỆT trước khi mở dialog - không có thay đổi từng phần nào được áp dụng.</t>
        </is>
      </c>
      <c r="K166" s="23" t="inlineStr">
        <is>
          <t>High</t>
        </is>
      </c>
      <c r="L166" s="24" t="n"/>
      <c r="M166" s="24" t="inlineStr">
        <is>
          <t>Not Run</t>
        </is>
      </c>
      <c r="N166" s="24" t="n"/>
      <c r="O166" s="24" t="n"/>
      <c r="P166" s="23" t="n"/>
      <c r="Q166" s="23" t="n"/>
      <c r="R166" s="23" t="n"/>
    </row>
    <row r="167" hidden="1" ht="105" customHeight="1" s="19">
      <c r="A167" s="23" t="inlineStr">
        <is>
          <t>SCR-CRT-06-SC4-TC1</t>
        </is>
      </c>
      <c r="B167" s="23" t="inlineStr">
        <is>
          <t>SCR-CRT-06-SC4</t>
        </is>
      </c>
      <c r="C167" s="23" t="inlineStr">
        <is>
          <t>SCR-CRT-06</t>
        </is>
      </c>
      <c r="D167" s="23" t="inlineStr">
        <is>
          <t>CT-07</t>
        </is>
      </c>
      <c r="E167" s="23" t="inlineStr">
        <is>
          <t>Edge</t>
        </is>
      </c>
      <c r="F167" s="23" t="inlineStr">
        <is>
          <t>Tắt app khi đang mở dialog cảnh báo đổi store, mở lại vẫn giữ store cũ (chưa Continue)</t>
        </is>
      </c>
      <c r="G167" s="23" t="inlineStr">
        <is>
          <t>Đã mở dialog cảnh báo đổi store gộp như SC2 (chưa bấm Continue/Cancel).</t>
        </is>
      </c>
      <c r="H167" s="23" t="inlineStr">
        <is>
          <t>1. Từ dialog cảnh báo đổi store C, tắt hẳn app (kill app, không phải chuyển nền).
2. Mở lại app.
3. Kiểm tra store hiện tại.
4. Kiểm tra toàn bộ sản phẩm/dịch vụ/slot trong giỏ hàng.</t>
        </is>
      </c>
      <c r="I167" s="23" t="inlineStr">
        <is>
          <t>Trạng thái giỏ hàng trước khi mở dialog: ghi nhận làm baseline để so sánh (giống SC3).</t>
        </is>
      </c>
      <c r="J167" s="23" t="inlineStr">
        <is>
          <t>Store vẫn là store CŨ (thay đổi coi như bị huỷ do chưa Continue, tương đương hành vi bấm Cancel ở SC3); toàn bộ sản phẩm, giá, dịch vụ, slot GIỐNG HỆT trước khi mở dialog - không có thay đổi từng phần nào bị áp dụng dở dang.</t>
        </is>
      </c>
      <c r="K167" s="23" t="inlineStr">
        <is>
          <t>Medium</t>
        </is>
      </c>
      <c r="L167" s="24" t="n"/>
      <c r="M167" s="24" t="inlineStr">
        <is>
          <t>Not Run</t>
        </is>
      </c>
      <c r="N167" s="24" t="n"/>
      <c r="O167" s="24" t="n"/>
      <c r="P167" s="23" t="n"/>
      <c r="Q167" s="23" t="n"/>
      <c r="R167" s="23" t="n"/>
    </row>
    <row r="168" hidden="1" ht="105" customHeight="1" s="19">
      <c r="A168" s="23" t="inlineStr">
        <is>
          <t>SCR-CRT-07-SC1-TC1</t>
        </is>
      </c>
      <c r="B168" s="23" t="inlineStr">
        <is>
          <t>SCR-CRT-07-SC1</t>
        </is>
      </c>
      <c r="C168" s="23" t="inlineStr">
        <is>
          <t>SCR-CRT-07</t>
        </is>
      </c>
      <c r="D168" s="23" t="inlineStr">
        <is>
          <t>CT-08</t>
        </is>
      </c>
      <c r="E168" s="23" t="inlineStr">
        <is>
          <t>Functional</t>
        </is>
      </c>
      <c r="F168" s="23" t="inlineStr">
        <is>
          <t>Gợi ý slot theo đúng thứ tự ưu tiên khi khách chưa từng chủ động đổi slot</t>
        </is>
      </c>
      <c r="G168" s="23" t="inlineStr">
        <is>
          <t>Khách vào thẳng Cart từ Homepage, chưa từng bấm đổi slot trên Homepage.</t>
        </is>
      </c>
      <c r="H168" s="23" t="inlineStr">
        <is>
          <t>1. Mở sheet chọn slot giao hàng.
2. Ghi nhận slot đầu tiên được gợi ý / tô sáng.
3. Kiểm tra các nhãn của từng slot (sớm nhất/quen thuộc/tích điểm).</t>
        </is>
      </c>
      <c r="I168" s="23" t="inlineStr">
        <is>
          <t>Lịch sử đơn hàng test: có dữ liệu để xác định 1 slot 'quen thuộc' khác slot sớm nhất.</t>
        </is>
      </c>
      <c r="J168" s="23" t="inlineStr">
        <is>
          <t>Slot gợi ý đầu tiên = slot SỚM NHẤT tại store (BRL-25); thứ tự hiển thị các slot theo: quen thuộc &gt; sớm nhất &gt; tích điểm (BRL-27).</t>
        </is>
      </c>
      <c r="K168" s="23" t="inlineStr">
        <is>
          <t>Medium</t>
        </is>
      </c>
      <c r="L168" s="24" t="n"/>
      <c r="M168" s="24" t="inlineStr">
        <is>
          <t>Not Run</t>
        </is>
      </c>
      <c r="N168" s="24" t="n"/>
      <c r="O168" s="24" t="n"/>
      <c r="P168" s="23" t="n"/>
      <c r="Q168" s="23" t="n"/>
      <c r="R168" s="23" t="n"/>
    </row>
    <row r="169" hidden="1" ht="105" customHeight="1" s="19">
      <c r="A169" s="23" t="inlineStr">
        <is>
          <t>SCR-CRT-07-SC2-TC1</t>
        </is>
      </c>
      <c r="B169" s="23" t="inlineStr">
        <is>
          <t>SCR-CRT-07-SC2</t>
        </is>
      </c>
      <c r="C169" s="23" t="inlineStr">
        <is>
          <t>SCR-CRT-07</t>
        </is>
      </c>
      <c r="D169" s="23" t="inlineStr">
        <is>
          <t>CT-08</t>
        </is>
      </c>
      <c r="E169" s="23" t="inlineStr">
        <is>
          <t>Functional</t>
        </is>
      </c>
      <c r="F169" s="23" t="inlineStr">
        <is>
          <t>Sau khi đã chủ động đổi slot ở Homepage, slot quen thuộc được gợi ý trước slot sớm nhất</t>
        </is>
      </c>
      <c r="G169" s="23" t="inlineStr">
        <is>
          <t>Trên Homepage, khách đã chủ động chọn 1 slot khác slot mặc định, sau đó vào Cart.</t>
        </is>
      </c>
      <c r="H169" s="23" t="inlineStr">
        <is>
          <t>1. Trên Homepage, chủ động đổi sang 1 slot khác slot gợi ý mặc định.
2. Vào Cart, mở sheet chọn slot.
3. Ghi nhận slot được gợi ý/tô sáng đầu tiên.</t>
        </is>
      </c>
      <c r="I169" s="23" t="inlineStr">
        <is>
          <t>Lịch sử 2 tháng gần nhất của tài khoản test có 1 slot chiếm tỷ lệ lớn nhất (slot 'quen thuộc').</t>
        </is>
      </c>
      <c r="J169" s="23" t="inlineStr">
        <is>
          <t>Slot 'quen thuộc' được gợi ý ở VỊ TRÍ ĐẦU (khác với kịch bản chưa đổi slot ở SC1, lúc đó slot sớm nhất được ưu tiên trước).</t>
        </is>
      </c>
      <c r="K169" s="23" t="inlineStr">
        <is>
          <t>Medium</t>
        </is>
      </c>
      <c r="L169" s="24" t="n"/>
      <c r="M169" s="24" t="inlineStr">
        <is>
          <t>Not Run</t>
        </is>
      </c>
      <c r="N169" s="24" t="n"/>
      <c r="O169" s="24" t="n"/>
      <c r="P169" s="23" t="n"/>
      <c r="Q169" s="23" t="n"/>
      <c r="R169" s="23" t="n"/>
    </row>
    <row r="170" hidden="1" ht="90" customHeight="1" s="19">
      <c r="A170" s="23" t="inlineStr">
        <is>
          <t>SCR-CRT-07-SC3-TC1</t>
        </is>
      </c>
      <c r="B170" s="23" t="inlineStr">
        <is>
          <t>SCR-CRT-07-SC3</t>
        </is>
      </c>
      <c r="C170" s="23" t="inlineStr">
        <is>
          <t>SCR-CRT-07</t>
        </is>
      </c>
      <c r="D170" s="23" t="inlineStr">
        <is>
          <t>CT-08</t>
        </is>
      </c>
      <c r="E170" s="23" t="inlineStr">
        <is>
          <t>Edge</t>
        </is>
      </c>
      <c r="F170" s="23" t="inlineStr">
        <is>
          <t>Khách mới không có lịch sử đơn hàng - không có slot 'quen thuộc', fallback về sớm nhất</t>
        </is>
      </c>
      <c r="G170" s="23" t="inlineStr">
        <is>
          <t>Tài khoản mới tạo, chưa từng đặt đơn hàng nào.</t>
        </is>
      </c>
      <c r="H170" s="23" t="inlineStr">
        <is>
          <t>1. Đăng nhập tài khoản mới (0 đơn hàng lịch sử).
2. Vào Cart, mở sheet chọn slot.
3. Quan sát có nhãn 'quen thuộc' nào xuất hiện không.
4. Ghi nhận slot được gợi ý/tô sáng đầu tiên.</t>
        </is>
      </c>
      <c r="I170" s="23" t="inlineStr">
        <is>
          <t>Tài khoản test: mới tạo, 0 lịch sử đơn hàng.</t>
        </is>
      </c>
      <c r="J170" s="23" t="inlineStr">
        <is>
          <t>Bước 3: KHÔNG có nhãn 'quen thuộc' nào (không đủ dữ liệu để tính). Bước 4: slot gợi ý đầu tiên = slot SỚM NHẤT tại store, giống hành vi SCR-CRT-07-SC1 - không lỗi, không màn hình trống.</t>
        </is>
      </c>
      <c r="K170" s="23" t="inlineStr">
        <is>
          <t>Medium</t>
        </is>
      </c>
      <c r="L170" s="24" t="n"/>
      <c r="M170" s="24" t="inlineStr">
        <is>
          <t>Not Run</t>
        </is>
      </c>
      <c r="N170" s="24" t="n"/>
      <c r="O170" s="24" t="n"/>
      <c r="P170" s="23" t="n"/>
      <c r="Q170" s="23" t="inlineStr">
        <is>
          <t>Bổ sung theo yêu cầu review 27/08/2026.</t>
        </is>
      </c>
      <c r="R170" s="23" t="n"/>
    </row>
    <row r="171" hidden="1" ht="90" customHeight="1" s="19">
      <c r="A171" s="25" t="inlineStr">
        <is>
          <t>SCR-CRT-07-SC4-TC1</t>
        </is>
      </c>
      <c r="B171" s="25" t="inlineStr">
        <is>
          <t>SCR-CRT-07-SC4</t>
        </is>
      </c>
      <c r="C171" s="25" t="inlineStr">
        <is>
          <t>SCR-CRT-07</t>
        </is>
      </c>
      <c r="D171" s="25" t="inlineStr">
        <is>
          <t>CT-08</t>
        </is>
      </c>
      <c r="E171" s="25" t="inlineStr">
        <is>
          <t>Negative</t>
        </is>
      </c>
      <c r="F171" s="25" t="inlineStr">
        <is>
          <t>Toàn bộ slot trong ngày hiện tại đã hết chỗ - TBD chờ QnA-57</t>
        </is>
      </c>
      <c r="G171" s="25" t="inlineStr">
        <is>
          <t>Store test được cấu hình toàn bộ slot giao hàng trong ngày hôm nay đều ở trạng thái Closed (0 chỗ).</t>
        </is>
      </c>
      <c r="H171" s="25" t="inlineStr">
        <is>
          <t>1. Mở sheet chọn slot giao hàng khi toàn bộ slot hôm nay đã Closed.
2. GHI NHẬN màn hình hiển thị gì: tự chuyển sang ngày kế tiếp, thông báo hết slot, hay chỉ hiện danh sách disabled không hướng dẫn.
3. Nếu có hiển thị ngày kế tiếp, thử chọn 1 slot của ngày đó.</t>
        </is>
      </c>
      <c r="I171" s="25" t="inlineStr">
        <is>
          <t>Toàn bộ slot hôm nay: Closed (0/0 chỗ mỗi slot).</t>
        </is>
      </c>
      <c r="J171" s="25" t="inlineStr">
        <is>
          <t>TBD - Expected Result đang chờ câu trả lời QnA-57. Người thực thi CHỈ ghi nhận hành vi thực tế, không tự chấm Pass/Fail - nhưng PHẢI flag nếu màn hình để khách bị kẹt không có hướng dẫn nào (không cần chờ QnA-57 mới báo lỗi UX rõ ràng này).</t>
        </is>
      </c>
      <c r="K171" s="25" t="inlineStr">
        <is>
          <t>Medium</t>
        </is>
      </c>
      <c r="L171" s="24" t="n"/>
      <c r="M171" s="24" t="inlineStr">
        <is>
          <t>Not Run</t>
        </is>
      </c>
      <c r="N171" s="24" t="n"/>
      <c r="O171" s="24" t="n"/>
      <c r="P171" s="25" t="inlineStr">
        <is>
          <t>QnA-57</t>
        </is>
      </c>
      <c r="Q171" s="25" t="inlineStr">
        <is>
          <t>Bổ sung theo yêu cầu review 27/08/2026.</t>
        </is>
      </c>
      <c r="R171" s="23" t="n"/>
    </row>
    <row r="172" hidden="1" ht="135" customHeight="1" s="19">
      <c r="A172" s="23" t="inlineStr">
        <is>
          <t>SCR-CHK-01-SC1-TC1</t>
        </is>
      </c>
      <c r="B172" s="23" t="inlineStr">
        <is>
          <t>SCR-CHK-01-SC1</t>
        </is>
      </c>
      <c r="C172" s="23" t="inlineStr">
        <is>
          <t>SCR-CHK-01</t>
        </is>
      </c>
      <c r="D172" s="23" t="inlineStr">
        <is>
          <t>CO-01, CT-11</t>
        </is>
      </c>
      <c r="E172" s="23" t="inlineStr">
        <is>
          <t>Functional</t>
        </is>
      </c>
      <c r="F172" s="23" t="inlineStr">
        <is>
          <t>Chạm vào khối đã khoá mở popup giải thích, chọn 'Ở lại' vẫn đứng yên tại Checkout</t>
        </is>
      </c>
      <c r="G172" s="23" t="inlineStr">
        <is>
          <t>Đang ở SCR-CHK-01 với đơn hàng có địa chỉ, store, slot, và 3 sản phẩm đã chọn.</t>
        </is>
      </c>
      <c r="H172" s="23" t="inlineStr">
        <is>
          <t>1. Chạm vào khối thông tin địa chỉ/store/slot (đang khoá) hoặc 1 dòng sản phẩm.
2. Popup giải thích quy tắc (không sửa được tại Checkout) xuất hiện kèm 2 lựa chọn 'Ở lại' và 'Về giỏ hàng'.
3. Bấm 'Ở lại'.
4. Kiểm tra màn hình hiện tại.</t>
        </is>
      </c>
      <c r="I172" s="23" t="inlineStr">
        <is>
          <t>Đơn hàng mẫu: địa chỉ X, store Y, slot Z, 3 SKU đã chọn.</t>
        </is>
      </c>
      <c r="J172" s="23" t="inlineStr">
        <is>
          <t>Popup đóng lại, khách VẪN Ở LẠI màn Checkout (SCR-CHK-01), không có điều hướng nào xảy ra; toàn bộ thông tin đơn hàng giữ nguyên.</t>
        </is>
      </c>
      <c r="K172" s="23" t="inlineStr">
        <is>
          <t>High</t>
        </is>
      </c>
      <c r="L172" s="24" t="n"/>
      <c r="M172" s="24" t="inlineStr">
        <is>
          <t>Not Run</t>
        </is>
      </c>
      <c r="N172" s="24" t="n"/>
      <c r="O172" s="24" t="n"/>
      <c r="P172" s="23" t="n"/>
      <c r="Q172" s="23" t="n"/>
      <c r="R172" s="23" t="n"/>
    </row>
    <row r="173" hidden="1" ht="105" customHeight="1" s="19">
      <c r="A173" s="25" t="inlineStr">
        <is>
          <t>SCR-CHK-01-SC1-TC2</t>
        </is>
      </c>
      <c r="B173" s="25" t="inlineStr">
        <is>
          <t>SCR-CHK-01-SC1</t>
        </is>
      </c>
      <c r="C173" s="25" t="inlineStr">
        <is>
          <t>SCR-CHK-01</t>
        </is>
      </c>
      <c r="D173" s="25" t="inlineStr">
        <is>
          <t>CO-01, CT-11</t>
        </is>
      </c>
      <c r="E173" s="25" t="inlineStr">
        <is>
          <t>Edge</t>
        </is>
      </c>
      <c r="F173" s="25" t="inlineStr">
        <is>
          <t>Giỏ hàng rỗng (0 sản phẩm) không vào được màn Thanh toán</t>
        </is>
      </c>
      <c r="G173" s="25" t="inlineStr">
        <is>
          <t>Giỏ hàng vừa được xoá hết, còn 0 sản phẩm.</t>
        </is>
      </c>
      <c r="H173" s="25" t="inlineStr">
        <is>
          <t>1. Từ Giỏ hàng, xoá hết toàn bộ sản phẩm còn lại.
2. Thử bấm 'Thanh toán' / điều hướng sang Checkout.</t>
        </is>
      </c>
      <c r="I173" s="25" t="inlineStr">
        <is>
          <t>Giỏ hàng: 0 sản phẩm (vừa xoá hết).</t>
        </is>
      </c>
      <c r="J173" s="25" t="inlineStr">
        <is>
          <t>GHI NHẬN hành vi thực tế (nút Thanh toán có bị ẩn/disable không, có vào được màn Checkout không, hay bị giữ lại ở Giỏ hàng kèm thông báo gì) để đối chiếu với câu trả lời chính thức của QnA-38 - KHÔNG assert 1 kết quả cố định trong test case này cho đến khi có xác nhận từ BA.</t>
        </is>
      </c>
      <c r="K173" s="25" t="inlineStr">
        <is>
          <t>Medium</t>
        </is>
      </c>
      <c r="L173" s="24" t="n"/>
      <c r="M173" s="24" t="inlineStr">
        <is>
          <t>Not Run</t>
        </is>
      </c>
      <c r="N173" s="24" t="n"/>
      <c r="O173" s="24" t="n"/>
      <c r="P173" s="25" t="inlineStr">
        <is>
          <t>QnA-38</t>
        </is>
      </c>
      <c r="Q173" s="25" t="inlineStr">
        <is>
          <t>Bổ sung theo Review 25/08/2026.</t>
        </is>
      </c>
      <c r="R173" s="23" t="n"/>
    </row>
    <row r="174" hidden="1" ht="180" customHeight="1" s="19">
      <c r="A174" s="23" t="inlineStr">
        <is>
          <t>SCR-CHK-01-SC1-TC3</t>
        </is>
      </c>
      <c r="B174" s="23" t="inlineStr">
        <is>
          <t>SCR-CHK-01-SC1</t>
        </is>
      </c>
      <c r="C174" s="23" t="inlineStr">
        <is>
          <t>SCR-CHK-01</t>
        </is>
      </c>
      <c r="D174" s="23" t="inlineStr">
        <is>
          <t>CO-01, CT-11</t>
        </is>
      </c>
      <c r="E174" s="23" t="inlineStr">
        <is>
          <t>Functional</t>
        </is>
      </c>
      <c r="F174" s="23" t="inlineStr">
        <is>
          <t>Chạm vào khối đã khoá mở popup, chọn 'Về giỏ hàng' đưa về Cart, giữ nguyên lựa chọn</t>
        </is>
      </c>
      <c r="G174" s="23" t="inlineStr">
        <is>
          <t>Đang ở SCR-CHK-01 với đơn hàng có địa chỉ, store, slot, và 3 sản phẩm đã chọn.</t>
        </is>
      </c>
      <c r="H174" s="23" t="inlineStr">
        <is>
          <t>1. Chạm vào khối thông tin địa chỉ/store/slot (đang khoá) hoặc 1 dòng sản phẩm.
2. Popup giải thích quy tắc xuất hiện kèm 2 lựa chọn 'Ở lại' và 'Về giỏ hàng'.
3. Bấm 'Về giỏ hàng'.
4. Kiểm tra 3 sản phẩm và các lựa chọn trước đó (địa chỉ/store/slot) còn nguyên tại Cart.</t>
        </is>
      </c>
      <c r="I174" s="23" t="inlineStr">
        <is>
          <t>Đơn hàng mẫu: địa chỉ X, store Y, slot Z, 3 SKU đã chọn.</t>
        </is>
      </c>
      <c r="J174" s="23" t="inlineStr">
        <is>
          <t>Khách được điều hướng về Cart; địa chỉ/store/slot/3 SKU vẫn y nguyên như trước khi vào Checkout - không mất dữ liệu nào.</t>
        </is>
      </c>
      <c r="K174" s="23" t="inlineStr">
        <is>
          <t>High</t>
        </is>
      </c>
      <c r="L174" s="24" t="n"/>
      <c r="M174" s="24" t="inlineStr">
        <is>
          <t>Not Run</t>
        </is>
      </c>
      <c r="N174" s="24" t="n"/>
      <c r="O174" s="24" t="n"/>
      <c r="P174" s="23" t="n"/>
      <c r="Q174" s="23" t="n"/>
      <c r="R174" s="23" t="n"/>
    </row>
    <row r="175" hidden="1" ht="75" customHeight="1" s="19">
      <c r="A175" s="23" t="inlineStr">
        <is>
          <t>SCR-CHK-01-SC2-TC1</t>
        </is>
      </c>
      <c r="B175" s="23" t="inlineStr">
        <is>
          <t>SCR-CHK-01-SC2</t>
        </is>
      </c>
      <c r="C175" s="23" t="inlineStr">
        <is>
          <t>SCR-CHK-01</t>
        </is>
      </c>
      <c r="D175" s="23" t="inlineStr">
        <is>
          <t>CO-01</t>
        </is>
      </c>
      <c r="E175" s="23" t="inlineStr">
        <is>
          <t>Functional</t>
        </is>
      </c>
      <c r="F175" s="23" t="inlineStr">
        <is>
          <t>Toggle Detail/Compact chỉ đổi hiển thị, không đổi nội dung đơn hàng</t>
        </is>
      </c>
      <c r="G175" s="23" t="inlineStr">
        <is>
          <t>Đơn hàng có 12 SKU, đang ở chế độ Detail.</t>
        </is>
      </c>
      <c r="H175" s="23" t="inlineStr">
        <is>
          <t>1. Ghi nhận danh sách 12 SKU ở chế độ Detail (tên, giá, số lượng từng dòng).
2. Bấm toggle sang Compact.
3. Quan sát bố cục lưới.
4. Bấm toggle lại về Detail, đối chiếu với ghi nhận bước 1.</t>
        </is>
      </c>
      <c r="I175" s="23" t="inlineStr">
        <is>
          <t>Đơn hàng mẫu: 12 SKU.</t>
        </is>
      </c>
      <c r="J175" s="23" t="inlineStr">
        <is>
          <t>Bước 3: bố cục chuyển sang dạng lưới gọn (ảnh + số lượng). Bước 4: quay về Detail, dữ liệu 12 SKU (tên/giá/số lượng) giống hệt bước 1 - không mất/đổi dữ liệu nào qua 2 lần toggle.</t>
        </is>
      </c>
      <c r="K175" s="23" t="inlineStr">
        <is>
          <t>Low</t>
        </is>
      </c>
      <c r="L175" s="24" t="n"/>
      <c r="M175" s="24" t="inlineStr">
        <is>
          <t>Not Run</t>
        </is>
      </c>
      <c r="N175" s="24" t="n"/>
      <c r="O175" s="24" t="n"/>
      <c r="P175" s="23" t="n"/>
      <c r="Q175" s="23" t="n"/>
      <c r="R175" s="23" t="n"/>
    </row>
    <row r="176" hidden="1" ht="75" customHeight="1" s="19">
      <c r="A176" s="23" t="inlineStr">
        <is>
          <t>SCR-CHK-01-SC3-TC1</t>
        </is>
      </c>
      <c r="B176" s="23" t="inlineStr">
        <is>
          <t>SCR-CHK-01-SC3</t>
        </is>
      </c>
      <c r="C176" s="23" t="inlineStr">
        <is>
          <t>SCR-CHK-01</t>
        </is>
      </c>
      <c r="D176" s="23" t="inlineStr">
        <is>
          <t>CO-02</t>
        </is>
      </c>
      <c r="E176" s="23" t="inlineStr">
        <is>
          <t>Functional</t>
        </is>
      </c>
      <c r="F176" s="23" t="inlineStr">
        <is>
          <t>Nhập ghi chú đơn hàng và chọn tuỳ chọn xử lý khi hết hàng được lưu đúng</t>
        </is>
      </c>
      <c r="G176" s="23" t="inlineStr">
        <is>
          <t>Đang ở SCR-CHK-01.</t>
        </is>
      </c>
      <c r="H176" s="23" t="inlineStr">
        <is>
          <t>1. Nhập ghi chú 'Giao giờ hành chính, gọi trước 10 phút' vào ô ghi chú đơn hàng.
2. Chọn 1 tuỳ chọn ưu tiên xử lý khi hết hàng (ví dụ 'Gọi điện xác nhận').
3. Tiếp tục sang SCR-CHK-02 rồi quay lại kiểm tra.</t>
        </is>
      </c>
      <c r="I176" s="23" t="inlineStr">
        <is>
          <t>Ghi chú: 'Giao giờ hành chính, gọi trước 10 phút'. Tuỳ chọn hết hàng: 'Gọi điện xác nhận'.</t>
        </is>
      </c>
      <c r="J176" s="23" t="inlineStr">
        <is>
          <t>Cả 2 giá trị được lưu đúng và vẫn còn nguyên khi quay lại màn hình (không bị reset).</t>
        </is>
      </c>
      <c r="K176" s="23" t="inlineStr">
        <is>
          <t>Low</t>
        </is>
      </c>
      <c r="L176" s="24" t="n"/>
      <c r="M176" s="24" t="inlineStr">
        <is>
          <t>Not Run</t>
        </is>
      </c>
      <c r="N176" s="24" t="n"/>
      <c r="O176" s="24" t="n"/>
      <c r="P176" s="23" t="n"/>
      <c r="Q176" s="23" t="n"/>
      <c r="R176" s="23" t="n"/>
    </row>
    <row r="177" hidden="1" ht="75" customHeight="1" s="19">
      <c r="A177" s="25" t="inlineStr">
        <is>
          <t>SCR-CHK-01-SC4-TC1</t>
        </is>
      </c>
      <c r="B177" s="25" t="inlineStr">
        <is>
          <t>SCR-CHK-01-SC4</t>
        </is>
      </c>
      <c r="C177" s="25" t="inlineStr">
        <is>
          <t>SCR-CHK-01</t>
        </is>
      </c>
      <c r="D177" s="25" t="inlineStr">
        <is>
          <t>CO-03</t>
        </is>
      </c>
      <c r="E177" s="25" t="inlineStr">
        <is>
          <t>Functional</t>
        </is>
      </c>
      <c r="F177" s="25" t="inlineStr">
        <is>
          <t>Bật đóng gói carton được ghi nhận vào đơn, phí hiện trong tóm tắt (giá trị TBD)</t>
        </is>
      </c>
      <c r="G177" s="25" t="inlineStr">
        <is>
          <t>Đang ở SCR-CHK-01, tuỳ chọn đóng gói carton đang tắt.</t>
        </is>
      </c>
      <c r="H177" s="25" t="inlineStr">
        <is>
          <t>1. Bật tuỳ chọn 'Đóng gói carton'.
2. Sang SCR-CHK-02, quan sát dòng phí liên quan trong tóm tắt thanh toán (nếu có).
3. Ghi nhận giá trị hiển thị thực tế.</t>
        </is>
      </c>
      <c r="I177" s="25" t="inlineStr">
        <is>
          <t>N/A.</t>
        </is>
      </c>
      <c r="J177" s="25" t="inlineStr">
        <is>
          <t>Tuỳ chọn được ghi nhận là 'có đóng gói'; NẾU có dòng phí riêng thì ghi nhận lại giá trị hiển thị thực tế để đối chiếu với câu trả lời chính thức của OQ-16/QnA-16 sau này - KHÔNG assert 1 con số cố định trong test case này.</t>
        </is>
      </c>
      <c r="K177" s="25" t="inlineStr">
        <is>
          <t>Medium</t>
        </is>
      </c>
      <c r="L177" s="24" t="n"/>
      <c r="M177" s="24" t="inlineStr">
        <is>
          <t>Not Run</t>
        </is>
      </c>
      <c r="N177" s="24" t="n"/>
      <c r="O177" s="24" t="n"/>
      <c r="P177" s="25" t="inlineStr">
        <is>
          <t>QnA-16</t>
        </is>
      </c>
      <c r="Q177" s="25" t="inlineStr">
        <is>
          <t>Cập nhật lại Expected Result với số tiền chính xác ngay khi OQ-16/QnA-16 được LOTTE MART xác nhận.</t>
        </is>
      </c>
      <c r="R177" s="23" t="n"/>
    </row>
    <row r="178" hidden="1" ht="60" customHeight="1" s="19">
      <c r="A178" s="23" t="inlineStr">
        <is>
          <t>SCR-CHK-02-SC1-TC1</t>
        </is>
      </c>
      <c r="B178" s="23" t="inlineStr">
        <is>
          <t>SCR-CHK-02-SC1</t>
        </is>
      </c>
      <c r="C178" s="23" t="inlineStr">
        <is>
          <t>SCR-CHK-02</t>
        </is>
      </c>
      <c r="D178" s="23" t="inlineStr">
        <is>
          <t>CO-04</t>
        </is>
      </c>
      <c r="E178" s="23" t="inlineStr">
        <is>
          <t>Functional</t>
        </is>
      </c>
      <c r="F178" s="23" t="inlineStr">
        <is>
          <t>Nhập mã GotIt/gift card hợp lệ trừ đúng vào tổng tiền</t>
        </is>
      </c>
      <c r="G178" s="23" t="inlineStr">
        <is>
          <t>Đơn hàng tổng 500.000đ, chưa áp dụng gift card.</t>
        </is>
      </c>
      <c r="H178" s="23" t="inlineStr">
        <is>
          <t>1. Nhập mã gift card hợp lệ trị giá 50.000đ.
2. Bấm áp dụng.
3. Quan sát dòng gift card và tổng tiền phải trả trong tóm tắt.</t>
        </is>
      </c>
      <c r="I178" s="23" t="inlineStr">
        <is>
          <t>Mã gift card test: GIFT50K, trị giá 50.000đ.</t>
        </is>
      </c>
      <c r="J178" s="23" t="inlineStr">
        <is>
          <t>Dòng 'Thẻ quà tặng/GotIt' hiện -50.000đ; tổng tiền phải trả giảm đúng 50.000đ so với trước khi áp dụng.</t>
        </is>
      </c>
      <c r="K178" s="23" t="inlineStr">
        <is>
          <t>Medium</t>
        </is>
      </c>
      <c r="L178" s="24" t="n"/>
      <c r="M178" s="24" t="inlineStr">
        <is>
          <t>Not Run</t>
        </is>
      </c>
      <c r="N178" s="24" t="n"/>
      <c r="O178" s="24" t="n"/>
      <c r="P178" s="23" t="n"/>
      <c r="Q178" s="23" t="n"/>
      <c r="R178" s="23" t="n"/>
    </row>
    <row r="179" hidden="1" ht="75" customHeight="1" s="19">
      <c r="A179" s="23" t="inlineStr">
        <is>
          <t>SCR-CHK-02-SC1-TC2</t>
        </is>
      </c>
      <c r="B179" s="23" t="inlineStr">
        <is>
          <t>SCR-CHK-02-SC1</t>
        </is>
      </c>
      <c r="C179" s="23" t="inlineStr">
        <is>
          <t>SCR-CHK-02</t>
        </is>
      </c>
      <c r="D179" s="23" t="inlineStr">
        <is>
          <t>CO-04</t>
        </is>
      </c>
      <c r="E179" s="23" t="inlineStr">
        <is>
          <t>Negative</t>
        </is>
      </c>
      <c r="F179" s="23" t="inlineStr">
        <is>
          <t>Mã GotIt/gift card không hợp lệ (sai mã/hết hạn/đã dùng) bị từ chối rõ ràng</t>
        </is>
      </c>
      <c r="G179" s="23" t="inlineStr">
        <is>
          <t>Đơn hàng tổng 500.000đ, chưa áp dụng gift card.</t>
        </is>
      </c>
      <c r="H179" s="23" t="inlineStr">
        <is>
          <t>1. Nhập mã gift card KHÔNG TỒN TẠI (ví dụ 'INVALIDCODE123'), bấm áp dụng.
2. Quan sát thông báo lỗi.
3. Nhập mã gift card ĐÃ HẾT HẠN (nếu môi trường test có sẵn), bấm áp dụng.
4. Nhập mã gift card ĐÃ ĐƯỢC DÙNG hết giá trị trước đó, bấm áp dụng.
5. Với mỗi trường hợp, xác nhận tổng tiền phải trả KHÔNG bị trừ sai.</t>
        </is>
      </c>
      <c r="I179" s="23" t="inlineStr">
        <is>
          <t>Mã không tồn tại: 'INVALIDCODE123'. Mã hết hạn và mã đã dùng hết: dùng dữ liệu test có sẵn (nếu môi trường có), nếu không thì ghi nhận là N/A và chỉ test mã không tồn tại.</t>
        </is>
      </c>
      <c r="J179" s="23" t="inlineStr">
        <is>
          <t>Mỗi trường hợp đều hiện thông báo lỗi RÕ RÀNG và ĐÚNG NGUYÊN NHÂN (mã không tồn tại / đã hết hạn / đã dùng hết - không dùng chung 1 thông báo lỗi mơ hồ cho cả 3 trường hợp nếu hệ thống phân biệt được); tổng tiền phải trả không đổi so với trước khi nhập mã lỗi.</t>
        </is>
      </c>
      <c r="K179" s="23" t="inlineStr">
        <is>
          <t>Medium</t>
        </is>
      </c>
      <c r="L179" s="24" t="n"/>
      <c r="M179" s="24" t="inlineStr">
        <is>
          <t>Not Run</t>
        </is>
      </c>
      <c r="N179" s="24" t="n"/>
      <c r="O179" s="24" t="n"/>
      <c r="P179" s="23" t="n"/>
      <c r="Q179" s="23" t="inlineStr">
        <is>
          <t>Bổ sung theo yêu cầu review 27/08/2026 - SCR-CHK-02-SC1 trước đó chỉ test mã hợp lệ.</t>
        </is>
      </c>
      <c r="R179" s="23" t="n"/>
    </row>
    <row r="180" hidden="1" ht="60" customHeight="1" s="19">
      <c r="A180" s="25" t="inlineStr">
        <is>
          <t>SCR-CHK-02-SC2-TC1</t>
        </is>
      </c>
      <c r="B180" s="25" t="inlineStr">
        <is>
          <t>SCR-CHK-02-SC2</t>
        </is>
      </c>
      <c r="C180" s="25" t="inlineStr">
        <is>
          <t>SCR-CHK-02</t>
        </is>
      </c>
      <c r="D180" s="25" t="inlineStr">
        <is>
          <t>CO-05</t>
        </is>
      </c>
      <c r="E180" s="25" t="inlineStr">
        <is>
          <t>Functional</t>
        </is>
      </c>
      <c r="F180" s="25" t="inlineStr">
        <is>
          <t>Coupon giao hàng và coupon sản phẩm hiện thành 2 nhóm riêng biệt tại Checkout</t>
        </is>
      </c>
      <c r="G180" s="25" t="inlineStr">
        <is>
          <t>Đã có 1 coupon giao hàng (giảm 15.000đ phí giao) và 1 coupon sản phẩm (giảm 10% 1 SKU) được áp dụng từ Cart.</t>
        </is>
      </c>
      <c r="H180" s="25" t="inlineStr">
        <is>
          <t>1. Vào SCR-CHK-02, cuộn đến phần Coupon.
2. Quan sát cách nhóm hiển thị.
3. Đối chiếu số tiền giảm của từng nhóm với giá trị đã áp dụng ở Cart.</t>
        </is>
      </c>
      <c r="I180" s="25" t="inlineStr">
        <is>
          <t>Coupon giao hàng: -15.000đ phí giao. Coupon sản phẩm: -10% 1 SKU cụ thể.</t>
        </is>
      </c>
      <c r="J180" s="25" t="inlineStr">
        <is>
          <t>2 nhóm hiện TÁCH BIỆT rõ ràng (nhóm 'Coupon giao hàng' và nhóm 'Coupon đơn/sản phẩm'), mỗi nhóm đúng số tiền đã áp dụng từ Cart, không bị trộn lẫn hay mất coupon nào.</t>
        </is>
      </c>
      <c r="K180" s="25" t="inlineStr">
        <is>
          <t>Medium</t>
        </is>
      </c>
      <c r="L180" s="24" t="n"/>
      <c r="M180" s="24" t="inlineStr">
        <is>
          <t>Not Run</t>
        </is>
      </c>
      <c r="N180" s="24" t="n"/>
      <c r="O180" s="24" t="n"/>
      <c r="P180" s="25" t="inlineStr">
        <is>
          <t>QnA-17</t>
        </is>
      </c>
      <c r="Q180" s="25" t="n"/>
      <c r="R180" s="23" t="n"/>
    </row>
    <row r="181" hidden="1" ht="75" customHeight="1" s="19">
      <c r="A181" s="23" t="inlineStr">
        <is>
          <t>SCR-CHK-02-SC2-TC2</t>
        </is>
      </c>
      <c r="B181" s="23" t="inlineStr">
        <is>
          <t>SCR-CHK-02-SC2</t>
        </is>
      </c>
      <c r="C181" s="23" t="inlineStr">
        <is>
          <t>SCR-CHK-02</t>
        </is>
      </c>
      <c r="D181" s="23" t="inlineStr">
        <is>
          <t>CO-05</t>
        </is>
      </c>
      <c r="E181" s="23" t="inlineStr">
        <is>
          <t>Negative</t>
        </is>
      </c>
      <c r="F181" s="23" t="inlineStr">
        <is>
          <t>Coupon hết hạn/không đủ điều kiện áp dụng bị từ chối và không tính vào tổng</t>
        </is>
      </c>
      <c r="G181" s="23" t="inlineStr">
        <is>
          <t>Có sẵn 1 coupon test đã hết hạn hoặc không đủ điều kiện (ví dụ yêu cầu đơn tối thiểu cao hơn giá trị đơn hiện tại).</t>
        </is>
      </c>
      <c r="H181" s="23" t="inlineStr">
        <is>
          <t>1. Nhập mã coupon đã hết hạn, bấm áp dụng.
2. Quan sát thông báo lỗi.
3. Nhập mã coupon còn hạn nhưng đơn hàng hiện tại chưa đủ điều kiện tối thiểu, bấm áp dụng.
4. Quan sát thông báo lỗi và tổng tiền.</t>
        </is>
      </c>
      <c r="I181" s="23" t="inlineStr">
        <is>
          <t>Coupon hết hạn: mã test có sẵn (nếu môi trường có). Coupon có điều kiện tối thiểu: đơn hàng hiện tại thấp hơn ngưỡng yêu cầu của coupon.</t>
        </is>
      </c>
      <c r="J181" s="23" t="inlineStr">
        <is>
          <t>Cả 2 trường hợp đều bị từ chối với thông báo lỗi nêu rõ lý do (hết hạn / chưa đủ điều kiện tối thiểu); coupon KHÔNG được thêm vào danh sách đã áp dụng, tổng tiền không đổi.</t>
        </is>
      </c>
      <c r="K181" s="23" t="inlineStr">
        <is>
          <t>Medium</t>
        </is>
      </c>
      <c r="L181" s="24" t="n"/>
      <c r="M181" s="24" t="inlineStr">
        <is>
          <t>Not Run</t>
        </is>
      </c>
      <c r="N181" s="24" t="n"/>
      <c r="O181" s="24" t="n"/>
      <c r="P181" s="23" t="n"/>
      <c r="Q181" s="23" t="inlineStr">
        <is>
          <t>Bổ sung theo yêu cầu review 27/08/2026.</t>
        </is>
      </c>
      <c r="R181" s="23" t="n"/>
    </row>
    <row r="182" hidden="1" ht="180" customHeight="1" s="19">
      <c r="A182" s="23" t="inlineStr">
        <is>
          <t>SCR-CHK-02-SC2-TC3</t>
        </is>
      </c>
      <c r="B182" s="23" t="inlineStr">
        <is>
          <t>SCR-CHK-02-SC2</t>
        </is>
      </c>
      <c r="C182" s="23" t="inlineStr">
        <is>
          <t>SCR-CHK-02</t>
        </is>
      </c>
      <c r="D182" s="23" t="inlineStr">
        <is>
          <t>CO-05</t>
        </is>
      </c>
      <c r="E182" s="23" t="inlineStr">
        <is>
          <t>Negative</t>
        </is>
      </c>
      <c r="F182" s="23" t="inlineStr">
        <is>
          <t>Quét mã coupon bằng camera nhưng mã không hợp lệ/không tồn tại</t>
        </is>
      </c>
      <c r="G182" s="23" t="inlineStr">
        <is>
          <t>Đang ở phần Coupon tại SCR-CHK-02, có tuỳ chọn quét mã (camera/QR/barcode).</t>
        </is>
      </c>
      <c r="H182" s="23" t="inlineStr">
        <is>
          <t>1. Bấm biểu tượng quét mã coupon.
2. Quét 1 mã KHÔNG hợp lệ/không tồn tại trong hệ thống (hoặc 1 QR bất kỳ không phải mã coupon).
3. Quan sát thông báo lỗi.
4. Xác nhận tổng tiền không bị ảnh hưởng.</t>
        </is>
      </c>
      <c r="I182" s="23" t="inlineStr">
        <is>
          <t>Mã quét test: mã QR ngẫu nhiên không tồn tại trong hệ thống coupon.</t>
        </is>
      </c>
      <c r="J182" s="23" t="inlineStr">
        <is>
          <t>Hiện thông báo lỗi rõ ràng (mã không hợp lệ/không tìm thấy), không crash, không áp dụng nhầm giảm giá nào; tổng tiền giữ nguyên.</t>
        </is>
      </c>
      <c r="K182" s="23" t="inlineStr">
        <is>
          <t>Medium</t>
        </is>
      </c>
      <c r="L182" s="24" t="n"/>
      <c r="M182" s="24" t="inlineStr">
        <is>
          <t>Not Run</t>
        </is>
      </c>
      <c r="N182" s="24" t="n"/>
      <c r="O182" s="24" t="n"/>
      <c r="P182" s="23" t="n"/>
      <c r="Q182" s="23" t="n"/>
      <c r="R182" s="23" t="n"/>
    </row>
    <row r="183" hidden="1" ht="105" customHeight="1" s="19">
      <c r="A183" s="25" t="inlineStr">
        <is>
          <t>SCR-CHK-02-SC3-TC1</t>
        </is>
      </c>
      <c r="B183" s="25" t="inlineStr">
        <is>
          <t>SCR-CHK-02-SC3</t>
        </is>
      </c>
      <c r="C183" s="25" t="inlineStr">
        <is>
          <t>SCR-CHK-02</t>
        </is>
      </c>
      <c r="D183" s="25" t="inlineStr">
        <is>
          <t>CO-05</t>
        </is>
      </c>
      <c r="E183" s="25" t="inlineStr">
        <is>
          <t>Boundary</t>
        </is>
      </c>
      <c r="F183" s="25" t="inlineStr">
        <is>
          <t>Áp dụng toàn bộ điểm thưởng bằng 1 lần chạm đúng bằng số dư hiện có</t>
        </is>
      </c>
      <c r="G183" s="25" t="inlineStr">
        <is>
          <t>Tài khoản có 20.000 điểm khả dụng (quy đổi 1 điểm = 1đ, giả định để test - cần xác nhận tỷ lệ quy đổi thực tế).</t>
        </is>
      </c>
      <c r="H183" s="25" t="inlineStr">
        <is>
          <t>1. Quan sát số điểm khả dụng hiển thị (20.000 điểm).
2. Bấm nút 'Dùng toàn bộ điểm'.
3. Quan sát số điểm được áp dụng và số tiền được trừ trong tóm tắt.</t>
        </is>
      </c>
      <c r="I183" s="25" t="inlineStr">
        <is>
          <t>Số dư điểm: 20.000 điểm.</t>
        </is>
      </c>
      <c r="J183" s="25" t="inlineStr">
        <is>
          <t>Toàn bộ 20.000 điểm được áp dụng trong 1 lần chạm, tổng tiền giảm tương ứng đúng theo tỷ lệ quy đổi.</t>
        </is>
      </c>
      <c r="K183" s="25" t="inlineStr">
        <is>
          <t>Medium</t>
        </is>
      </c>
      <c r="L183" s="24" t="n"/>
      <c r="M183" s="24" t="inlineStr">
        <is>
          <t>Not Run</t>
        </is>
      </c>
      <c r="N183" s="24" t="n"/>
      <c r="O183" s="24" t="n"/>
      <c r="P183" s="25" t="inlineStr">
        <is>
          <t>QnA-20</t>
        </is>
      </c>
      <c r="Q183" s="25" t="n"/>
      <c r="R183" s="23" t="n"/>
    </row>
    <row r="184" hidden="1" ht="75" customHeight="1" s="19">
      <c r="A184" s="23" t="inlineStr">
        <is>
          <t>SCR-CHK-02-SC3-TC2</t>
        </is>
      </c>
      <c r="B184" s="23" t="inlineStr">
        <is>
          <t>SCR-CHK-02-SC3</t>
        </is>
      </c>
      <c r="C184" s="23" t="inlineStr">
        <is>
          <t>SCR-CHK-02</t>
        </is>
      </c>
      <c r="D184" s="23" t="inlineStr">
        <is>
          <t>CO-05</t>
        </is>
      </c>
      <c r="E184" s="23" t="inlineStr">
        <is>
          <t>Boundary</t>
        </is>
      </c>
      <c r="F184" s="23" t="inlineStr">
        <is>
          <t>Nhập tay số điểm vượt quá số dư hiện có bị chặn/điều chỉnh về đúng số dư</t>
        </is>
      </c>
      <c r="G184" s="23" t="inlineStr">
        <is>
          <t>Tài khoản có 20.000 điểm khả dụng.</t>
        </is>
      </c>
      <c r="H184" s="23" t="inlineStr">
        <is>
          <t>1. Ở ô nhập tay số điểm, nhập 1 giá trị VƯỢT số dư (ví dụ 25.000 điểm).
2. Bấm áp dụng / xác nhận.
3. GHI NHẬN hành vi thực tế: hệ thống chặn không cho áp dụng, tự động điều chỉnh về đúng 20.000 (số dư tối đa), hay chấp nhận sai và trừ vượt quá số dư.</t>
        </is>
      </c>
      <c r="I184" s="23" t="inlineStr">
        <is>
          <t>Số dư điểm: 20.000. Số điểm nhập tay để test: 25.000 (vượt số dư 5.000 điểm).</t>
        </is>
      </c>
      <c r="J184" s="23" t="inlineStr">
        <is>
          <t>Hệ thống KHÔNG được cho phép áp dụng nhiều hơn số dư thực có (25.000) - phải chặn nhập hoặc tự điều chỉnh về đúng 20.000; tuyệt đối không được để tài khoản bị trừ âm điểm hoặc trừ vượt số dư.</t>
        </is>
      </c>
      <c r="K184" s="23" t="inlineStr">
        <is>
          <t>High</t>
        </is>
      </c>
      <c r="L184" s="24" t="n"/>
      <c r="M184" s="24" t="inlineStr">
        <is>
          <t>Not Run</t>
        </is>
      </c>
      <c r="N184" s="24" t="n"/>
      <c r="O184" s="24" t="n"/>
      <c r="P184" s="23" t="n"/>
      <c r="Q184" s="23" t="inlineStr">
        <is>
          <t>Bổ sung theo yêu cầu review 27/08/2026 - SCR-CHK-02-SC3 trước đó chỉ test dùng hết số dư và nhập ít hơn, chưa test nhập VƯỢT số dư - đây là rủi ro tính tiền sai nếu không có validation.</t>
        </is>
      </c>
      <c r="R184" s="23" t="n"/>
    </row>
    <row r="185" hidden="1" ht="180" customHeight="1" s="19">
      <c r="A185" s="23" t="inlineStr">
        <is>
          <t>SCR-CHK-02-SC3-TC3</t>
        </is>
      </c>
      <c r="B185" s="23" t="inlineStr">
        <is>
          <t>SCR-CHK-02-SC3</t>
        </is>
      </c>
      <c r="C185" s="23" t="inlineStr">
        <is>
          <t>SCR-CHK-02</t>
        </is>
      </c>
      <c r="D185" s="23" t="inlineStr">
        <is>
          <t>CO-05</t>
        </is>
      </c>
      <c r="E185" s="23" t="inlineStr">
        <is>
          <t>Functional</t>
        </is>
      </c>
      <c r="F185" s="23" t="inlineStr">
        <is>
          <t>Nhập tay 1 số điểm hợp lệ (nhỏ hơn số dư) được áp dụng đúng theo tỷ lệ quy đổi</t>
        </is>
      </c>
      <c r="G185" s="23" t="inlineStr">
        <is>
          <t>Tài khoản có 20.000 điểm khả dụng.</t>
        </is>
      </c>
      <c r="H185" s="23" t="inlineStr">
        <is>
          <t>1. Bỏ chọn 'Dùng toàn bộ điểm' (nếu đang bật).
2. Ở ô nhập tay, nhập 1 giá trị hợp lệ nhỏ hơn số dư (ví dụ 5.000 điểm).
3. Bấm áp dụng.
4. Quan sát số tiền được trừ trong tóm tắt.</t>
        </is>
      </c>
      <c r="I185" s="23" t="inlineStr">
        <is>
          <t>Số dư điểm: 20.000. Số điểm nhập tay: 5.000 (hợp lệ).</t>
        </is>
      </c>
      <c r="J185" s="23" t="inlineStr">
        <is>
          <t>5.000 điểm được chấp nhận và áp dụng, số tiền trừ đúng theo tỷ lệ quy đổi hiện hành.</t>
        </is>
      </c>
      <c r="K185" s="23" t="inlineStr">
        <is>
          <t>Medium</t>
        </is>
      </c>
      <c r="L185" s="24" t="n"/>
      <c r="M185" s="24" t="inlineStr">
        <is>
          <t>Not Run</t>
        </is>
      </c>
      <c r="N185" s="24" t="n"/>
      <c r="O185" s="24" t="n"/>
      <c r="P185" s="23" t="n"/>
      <c r="Q185" s="23" t="n"/>
      <c r="R185" s="23" t="n"/>
    </row>
    <row r="186" hidden="1" ht="180" customHeight="1" s="19">
      <c r="A186" s="25" t="inlineStr">
        <is>
          <t>SCR-CHK-02-SC3-TC4</t>
        </is>
      </c>
      <c r="B186" s="25" t="inlineStr">
        <is>
          <t>SCR-CHK-02-SC3</t>
        </is>
      </c>
      <c r="C186" s="25" t="inlineStr">
        <is>
          <t>SCR-CHK-02</t>
        </is>
      </c>
      <c r="D186" s="25" t="inlineStr">
        <is>
          <t>CO-05</t>
        </is>
      </c>
      <c r="E186" s="25" t="inlineStr">
        <is>
          <t>Boundary</t>
        </is>
      </c>
      <c r="F186" s="25" t="inlineStr">
        <is>
          <t>Nhập số điểm dưới ngưỡng tối thiểu hoặc số lẻ không đúng quy định bị từ chối/điều chỉnh</t>
        </is>
      </c>
      <c r="G186" s="25" t="inlineStr">
        <is>
          <t>Tài khoản có 20.000 điểm khả dụng.</t>
        </is>
      </c>
      <c r="H186" s="25" t="inlineStr">
        <is>
          <t>1. Ở ô nhập tay, nhập 1 giá trị RẤT NHỎ (ví dụ 3 điểm, nếu hệ thống có quy định ngưỡng tối thiểu lớn hơn).
2. Bấm áp dụng, ghi nhận phản ứng.
3. Nhập 1 giá trị có SỐ LẺ không đúng bội số quy định (ví dụ 1.234 điểm nếu hệ thống chỉ cho áp dụng theo bội số 100/1.000).
4. Bấm áp dụng, ghi nhận phản ứng.</t>
        </is>
      </c>
      <c r="I186" s="25" t="inlineStr">
        <is>
          <t>3 điểm (dưới ngưỡng giả định); 1.234 điểm (số lẻ giả định không hợp bội số).</t>
        </is>
      </c>
      <c r="J186" s="25" t="inlineStr">
        <is>
          <t>[CẦN XÁC NHẬN - xem QnA-117, chưa rõ ngưỡng tối thiểu và quy tắc bội số chính thức] Ghi nhận hành vi thực tế: hệ thống có chặn/báo lỗi giá trị dưới ngưỡng tối thiểu không, có làm tròn số lẻ về bội số hợp lệ gần nhất hay từ chối hoàn toàn.</t>
        </is>
      </c>
      <c r="K186" s="25" t="inlineStr">
        <is>
          <t>Medium</t>
        </is>
      </c>
      <c r="L186" s="24" t="n"/>
      <c r="M186" s="24" t="inlineStr">
        <is>
          <t>Not Run</t>
        </is>
      </c>
      <c r="N186" s="24" t="n"/>
      <c r="O186" s="24" t="n"/>
      <c r="P186" s="25" t="inlineStr">
        <is>
          <t>QnA-117</t>
        </is>
      </c>
      <c r="Q186" s="25" t="n"/>
      <c r="R186" s="23" t="n"/>
    </row>
    <row r="187" hidden="1" ht="105" customHeight="1" s="19">
      <c r="A187" s="25" t="inlineStr">
        <is>
          <t>SCR-CHK-02-SC4-TC1</t>
        </is>
      </c>
      <c r="B187" s="25" t="inlineStr">
        <is>
          <t>SCR-CHK-02-SC4</t>
        </is>
      </c>
      <c r="C187" s="25" t="inlineStr">
        <is>
          <t>SCR-CHK-02</t>
        </is>
      </c>
      <c r="D187" s="25" t="inlineStr">
        <is>
          <t>CO-06</t>
        </is>
      </c>
      <c r="E187" s="25" t="inlineStr">
        <is>
          <t>Functional</t>
        </is>
      </c>
      <c r="F187" s="25" t="inlineStr">
        <is>
          <t>BNPL được pre-select tại Checkout nếu đã chọn ở Cart, và hiện badge khuyến mãi riêng</t>
        </is>
      </c>
      <c r="G187" s="25" t="inlineStr">
        <is>
          <t>Đã chọn BNPL làm phương thức thanh toán trong Cart, BNPL đang có 1 khuyến mãi badge.</t>
        </is>
      </c>
      <c r="H187" s="25" t="inlineStr">
        <is>
          <t>1. Từ Cart (đã chọn BNPL), bấm Proceed to Checkout.
2. Quan sát phần Phương thức thanh toán tại SCR-CHK-02.
3. Kiểm tra badge khuyến mãi gắn với BNPL.
4. Thử đổi sang MoMo, kiểm tra badge của MoMo (nếu có) khác với badge BNPL.</t>
        </is>
      </c>
      <c r="I187" s="25" t="inlineStr">
        <is>
          <t>Phương thức đã chọn trước: BNPL. Các phương thức khác: MoMo, ZaloPay, Thẻ.</t>
        </is>
      </c>
      <c r="J187" s="25" t="inlineStr">
        <is>
          <t>Bước 2: BNPL đã được chọn sẵn (không phải chọn lại từ đầu). Bước 3-4: mỗi phương thức mang badge khuyến mãi riêng của nó, không dùng chung 1 badge.</t>
        </is>
      </c>
      <c r="K187" s="25" t="inlineStr">
        <is>
          <t>Medium</t>
        </is>
      </c>
      <c r="L187" s="24" t="n"/>
      <c r="M187" s="24" t="inlineStr">
        <is>
          <t>Not Run</t>
        </is>
      </c>
      <c r="N187" s="24" t="n"/>
      <c r="O187" s="24" t="n"/>
      <c r="P187" s="25" t="inlineStr">
        <is>
          <t>QnA-35</t>
        </is>
      </c>
      <c r="Q187" s="25" t="n"/>
      <c r="R187" s="23" t="n"/>
    </row>
    <row r="188" hidden="1" ht="135" customHeight="1" s="19">
      <c r="A188" s="23" t="inlineStr">
        <is>
          <t>SCR-CHK-02-SC5-TC1</t>
        </is>
      </c>
      <c r="B188" s="23" t="inlineStr">
        <is>
          <t>SCR-CHK-02-SC5</t>
        </is>
      </c>
      <c r="C188" s="23" t="inlineStr">
        <is>
          <t>SCR-CHK-02</t>
        </is>
      </c>
      <c r="D188" s="23" t="inlineStr">
        <is>
          <t>CO-08, CO-10</t>
        </is>
      </c>
      <c r="E188" s="23" t="inlineStr">
        <is>
          <t>Functional</t>
        </is>
      </c>
      <c r="F188" s="23" t="inlineStr">
        <is>
          <t>Tóm tắt thanh toán hiện đủ dòng (kể cả dòng = 0) và Đặt hàng thành công</t>
        </is>
      </c>
      <c r="G188" s="23" t="inlineStr">
        <is>
          <t>Đơn hàng hợp lệ: không có phụ phí bulky, không đóng gói carton, không gift card, có 1 coupon giảm giá sản phẩm.</t>
        </is>
      </c>
      <c r="H188" s="23" t="inlineStr">
        <is>
          <t>1. Cuộn xem toàn bộ tóm tắt thanh toán cuối cùng.
2. Đối chiếu từng dòng: giá trị đơn hàng, phí nylon, phí giao hàng, phụ phí bulky, giảm giá sản phẩm, giảm giá giao hàng, số tiền phải trả, điểm dự kiến.
3. Bấm 'Đặt hàng'.
4. Quan sát kết quả.</t>
        </is>
      </c>
      <c r="I188" s="23" t="inlineStr">
        <is>
          <t>Đơn hàng mẫu không có phụ phí bulky/carton/giftcard, chỉ có 1 coupon sản phẩm.</t>
        </is>
      </c>
      <c r="J188" s="23" t="inlineStr">
        <is>
          <t>Bước 2: TẤT CẢ các dòng đều hiển thị kể cả những dòng = 0đ (phụ phí bulky = 0đ, phí carton = 0đ, gift card = 0đ) - không ẩn dòng nào. Bước 4: đơn hàng được đặt thành công, hiện màn xác nhận/mã đơn hàng.</t>
        </is>
      </c>
      <c r="K188" s="23" t="inlineStr">
        <is>
          <t>High</t>
        </is>
      </c>
      <c r="L188" s="24" t="n"/>
      <c r="M188" s="24" t="inlineStr">
        <is>
          <t>Not Run</t>
        </is>
      </c>
      <c r="N188" s="24" t="n"/>
      <c r="O188" s="24" t="n"/>
      <c r="P188" s="23" t="n"/>
      <c r="Q188" s="23" t="n"/>
      <c r="R188" s="23" t="inlineStr">
        <is>
          <t>[Review trước đó — ĐÃ ĐƯỢC XỬ LÝ MỘT PHẦN] Gap 'giỏ hàng rỗng không vào được Checkout' đã được bổ sung bằng test case mới SCR-CHK-01-SC1-TC2. Tuy nhiên Expected Result của TC5 này vẫn CHƯA nêu đích danh dòng 'túi nylon' (nylon bag) mà BRL-34 liệt kê rõ là 1 dòng bắt buộc trong tóm tắt thanh toán — nên bổ sung khẳng định rõ dòng này có xuất hiện (kể cả khi = 0đ), tương tự cách test đã làm với phụ phí bulky/carton/giftcard.</t>
        </is>
      </c>
    </row>
    <row r="189" hidden="1" ht="75" customHeight="1" s="19">
      <c r="A189" s="23" t="inlineStr">
        <is>
          <t>SCR-CHK-02-SC5-TC2</t>
        </is>
      </c>
      <c r="B189" s="23" t="inlineStr">
        <is>
          <t>SCR-CHK-02-SC5</t>
        </is>
      </c>
      <c r="C189" s="23" t="inlineStr">
        <is>
          <t>SCR-CHK-02</t>
        </is>
      </c>
      <c r="D189" s="23" t="inlineStr">
        <is>
          <t>CO-08, CO-10</t>
        </is>
      </c>
      <c r="E189" s="23" t="inlineStr">
        <is>
          <t>Negative</t>
        </is>
      </c>
      <c r="F189" s="23" t="inlineStr">
        <is>
          <t>Thanh toán bị từ chối (thẻ/ví lỗi) lúc bấm Đặt hàng - giữ nguyên giỏ hàng, cho đổi phương thức khác</t>
        </is>
      </c>
      <c r="G189" s="23" t="inlineStr">
        <is>
          <t>Đơn hàng hợp lệ, đã chọn 1 phương thức thanh toán được giả lập trả về lỗi/từ chối giao dịch.</t>
        </is>
      </c>
      <c r="H189" s="23" t="inlineStr">
        <is>
          <t>1. Chọn phương thức thanh toán được giả lập lỗi (ví dụ thẻ hết hạn/không đủ số dư ví).
2. Bấm 'Đặt hàng'.
3. Quan sát thông báo lỗi.
4. Kiểm tra đơn hàng/giỏ hàng có còn nguyên không.
5. Đổi sang phương thức thanh toán khác hợp lệ, bấm lại 'Đặt hàng'.</t>
        </is>
      </c>
      <c r="I189" s="23" t="inlineStr">
        <is>
          <t>Phương thức thanh toán giả lập lỗi: thẻ test bị từ chối / ví không đủ số dư.</t>
        </is>
      </c>
      <c r="J189" s="23" t="inlineStr">
        <is>
          <t>Bước 3: thông báo lỗi thanh toán rõ ràng, KHÔNG hiện màn xác nhận đặt hàng thành công. Bước 4: toàn bộ đơn hàng (sản phẩm, coupon, điểm đã áp dụng, địa chỉ/slot) VẪN CÒN NGUYÊN, không bị mất/reset về giỏ hàng trống. Bước 5: đổi phương thức khác và đặt lại thành công bình thường.</t>
        </is>
      </c>
      <c r="K189" s="23" t="inlineStr">
        <is>
          <t>High</t>
        </is>
      </c>
      <c r="L189" s="24" t="n"/>
      <c r="M189" s="24" t="inlineStr">
        <is>
          <t>Not Run</t>
        </is>
      </c>
      <c r="N189" s="24" t="n"/>
      <c r="O189" s="24" t="n"/>
      <c r="P189" s="23" t="n"/>
      <c r="Q189" s="23" t="inlineStr">
        <is>
          <t>Bổ sung theo yêu cầu review 27/08/2026 - SCR-CHK-02-SC5 trước đó chỉ test luồng đặt hàng THÀNH CÔNG, chưa test khi thanh toán bị từ chối - rủi ro cao nếu mất dữ liệu đơn hàng khi thanh toán lỗi.</t>
        </is>
      </c>
      <c r="R189" s="23" t="n"/>
    </row>
    <row r="190" hidden="1" ht="105" customHeight="1" s="19">
      <c r="A190" s="25" t="inlineStr">
        <is>
          <t>SCR-CHK-02-SC6-TC1</t>
        </is>
      </c>
      <c r="B190" s="25" t="inlineStr">
        <is>
          <t>SCR-CHK-02-SC6</t>
        </is>
      </c>
      <c r="C190" s="25" t="inlineStr">
        <is>
          <t>SCR-CHK-02</t>
        </is>
      </c>
      <c r="D190" s="25" t="inlineStr">
        <is>
          <t>CO-09</t>
        </is>
      </c>
      <c r="E190" s="25" t="inlineStr">
        <is>
          <t>Functional</t>
        </is>
      </c>
      <c r="F190" s="25" t="inlineStr">
        <is>
          <t>3 liên kết chính sách tại Checkout hiển thị và mở được</t>
        </is>
      </c>
      <c r="G190" s="25" t="inlineStr">
        <is>
          <t>Đang ở màn Checkout (SCR-CHK-02), đơn hàng hợp lệ.</t>
        </is>
      </c>
      <c r="H190" s="25" t="inlineStr">
        <is>
          <t>1. Chạm liên kết 'Chính sách đổi/trả', xác nhận mở được (trang/màn hình mới hiện ra, không lỗi 404/trống).
2. Quay lại Checkout, chạm liên kết 'Chính sách mua hàng', xác nhận mở được.
3. Quay lại Checkout, chạm liên kết 'Chính sách bảo mật', xác nhận mở được.</t>
        </is>
      </c>
      <c r="I190" s="25" t="inlineStr">
        <is>
          <t>N/A (kiểm tra liên kết tồn tại và mở được, chưa kiểm tra nội dung chi tiết vì đang chờ Legal xác nhận - QnA-21).</t>
        </is>
      </c>
      <c r="J190" s="25" t="inlineStr">
        <is>
          <t>Cả 3 liên kết đều hiện diện tại Checkout và mở được khi chạm, không link nào bị vỡ hay trống trơn. Test này CHƯA xác nhận nội dung chính sách cuối cùng (QnA-21 vẫn Open) - chỉ xác nhận cơ chế liên kết hoạt động.</t>
        </is>
      </c>
      <c r="K190" s="25" t="inlineStr">
        <is>
          <t>Medium</t>
        </is>
      </c>
      <c r="L190" s="24" t="n"/>
      <c r="M190" s="24" t="inlineStr">
        <is>
          <t>Not Run</t>
        </is>
      </c>
      <c r="N190" s="24" t="n"/>
      <c r="O190" s="24" t="n"/>
      <c r="P190" s="25" t="inlineStr">
        <is>
          <t>QnA-21</t>
        </is>
      </c>
      <c r="Q190" s="25" t="inlineStr">
        <is>
          <t>Bổ sung theo Review 26/08/2026 - đóng gap 'CO-09 chưa có test case nào' trong Review - Gaps &amp; Issues.</t>
        </is>
      </c>
      <c r="R190" s="23" t="n"/>
    </row>
    <row r="191" ht="75" customHeight="1" s="19">
      <c r="A191" s="23" t="inlineStr">
        <is>
          <t>SCR-CHK-02-SC7-TC1</t>
        </is>
      </c>
      <c r="B191" s="23" t="inlineStr">
        <is>
          <t>SCR-CHK-02-SC7</t>
        </is>
      </c>
      <c r="C191" s="23" t="inlineStr">
        <is>
          <t>SCR-CHK-02</t>
        </is>
      </c>
      <c r="D191" s="23" t="inlineStr">
        <is>
          <t>CO-07</t>
        </is>
      </c>
      <c r="E191" s="23" t="inlineStr">
        <is>
          <t>Normal</t>
        </is>
      </c>
      <c r="F191" s="23" t="inlineStr">
        <is>
          <t>Bật yêu cầu xuất hoá đơn VAT, nhập đủ thông tin hợp lệ</t>
        </is>
      </c>
      <c r="G191" s="23" t="inlineStr">
        <is>
          <t>Đang ở SCR-CHK-02 bước 2 (VAT invoice, final summary), toggle VAT đang tắt (mặc định).</t>
        </is>
      </c>
      <c r="H191" s="23" t="inlineStr">
        <is>
          <t>1. Bật toggle 'VAT invoice'.
2. Quan sát 3 trường hiện ra: Company, Tax code, Company address.
3. Nhập đầy đủ thông tin hợp lệ vào cả 3 trường.
4. Cuộn xuống kiểm tra Payment Summary không đổi, bấm 'Place order'.</t>
        </is>
      </c>
      <c r="I191" s="23" t="inlineStr">
        <is>
          <t>Company='Công ty TNHH ABC', Tax code='0312345678', Company address='123 Nguyễn Huệ, Q.1, TP.HCM'.</t>
        </is>
      </c>
      <c r="J191" s="23" t="inlineStr">
        <is>
          <t>Bật toggle hiện đúng 3 trường; nhập đủ thông tin không lỗi; Payment Summary giữ nguyên không đổi; đặt hàng thành công, thông tin hoá đơn gắn đúng vào đơn hàng (theo INT-11).</t>
        </is>
      </c>
      <c r="K191" s="23" t="inlineStr">
        <is>
          <t>Medium</t>
        </is>
      </c>
      <c r="L191" s="24" t="n"/>
      <c r="M191" s="24" t="inlineStr">
        <is>
          <t>Not Run</t>
        </is>
      </c>
      <c r="N191" s="24" t="n"/>
      <c r="O191" s="24" t="n"/>
      <c r="P191" s="23" t="n"/>
      <c r="Q191" s="23" t="inlineStr">
        <is>
          <t>Bổ sung theo yêu cầu review 28/08/2026 - đóng gap CO-07 chỉ có test Integration (INT-11), chưa có test Functional/UI.</t>
        </is>
      </c>
      <c r="R191" s="23" t="n"/>
    </row>
    <row r="192" ht="75" customHeight="1" s="19">
      <c r="A192" s="25" t="inlineStr">
        <is>
          <t>SCR-CHK-02-SC8-TC1</t>
        </is>
      </c>
      <c r="B192" s="25" t="inlineStr">
        <is>
          <t>SCR-CHK-02-SC8</t>
        </is>
      </c>
      <c r="C192" s="25" t="inlineStr">
        <is>
          <t>SCR-CHK-02</t>
        </is>
      </c>
      <c r="D192" s="25" t="inlineStr">
        <is>
          <t>CO-07</t>
        </is>
      </c>
      <c r="E192" s="25" t="inlineStr">
        <is>
          <t>Validation</t>
        </is>
      </c>
      <c r="F192" s="25" t="inlineStr">
        <is>
          <t>Bật yêu cầu xuất hoá đơn nhưng để trống/sai định dạng Tax code - TBD chờ QnA-19</t>
        </is>
      </c>
      <c r="G192" s="25" t="inlineStr">
        <is>
          <t>Đang ở SCR-CHK-02, toggle VAT invoice đang bật.</t>
        </is>
      </c>
      <c r="H192" s="25" t="inlineStr">
        <is>
          <t>1. Bật toggle 'VAT invoice', để trống trường Tax code, điền Company và Company address.
2. Thử bấm 'Place order', ghi nhận có bị chặn không, thông báo gì.
3. Nhập Tax code sai định dạng (ví dụ chứa chữ cái 'ABC123'), thử bấm 'Place order' lại.
4. Ghi nhận trường nào (Company/Tax code/Company address) thực sự bắt buộc.</t>
        </is>
      </c>
      <c r="I192" s="25" t="inlineStr">
        <is>
          <t>Tax code để trống, rồi 'ABC123' (sai định dạng).</t>
        </is>
      </c>
      <c r="J192" s="25" t="inlineStr">
        <is>
          <t>TBD - SRS chưa xác nhận trường bắt buộc/định dạng hợp lệ (OQ-19/QnA-19). Người thực thi KHÔNG tự ý chấm Pass/Fail - chỉ ghi nhận hành vi thực tế.</t>
        </is>
      </c>
      <c r="K192" s="25" t="inlineStr">
        <is>
          <t>Low</t>
        </is>
      </c>
      <c r="L192" s="24" t="n"/>
      <c r="M192" s="24" t="inlineStr">
        <is>
          <t>Not Run</t>
        </is>
      </c>
      <c r="N192" s="24" t="n"/>
      <c r="O192" s="24" t="n"/>
      <c r="P192" s="25" t="inlineStr">
        <is>
          <t>QnA-19</t>
        </is>
      </c>
      <c r="Q192" s="25" t="inlineStr">
        <is>
          <t>Bổ sung theo yêu cầu review 28/08/2026.</t>
        </is>
      </c>
      <c r="R192" s="23" t="n"/>
    </row>
    <row r="193" ht="180" customHeight="1" s="19">
      <c r="A193" s="23" t="inlineStr">
        <is>
          <t>SCR-CHK-02-SC9-TC1</t>
        </is>
      </c>
      <c r="B193" s="23" t="inlineStr">
        <is>
          <t>SCR-CHK-02-SC9</t>
        </is>
      </c>
      <c r="C193" s="23" t="inlineStr">
        <is>
          <t>SCR-CHK-02</t>
        </is>
      </c>
      <c r="D193" s="23" t="inlineStr">
        <is>
          <t>CO-05, CO-08</t>
        </is>
      </c>
      <c r="E193" s="23" t="inlineStr">
        <is>
          <t>Functional</t>
        </is>
      </c>
      <c r="F193" s="23" t="inlineStr">
        <is>
          <t>Back về Cart sau khi đã áp voucher/điểm ở Checkout - không bị trừ lượt vì chưa đặt đơn</t>
        </is>
      </c>
      <c r="G193" s="23" t="inlineStr">
        <is>
          <t>Tại SCR-CHK-02, đã áp dụng 1 coupon và 1 lượng điểm thưởng vào đơn hàng (chưa bấm Đặt hàng).</t>
        </is>
      </c>
      <c r="H193" s="23" t="inlineStr">
        <is>
          <t>1. Ghi nhận coupon đã áp + số điểm đã dùng + số lượt sử dụng còn lại của coupon/số điểm khả dụng của tài khoản (baseline).
2. Bấm back về Cart (chưa Đặt hàng).
3. Kiểm tra lại số lượt sử dụng còn lại của coupon và số điểm khả dụng của tài khoản.</t>
        </is>
      </c>
      <c r="I193" s="23" t="inlineStr">
        <is>
          <t>Coupon test có giới hạn lượt sử dụng (ví dụ còn 1 lượt); điểm thưởng: 20.000 điểm khả dụng.</t>
        </is>
      </c>
      <c r="J193" s="23" t="inlineStr">
        <is>
          <t>Vì đơn hàng CHƯA được đặt (chưa Place order), lượt sử dụng coupon và số điểm khả dụng của tài khoản KHÔNG bị trừ/tính dùng - vẫn giữ nguyên số lượt/số điểm như trước khi vào Checkout.</t>
        </is>
      </c>
      <c r="K193" s="23" t="inlineStr">
        <is>
          <t>High</t>
        </is>
      </c>
      <c r="L193" s="24" t="n"/>
      <c r="M193" s="24" t="inlineStr">
        <is>
          <t>Not Run</t>
        </is>
      </c>
      <c r="N193" s="24" t="n"/>
      <c r="O193" s="24" t="n"/>
      <c r="P193" s="23" t="n"/>
      <c r="Q193" s="23" t="n"/>
      <c r="R193" s="23" t="n"/>
    </row>
    <row r="194" ht="180" customHeight="1" s="19">
      <c r="A194" s="25" t="inlineStr">
        <is>
          <t>SCR-CHK-02-SC10-TC1</t>
        </is>
      </c>
      <c r="B194" s="25" t="inlineStr">
        <is>
          <t>SCR-CHK-02-SC10</t>
        </is>
      </c>
      <c r="C194" s="25" t="inlineStr">
        <is>
          <t>SCR-CHK-02</t>
        </is>
      </c>
      <c r="D194" s="25" t="inlineStr">
        <is>
          <t>CO-08</t>
        </is>
      </c>
      <c r="E194" s="25" t="inlineStr">
        <is>
          <t>Validation</t>
        </is>
      </c>
      <c r="F194" s="25" t="inlineStr">
        <is>
          <t>Section 'Điểm sẽ nhận được từ đơn hàng này' hiển thị đúng tại Checkout</t>
        </is>
      </c>
      <c r="G194" s="25" t="inlineStr">
        <is>
          <t>Đơn hàng hợp lệ, giá trị đủ để tích điểm theo rule hiện hành.</t>
        </is>
      </c>
      <c r="H194" s="25" t="inlineStr">
        <is>
          <t>1. Cuộn xem tóm tắt thanh toán tại SCR-CHK-02, tìm section điểm dự kiến nhận được.
2. Đối chiếu số điểm hiển thị với công thức tích điểm đã biết (nếu có).
3. Thay đổi giá trị đơn hàng (thêm/bớt SKU) và kiểm tra số điểm dự kiến có cập nhật lại tương ứng không.</t>
        </is>
      </c>
      <c r="I194" s="25" t="inlineStr">
        <is>
          <t>Đơn hàng mẫu, giá trị đủ điều kiện tích điểm.</t>
        </is>
      </c>
      <c r="J194" s="25" t="inlineStr">
        <is>
          <t>[CẦN XÁC NHẬN - xem QnA-20, hiện đang Open] Section hiển thị rõ số điểm dự kiến nhận được, cập nhật động khi giá trị đơn hàng thay đổi (thêm/bớt SKU, áp/gỡ coupon).</t>
        </is>
      </c>
      <c r="K194" s="25" t="inlineStr">
        <is>
          <t>Medium</t>
        </is>
      </c>
      <c r="L194" s="24" t="n"/>
      <c r="M194" s="24" t="inlineStr">
        <is>
          <t>Not Run</t>
        </is>
      </c>
      <c r="N194" s="24" t="n"/>
      <c r="O194" s="24" t="n"/>
      <c r="P194" s="25" t="inlineStr">
        <is>
          <t>QnA-20</t>
        </is>
      </c>
      <c r="Q194" s="25" t="n"/>
      <c r="R194" s="23" t="n"/>
    </row>
    <row r="195" ht="75" customHeight="1" s="19">
      <c r="A195" s="23" t="inlineStr">
        <is>
          <t>SCR-CHK-03-SC1-TC1</t>
        </is>
      </c>
      <c r="B195" s="23" t="inlineStr">
        <is>
          <t>SCR-CHK-03-SC1</t>
        </is>
      </c>
      <c r="C195" s="23" t="inlineStr">
        <is>
          <t>SCR-CHK-03</t>
        </is>
      </c>
      <c r="D195" s="23" t="inlineStr">
        <is>
          <t>CO-01</t>
        </is>
      </c>
      <c r="E195" s="23" t="inlineStr">
        <is>
          <t>Functional</t>
        </is>
      </c>
      <c r="F195" s="23" t="inlineStr">
        <is>
          <t>Biến thể Pickup không hiện dòng phí giao hàng trong tóm tắt thanh toán</t>
        </is>
      </c>
      <c r="G195" s="23" t="inlineStr">
        <is>
          <t>Đơn hàng được tạo từ nhánh Pickup, giá trị đơn hàng dưới ngưỡng freeship (để loại trừ khả năng tính cờ đủ freeship).</t>
        </is>
      </c>
      <c r="H195" s="23" t="inlineStr">
        <is>
          <t>1. Vào SCR-CHK-03 cho đơn Pickup.
2. Quan sát khối thông tin thu thập (store/địa chỉ/khoảng cách/khung giờ).
3. Cuộn xem tóm tắt thanh toán, tìm dòng phí giao hàng.</t>
        </is>
      </c>
      <c r="I195" s="23" t="inlineStr">
        <is>
          <t>Đơn hàng Pickup, giá trị dưới 150.000đ.</t>
        </is>
      </c>
      <c r="J195" s="23" t="inlineStr">
        <is>
          <t>Khối thu thập hiện đủ thông tin cần thiết ở trạng thái khoá (read-only). Tóm tắt thanh toán KHÔNG có dòng phí giao hàng nào (khác với đơn Delivery sẽ hiện dòng này, có thể là 0đ hoặc có giá trị).</t>
        </is>
      </c>
      <c r="K195" s="23" t="inlineStr">
        <is>
          <t>Medium</t>
        </is>
      </c>
      <c r="L195" s="24" t="n"/>
      <c r="M195" s="24" t="inlineStr">
        <is>
          <t>Not Run</t>
        </is>
      </c>
      <c r="N195" s="24" t="n"/>
      <c r="O195" s="24" t="n"/>
      <c r="P195" s="23" t="n"/>
      <c r="Q195" s="23" t="n"/>
      <c r="R195" s="23" t="n"/>
    </row>
    <row r="196" ht="180" customHeight="1" s="19">
      <c r="A196" s="23" t="inlineStr">
        <is>
          <t>SCR-CHK-03-SC1-TC2</t>
        </is>
      </c>
      <c r="B196" s="23" t="inlineStr">
        <is>
          <t>SCR-CHK-03-SC1</t>
        </is>
      </c>
      <c r="C196" s="23" t="inlineStr">
        <is>
          <t>SCR-CHK-03</t>
        </is>
      </c>
      <c r="D196" s="23" t="inlineStr">
        <is>
          <t>CO-01</t>
        </is>
      </c>
      <c r="E196" s="23" t="inlineStr">
        <is>
          <t>Validation</t>
        </is>
      </c>
      <c r="F196" s="23" t="inlineStr">
        <is>
          <t>Thông tin hiển thị tại SCR-CHK-03 khớp chính xác với lựa chọn đã nhập/chọn ở các bước trước</t>
        </is>
      </c>
      <c r="G196" s="23" t="inlineStr">
        <is>
          <t>Đơn hàng đã hoàn tất chọn địa chỉ/store/slot, phương thức thanh toán, coupon, điểm ở các bước trước.</t>
        </is>
      </c>
      <c r="H196" s="23" t="inlineStr">
        <is>
          <t>1. Ghi nhận toàn bộ giá trị đã chọn ở Cart/Checkout trước đó (địa chỉ, store, slot, phương thức thanh toán, coupon, điểm, tổng tiền).
2. Vào SCR-CHK-03 (khối thông tin khoá + tóm tắt cuối).
3. Đối chiếu từng giá trị hiển thị với ghi nhận ở bước 1.</t>
        </is>
      </c>
      <c r="I196" s="23" t="inlineStr">
        <is>
          <t>Bộ giá trị đầy đủ ghi nhận từ các bước trước làm baseline so sánh.</t>
        </is>
      </c>
      <c r="J196" s="23" t="inlineStr">
        <is>
          <t>TOÀN BỘ thông tin hiển thị tại SCR-CHK-03 khớp CHÍNH XÁC 100% với các lựa chọn đã thực hiện trước đó - không có giá trị nào bị sai lệch, làm tròn khác, hoặc hiển thị nhầm dữ liệu mặc định.</t>
        </is>
      </c>
      <c r="K196" s="23" t="inlineStr">
        <is>
          <t>High</t>
        </is>
      </c>
      <c r="L196" s="24" t="n"/>
      <c r="M196" s="24" t="inlineStr">
        <is>
          <t>Not Run</t>
        </is>
      </c>
      <c r="N196" s="24" t="n"/>
      <c r="O196" s="24" t="n"/>
      <c r="P196" s="23" t="n"/>
      <c r="Q196" s="23" t="n"/>
      <c r="R196" s="23" t="n"/>
    </row>
    <row r="197" ht="75" customHeight="1" s="19">
      <c r="A197" s="23" t="inlineStr">
        <is>
          <t>SCR-CHK-03-SC2-TC1</t>
        </is>
      </c>
      <c r="B197" s="23" t="inlineStr">
        <is>
          <t>SCR-CHK-03-SC2</t>
        </is>
      </c>
      <c r="C197" s="23" t="inlineStr">
        <is>
          <t>SCR-CHK-03</t>
        </is>
      </c>
      <c r="D197" s="23" t="inlineStr">
        <is>
          <t>CO-01, CT-09</t>
        </is>
      </c>
      <c r="E197" s="23" t="inlineStr">
        <is>
          <t>Boundary</t>
        </is>
      </c>
      <c r="F197" s="23" t="inlineStr">
        <is>
          <t>Nhất quán với Cart: tiền mặt khi Pickup chỉ hiện với tài khoản đủ điều kiện tier</t>
        </is>
      </c>
      <c r="G197" s="23" t="inlineStr">
        <is>
          <t>Đơn Pickup, 2 tài khoản: A (Platinum), B (tier thường) - đã xác định tuỳ chọn tiền mặt trong Cart ở test SCR-CRT-04-SC2-TC1.</t>
        </is>
      </c>
      <c r="H197" s="23" t="inlineStr">
        <is>
          <t>1. Với tài khoản A, vào SCR-CHK-03, kiểm tra danh sách phương thức thanh toán.
2. Với tài khoản B, lặp lại.
3. Đối chiếu kết quả với hành vi đã ghi nhận trong Cart (SCR-CRT-04).</t>
        </is>
      </c>
      <c r="I197" s="23" t="inlineStr">
        <is>
          <t>Tài khoản A: Platinum. Tài khoản B: tier thường.</t>
        </is>
      </c>
      <c r="J197" s="23" t="inlineStr">
        <is>
          <t>Kết quả tại Checkout phải NHẤT QUÁN với Cart: tài khoản A thấy tuỳ chọn tiền mặt, tài khoản B không thấy; không có trường hợp Cart cho phép nhưng Checkout lại chặn hoặc ngược lại.</t>
        </is>
      </c>
      <c r="K197" s="23" t="inlineStr">
        <is>
          <t>High</t>
        </is>
      </c>
      <c r="L197" s="24" t="n"/>
      <c r="M197" s="24" t="inlineStr">
        <is>
          <t>Not Run</t>
        </is>
      </c>
      <c r="N197" s="24" t="n"/>
      <c r="O197" s="24" t="n"/>
      <c r="P197" s="23" t="n"/>
      <c r="Q197" s="23" t="n"/>
      <c r="R197" s="23" t="n"/>
    </row>
    <row r="198" ht="180" customHeight="1" s="19">
      <c r="A198" s="23" t="inlineStr">
        <is>
          <t>SCR-CHK-03-SC3-TC1</t>
        </is>
      </c>
      <c r="B198" s="23" t="inlineStr">
        <is>
          <t>SCR-CHK-03-SC3</t>
        </is>
      </c>
      <c r="C198" s="23" t="inlineStr">
        <is>
          <t>SCR-CHK-03</t>
        </is>
      </c>
      <c r="D198" s="23" t="inlineStr">
        <is>
          <t>CO-01</t>
        </is>
      </c>
      <c r="E198" s="23" t="inlineStr">
        <is>
          <t>Functional</t>
        </is>
      </c>
      <c r="F198" s="23" t="inlineStr">
        <is>
          <t>Màn 'Đặt hàng thành công' hiển thị đủ và đúng tóm tắt đơn hàng</t>
        </is>
      </c>
      <c r="G198" s="23" t="inlineStr">
        <is>
          <t>Vừa đặt hàng thành công từ SCR-CHK-03.</t>
        </is>
      </c>
      <c r="H198" s="23" t="inlineStr">
        <is>
          <t>1. Quan sát toàn bộ nội dung màn 'Đặt hàng thành công'.
2. Đối chiếu mã đơn hàng, tổng tiền, số SKU, phương thức thanh toán, địa chỉ/store/slot với đơn hàng vừa đặt.</t>
        </is>
      </c>
      <c r="I198" s="23" t="inlineStr">
        <is>
          <t>Đơn hàng mẫu vừa đặt thành công.</t>
        </is>
      </c>
      <c r="J198" s="23" t="inlineStr">
        <is>
          <t>Màn hình hiển thị đầy đủ và chính xác: mã đơn hàng, tổng tiền đã thanh toán, tóm tắt sản phẩm (số lượng SKU), phương thức thanh toán đã chọn, thông tin giao/nhận (địa chỉ/store/slot) - khớp 100% với đơn hàng vừa đặt.</t>
        </is>
      </c>
      <c r="K198" s="23" t="inlineStr">
        <is>
          <t>High</t>
        </is>
      </c>
      <c r="L198" s="24" t="n"/>
      <c r="M198" s="24" t="inlineStr">
        <is>
          <t>Not Run</t>
        </is>
      </c>
      <c r="N198" s="24" t="n"/>
      <c r="O198" s="24" t="n"/>
      <c r="P198" s="23" t="n"/>
      <c r="Q198" s="23" t="n"/>
      <c r="R198" s="23" t="n"/>
    </row>
    <row r="199" ht="180" customHeight="1" s="19">
      <c r="A199" s="23" t="inlineStr">
        <is>
          <t>SCR-CHK-03-SC3-TC2</t>
        </is>
      </c>
      <c r="B199" s="23" t="inlineStr">
        <is>
          <t>SCR-CHK-03-SC3</t>
        </is>
      </c>
      <c r="C199" s="23" t="inlineStr">
        <is>
          <t>SCR-CHK-03</t>
        </is>
      </c>
      <c r="D199" s="23" t="inlineStr">
        <is>
          <t>CO-01</t>
        </is>
      </c>
      <c r="E199" s="23" t="inlineStr">
        <is>
          <t>Functional</t>
        </is>
      </c>
      <c r="F199" s="23" t="inlineStr">
        <is>
          <t>2 nút 'Theo dõi đơn hàng' và 'Tiếp tục mua sắm' điều hướng đúng</t>
        </is>
      </c>
      <c r="G199" s="23" t="inlineStr">
        <is>
          <t>Đang ở màn 'Đặt hàng thành công'.</t>
        </is>
      </c>
      <c r="H199" s="23" t="inlineStr">
        <is>
          <t>1. Bấm 'Theo dõi đơn hàng', quan sát màn hình được mở.
2. Quay lại (hoặc đặt đơn mới), bấm 'Tiếp tục mua sắm', quan sát màn hình được mở.</t>
        </is>
      </c>
      <c r="I199" s="23" t="inlineStr">
        <is>
          <t>N/A.</t>
        </is>
      </c>
      <c r="J199" s="23" t="inlineStr">
        <is>
          <t>'Theo dõi đơn hàng' mở đúng màn chi tiết/trạng thái của ĐÚNG đơn hàng vừa đặt (không phải danh sách chung chung); 'Tiếp tục mua sắm' đưa khách về Homepage/màn duyệt sản phẩm, giỏ hàng lúc này phải TRỐNG (không giữ lại sản phẩm vừa đặt).</t>
        </is>
      </c>
      <c r="K199" s="23" t="inlineStr">
        <is>
          <t>Medium</t>
        </is>
      </c>
      <c r="L199" s="24" t="n"/>
      <c r="M199" s="24" t="inlineStr">
        <is>
          <t>Not Run</t>
        </is>
      </c>
      <c r="N199" s="24" t="n"/>
      <c r="O199" s="24" t="n"/>
      <c r="P199" s="23" t="n"/>
      <c r="Q199" s="23" t="n"/>
      <c r="R199" s="23" t="n"/>
    </row>
    <row r="200" ht="180" customHeight="1" s="19">
      <c r="A200" s="25" t="inlineStr">
        <is>
          <t>SCR-CHK-03-SC3-TC3</t>
        </is>
      </c>
      <c r="B200" s="25" t="inlineStr">
        <is>
          <t>SCR-CHK-03-SC3</t>
        </is>
      </c>
      <c r="C200" s="25" t="inlineStr">
        <is>
          <t>SCR-CHK-03</t>
        </is>
      </c>
      <c r="D200" s="25" t="inlineStr">
        <is>
          <t>CO-01</t>
        </is>
      </c>
      <c r="E200" s="25" t="inlineStr">
        <is>
          <t>Edge</t>
        </is>
      </c>
      <c r="F200" s="25" t="inlineStr">
        <is>
          <t>Hành vi nút Back (điều hướng hệ thống) tại màn 'Đặt hàng thành công'</t>
        </is>
      </c>
      <c r="G200" s="25" t="inlineStr">
        <is>
          <t>Đang ở màn 'Đặt hàng thành công' sau khi vừa đặt hàng.</t>
        </is>
      </c>
      <c r="H200" s="25" t="inlineStr">
        <is>
          <t>1. Bấm nút Back (nút cứng của thiết bị hoặc back gesture).
2. Quan sát màn hình kế tiếp.</t>
        </is>
      </c>
      <c r="I200" s="25" t="inlineStr">
        <is>
          <t>N/A.</t>
        </is>
      </c>
      <c r="J200" s="25" t="inlineStr">
        <is>
          <t>[CẦN XÁC NHẬN - xem QnA-119] Ghi nhận hành vi thực tế: có quay lại được màn Checkout (SCR-CHK-03) đã đặt đơn xong hay không (rủi ro đặt trùng đơn nếu quay lại được và bấm Đặt hàng lần nữa), hệ thống có CHẶN nút Back (đưa thẳng về Homepage/Order tracking) hay không.</t>
        </is>
      </c>
      <c r="K200" s="25" t="inlineStr">
        <is>
          <t>High</t>
        </is>
      </c>
      <c r="L200" s="24" t="n"/>
      <c r="M200" s="24" t="inlineStr">
        <is>
          <t>Not Run</t>
        </is>
      </c>
      <c r="N200" s="24" t="n"/>
      <c r="O200" s="24" t="n"/>
      <c r="P200" s="25" t="inlineStr">
        <is>
          <t>QnA-119</t>
        </is>
      </c>
      <c r="Q200" s="25" t="n"/>
      <c r="R200" s="23" t="n"/>
    </row>
  </sheetData>
  <autoFilter ref="A2:R190">
    <filterColumn colId="2" hiddenButton="0" showButton="1">
      <filters>
        <filter val="SCR-CHK-02"/>
      </filters>
    </filterColumn>
  </autoFilter>
  <mergeCells count="1">
    <mergeCell ref="A1:R1"/>
  </mergeCells>
  <dataValidations count="1">
    <dataValidation sqref="M3:M181"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25"/>
  <sheetViews>
    <sheetView showGridLines="0" zoomScaleNormal="100" workbookViewId="0">
      <pane ySplit="2" topLeftCell="A3" activePane="bottomLeft" state="frozen"/>
      <selection pane="bottomLeft" activeCell="A1" sqref="A1:J1"/>
    </sheetView>
  </sheetViews>
  <sheetFormatPr baseColWidth="8" defaultColWidth="8.7109375" defaultRowHeight="15"/>
  <cols>
    <col width="6" customWidth="1" style="19" min="1" max="1"/>
    <col width="16" customWidth="1" style="19" min="2" max="2"/>
    <col width="34" customWidth="1" style="19" min="3" max="3"/>
    <col width="22" customWidth="1" style="19" min="4" max="4"/>
    <col width="12" customWidth="1" style="19" min="5" max="5"/>
    <col width="46" customWidth="1" style="19" min="6" max="6"/>
    <col width="34" customWidth="1" style="19" min="7" max="8"/>
    <col width="46" customWidth="1" style="19" min="9" max="9"/>
    <col width="10" customWidth="1" style="19" min="10" max="10"/>
    <col width="40" customWidth="1" style="19" min="11" max="11"/>
  </cols>
  <sheetData>
    <row r="1" ht="17.25" customHeight="1" s="19">
      <c r="A1" s="18" t="inlineStr">
        <is>
          <t>Simplify Checkout — Integration Test Scenario Register</t>
        </is>
      </c>
    </row>
    <row r="2" ht="27.75" customHeight="1" s="19">
      <c r="A2" s="4" t="inlineStr">
        <is>
          <t>No</t>
        </is>
      </c>
      <c r="B2" s="4" t="inlineStr">
        <is>
          <t>Scenario ID</t>
        </is>
      </c>
      <c r="C2" s="4" t="inlineStr">
        <is>
          <t>Module</t>
        </is>
      </c>
      <c r="D2" s="4" t="inlineStr">
        <is>
          <t>REQ ID (SRS)</t>
        </is>
      </c>
      <c r="E2" s="4" t="inlineStr">
        <is>
          <t>Scenario Type</t>
        </is>
      </c>
      <c r="F2" s="4" t="inlineStr">
        <is>
          <t>Business Rule / System Flow</t>
        </is>
      </c>
      <c r="G2" s="4" t="inlineStr">
        <is>
          <t>Systems Involved</t>
        </is>
      </c>
      <c r="H2" s="4" t="inlineStr">
        <is>
          <t>Preconditions</t>
        </is>
      </c>
      <c r="I2" s="4" t="inlineStr">
        <is>
          <t>Expected Behavior</t>
        </is>
      </c>
      <c r="J2" s="4" t="inlineStr">
        <is>
          <t>QnA Ref</t>
        </is>
      </c>
      <c r="K2" s="4" t="inlineStr">
        <is>
          <t>Comments</t>
        </is>
      </c>
    </row>
    <row r="3" ht="45.75" customHeight="1" s="19">
      <c r="A3" s="16" t="n">
        <v>1</v>
      </c>
      <c r="B3" s="16" t="inlineStr">
        <is>
          <t>INT-01-SC1</t>
        </is>
      </c>
      <c r="C3" s="16" t="inlineStr">
        <is>
          <t>Cổng OTP Zalo/SMS</t>
        </is>
      </c>
      <c r="D3" s="16" t="inlineStr">
        <is>
          <t>SU-02, SU-03, BRL-13, BRL-14, BRL-15</t>
        </is>
      </c>
      <c r="E3" s="16" t="inlineStr">
        <is>
          <t>Functional</t>
        </is>
      </c>
      <c r="F3" s="16" t="inlineStr">
        <is>
          <t>Zalo là kênh OTP mặc định; khi Zalo thất bại, KHÔNG tự động fallback SMS - khách phải chủ động đổi kênh.</t>
        </is>
      </c>
      <c r="G3" s="16" t="inlineStr">
        <is>
          <t>App &lt;-&gt; Cổng OTP Zalo &lt;-&gt; Cổng SMS backup</t>
        </is>
      </c>
      <c r="H3" s="16" t="inlineStr">
        <is>
          <t>Tài khoản đang ở bước xác thực OTP (Signup hoặc Login/Quên PIN).</t>
        </is>
      </c>
      <c r="I3" s="16" t="inlineStr">
        <is>
          <t>Zalo được gọi trước (chi phí/tin thấp hơn SMS); nếu Zalo Gateway trả về lỗi gửi, hệ thống KHÔNG tự động chuyển SMS - phải chờ khách bấm Resend/đổi kênh thủ công sau khi hết đếm ngược.</t>
        </is>
      </c>
      <c r="J3" s="16" t="inlineStr">
        <is>
          <t>QnA-08</t>
        </is>
      </c>
      <c r="K3" s="16" t="inlineStr">
        <is>
          <t>Xác nhận kỹ thuật thật sự không có auto-fallback vẫn là OQ-08/QnA-08.</t>
        </is>
      </c>
    </row>
    <row r="4" ht="45.75" customHeight="1" s="19">
      <c r="A4" s="16" t="n">
        <v>2</v>
      </c>
      <c r="B4" s="16" t="inlineStr">
        <is>
          <t>INT-01-SC2</t>
        </is>
      </c>
      <c r="C4" s="16" t="inlineStr">
        <is>
          <t>Cổng OTP Zalo/SMS</t>
        </is>
      </c>
      <c r="D4" s="16" t="inlineStr">
        <is>
          <t>NFR-01, LI-06, BRL-15</t>
        </is>
      </c>
      <c r="E4" s="16" t="inlineStr">
        <is>
          <t>Boundary</t>
        </is>
      </c>
      <c r="F4" s="16" t="inlineStr">
        <is>
          <t>Cổng OTP từ chối gửi thêm khi vượt quá số lần yêu cầu OTP trong 1 khoảng thời gian.</t>
        </is>
      </c>
      <c r="G4" s="16" t="inlineStr">
        <is>
          <t>App &lt;-&gt; Cổng OTP Zalo/SMS</t>
        </is>
      </c>
      <c r="H4" s="16" t="inlineStr">
        <is>
          <t>Đã yêu cầu gửi OTP vượt quá mức giới hạn trong cửa sổ thời gian cấu hình (giá trị chính xác đang chờ OQ-03).</t>
        </is>
      </c>
      <c r="I4" s="16" t="inlineStr">
        <is>
          <t>Cổng OTP trả về lỗi rate-limit, app hiện thông báo rõ (không phải lỗi chung chung), ngăn chặn spam gửi OTP liên tục.</t>
        </is>
      </c>
      <c r="J4" s="16" t="inlineStr">
        <is>
          <t>QnA-03</t>
        </is>
      </c>
      <c r="K4" s="16" t="inlineStr">
        <is>
          <t>Mức giới hạn cụ thể (số lần/khoảng thời gian) là một phần của OQ-03/QnA-03 chưa được xác nhận.</t>
        </is>
      </c>
    </row>
    <row r="5" ht="45.75" customHeight="1" s="19">
      <c r="A5" s="5" t="n">
        <v>3</v>
      </c>
      <c r="B5" s="5" t="inlineStr">
        <is>
          <t>INT-02-SC1</t>
        </is>
      </c>
      <c r="C5" s="5" t="inlineStr">
        <is>
          <t>Cổng thanh toán &amp; BNPL</t>
        </is>
      </c>
      <c r="D5" s="5" t="inlineStr">
        <is>
          <t>CO-06, BRL-33</t>
        </is>
      </c>
      <c r="E5" s="5" t="inlineStr">
        <is>
          <t>Functional</t>
        </is>
      </c>
      <c r="F5" s="5" t="inlineStr">
        <is>
          <t>Cổng thanh toán trả về badge khuyến mãi riêng cho từng phương thức (MoMo/ZaloPay/Thẻ/BNPL).</t>
        </is>
      </c>
      <c r="G5" s="5" t="inlineStr">
        <is>
          <t>App &lt;-&gt; Payment Gateway (MoMo/ZaloPay/Thẻ/BNPL)</t>
        </is>
      </c>
      <c r="H5" s="5" t="inlineStr">
        <is>
          <t>Đang ở bước chọn phương thức thanh toán tại Checkout, ít nhất 1 phương thức đang có khuyến mãi.</t>
        </is>
      </c>
      <c r="I5" s="5" t="inlineStr">
        <is>
          <t>App gọi API lấy danh sách khuyến mãi theo phương thức, hiện đúng badge riêng cho từng phương thức, không bị trộn hoặc áp dụng nhầm sang phương thức khác.</t>
        </is>
      </c>
      <c r="J5" s="5" t="n"/>
      <c r="K5" s="5" t="n"/>
    </row>
    <row r="6" ht="45.75" customHeight="1" s="19">
      <c r="A6" s="5" t="n">
        <v>4</v>
      </c>
      <c r="B6" s="5" t="inlineStr">
        <is>
          <t>INT-02-SC2</t>
        </is>
      </c>
      <c r="C6" s="5" t="inlineStr">
        <is>
          <t>Cổng thanh toán &amp; BNPL</t>
        </is>
      </c>
      <c r="D6" s="5" t="inlineStr">
        <is>
          <t>CO-10, NFR-04</t>
        </is>
      </c>
      <c r="E6" s="5" t="inlineStr">
        <is>
          <t>Exception</t>
        </is>
      </c>
      <c r="F6" s="5" t="inlineStr">
        <is>
          <t>Cổng thanh toán trả về lỗi/timeout khi khách bấm 'Đặt hàng' - đơn KHÔNG được tạo trùng lặp và khách được thông báo rõ.</t>
        </is>
      </c>
      <c r="G6" s="5" t="inlineStr">
        <is>
          <t>App &lt;-&gt; Payment Gateway &lt;-&gt; OMS</t>
        </is>
      </c>
      <c r="H6" s="5" t="inlineStr">
        <is>
          <t>Khách đã điền đủ thông tin, bấm Đặt hàng, giả lập cổng thanh toán timeout/trả về lỗi.</t>
        </is>
      </c>
      <c r="I6" s="5" t="inlineStr">
        <is>
          <t>Đơn hàng KHÔNG được ghi nhận là đã thanh toán; khách nhận thông báo lỗi rõ ràng và CÓ thể thử lại mà không bị tạo 2 đơn trùng cho cùng 1 lần bấm; dữ liệu Checkout (Cart, coupon, điểm đã áp dụng) không bị mất khi thử lại.</t>
        </is>
      </c>
      <c r="J6" s="5" t="n"/>
      <c r="K6" s="5" t="inlineStr">
        <is>
          <t>Kiểm tra idempotency của request đặt hàng là trọng tâm của test case này.</t>
        </is>
      </c>
    </row>
    <row r="7" ht="45.75" customHeight="1" s="19">
      <c r="A7" s="16" t="n">
        <v>5</v>
      </c>
      <c r="B7" s="16" t="inlineStr">
        <is>
          <t>INT-03-SC1</t>
        </is>
      </c>
      <c r="C7" s="16" t="inlineStr">
        <is>
          <t>OMS/DMS - Slot Capacity &amp; Next-day</t>
        </is>
      </c>
      <c r="D7" s="16" t="inlineStr">
        <is>
          <t>CT-08, OQ-12</t>
        </is>
      </c>
      <c r="E7" s="16" t="inlineStr">
        <is>
          <t>Functional</t>
        </is>
      </c>
      <c r="F7" s="16" t="inlineStr">
        <is>
          <t>OMS/DMS phản hồi đúng số slot còn lại theo thời gian thực, điều khiển cảnh báo 'sắp hết chỗ' trong Cart.</t>
        </is>
      </c>
      <c r="G7" s="16" t="inlineStr">
        <is>
          <t>App &lt;-&gt; OMS/DMS (slot capacity service)</t>
        </is>
      </c>
      <c r="H7" s="16" t="inlineStr">
        <is>
          <t>Store test được cấu hình slot 60-Minute còn lại giảm dần qua nhiều đơn đặt liên tiếp.</t>
        </is>
      </c>
      <c r="I7" s="16" t="inlineStr">
        <is>
          <t>Mỗi khi 1 đơn khác đặt 1 slot, số slot còn lại được DMS cập nhật và app phản ánh đúng trong Cart (không bị lệch/cache cũ); khi chạm ngưỡng cảnh báo, UI hiện đúng thời điểm.</t>
        </is>
      </c>
      <c r="J7" s="16" t="inlineStr">
        <is>
          <t>QnA-12</t>
        </is>
      </c>
      <c r="K7" s="16" t="inlineStr">
        <is>
          <t>Hệ thống nào thực sự sở hữu cấu hình này vẫn là OQ-12/QnA-12.</t>
        </is>
      </c>
    </row>
    <row r="8" ht="45.75" customHeight="1" s="19">
      <c r="A8" s="5" t="n">
        <v>6</v>
      </c>
      <c r="B8" s="5" t="inlineStr">
        <is>
          <t>INT-03-SC2</t>
        </is>
      </c>
      <c r="C8" s="5" t="inlineStr">
        <is>
          <t>OMS/DMS - Slot Capacity &amp; Next-day</t>
        </is>
      </c>
      <c r="D8" s="5" t="inlineStr">
        <is>
          <t>CT-08, BRL-21</t>
        </is>
      </c>
      <c r="E8" s="5" t="inlineStr">
        <is>
          <t>Functional</t>
        </is>
      </c>
      <c r="F8" s="5" t="inlineStr">
        <is>
          <t>Slot được giải phóng (re-open) khi 1 đơn được đánh dấu 'sẵn sàng giao' bởi Store Operations.</t>
        </is>
      </c>
      <c r="G8" s="5" t="inlineStr">
        <is>
          <t>Store Operations (internal) -&gt; OMS/DMS -&gt; App</t>
        </is>
      </c>
      <c r="H8" s="5" t="inlineStr">
        <is>
          <t>1 slot đang ở trạng thái 'Closed' (hết chỗ) do 1 đơn trước đó chiếm giữ.</t>
        </is>
      </c>
      <c r="I8" s="5" t="inlineStr">
        <is>
          <t>Ngay sau khi Store Operations đánh dấu đơn 'ready for delivery', slot được giải phóng và TỰ ĐỘNG chuyển lại 'Open' cho khách khác đặt (BRL-21), không cần can thiệp thủ công nào khác.</t>
        </is>
      </c>
      <c r="J8" s="5" t="n"/>
      <c r="K8" s="5" t="n"/>
    </row>
    <row r="9" ht="45.75" customHeight="1" s="19">
      <c r="A9" s="5" t="n">
        <v>7</v>
      </c>
      <c r="B9" s="5" t="inlineStr">
        <is>
          <t>INT-04-SC1</t>
        </is>
      </c>
      <c r="C9" s="5" t="inlineStr">
        <is>
          <t>OMS - Tiếp nhận đơn hàng (Place Order)</t>
        </is>
      </c>
      <c r="D9" s="5" t="inlineStr">
        <is>
          <t>CO-10</t>
        </is>
      </c>
      <c r="E9" s="5" t="inlineStr">
        <is>
          <t>Functional</t>
        </is>
      </c>
      <c r="F9" s="5" t="inlineStr">
        <is>
          <t>Đặt hàng thành công đẩy đủ dữ liệu Checkout (sản phẩm, giá, coupon, điểm, phí) sang OMS đúng 1-1.</t>
        </is>
      </c>
      <c r="G9" s="5" t="inlineStr">
        <is>
          <t>App -&gt; OMS (order capture)</t>
        </is>
      </c>
      <c r="H9" s="5" t="inlineStr">
        <is>
          <t>Đơn hàng hợp lệ với đầy đủ: sản phẩm, coupon, điểm đã dùng, phí giao hàng, phụ phí bulky (nếu có).</t>
        </is>
      </c>
      <c r="I9" s="5" t="inlineStr">
        <is>
          <t>OMS nhận được bản ghi đơn hàng khớp CHÍNH XÁC với tóm tắt thanh toán đã hiện trên SCR-CHK-02 (không lệch giá/phí/coupon nào) - đây là điểm xác nhận cuối cùng cho tính toán vẹn dữ liệu của BR-09/NFR-04.</t>
        </is>
      </c>
      <c r="J9" s="5" t="n"/>
      <c r="K9" s="5" t="n"/>
    </row>
    <row r="10" ht="45.75" customHeight="1" s="19">
      <c r="A10" s="5" t="n">
        <v>8</v>
      </c>
      <c r="B10" s="5" t="inlineStr">
        <is>
          <t>INT-04-SC2</t>
        </is>
      </c>
      <c r="C10" s="5" t="inlineStr">
        <is>
          <t>OMS - Tiếp nhận đơn hàng (Place Order)</t>
        </is>
      </c>
      <c r="D10" s="5" t="inlineStr">
        <is>
          <t>CO-10, BR-09</t>
        </is>
      </c>
      <c r="E10" s="5" t="inlineStr">
        <is>
          <t>Negative</t>
        </is>
      </c>
      <c r="F10" s="5" t="inlineStr">
        <is>
          <t>Nếu OMS từ chối đơn (ví dụ hết hàng giữa lúc thanh toán) thì khách được đưa về lại Cart với thông tin đã cập nhật, không mất dữ liệu đã nhập.</t>
        </is>
      </c>
      <c r="G10" s="5" t="inlineStr">
        <is>
          <t>App &lt;-&gt; OMS</t>
        </is>
      </c>
      <c r="H10" s="5" t="inlineStr">
        <is>
          <t>OMS trả về lỗi 'sản phẩm không còn đủ số lượng' khi xác nhận đơn ở bước cuối.</t>
        </is>
      </c>
      <c r="I10" s="5" t="inlineStr">
        <is>
          <t>App hiện thông báo rõ nguyên nhân từ chối, đưa khách về Cart với SKU liên quan đã được cập nhật trạng thái (hết hàng/giảm số lượng), các lựa chọn khác (coupon, điểm, phương thức thanh toán) được GIỮ nguyên để khách không phải nhập lại từ đầu.</t>
        </is>
      </c>
      <c r="J10" s="5" t="n"/>
      <c r="K10" s="5" t="n"/>
    </row>
    <row r="11" ht="45.75" customHeight="1" s="19">
      <c r="A11" s="5" t="n">
        <v>9</v>
      </c>
      <c r="B11" s="5" t="inlineStr">
        <is>
          <t>INT-05-SC1</t>
        </is>
      </c>
      <c r="C11" s="5" t="inlineStr">
        <is>
          <t>Dịch vụ cấu hình Store - Danh mục/Giá/Tồn kho</t>
        </is>
      </c>
      <c r="D11" s="5" t="inlineStr">
        <is>
          <t>BRL-01, ONB-05</t>
        </is>
      </c>
      <c r="E11" s="5" t="inlineStr">
        <is>
          <t>Functional</t>
        </is>
      </c>
      <c r="F11" s="5" t="inlineStr">
        <is>
          <t>Đổi store phải kéo theo đổi ĐÚNG BỘ 3 (danh mục, giá, tồn kho) từ dịch vụ cấu hình store trong 1 lần gọi, không bị lệch dữ liệu.</t>
        </is>
      </c>
      <c r="G11" s="5" t="inlineStr">
        <is>
          <t>App -&gt; Store Config / Catalog Service</t>
        </is>
      </c>
      <c r="H11" s="5" t="inlineStr">
        <is>
          <t>Khách đổi store từ Homepage hoặc Onboarding.</t>
        </is>
      </c>
      <c r="I11" s="5" t="inlineStr">
        <is>
          <t>Toàn bộ danh mục/giá/tồn kho trên màn hình được render lại theo ĐÚNG store mới, không còn sót dữ liệu của store cũ (ví dụ giá cũ, sản phẩm chỉ có ở store cũ).</t>
        </is>
      </c>
      <c r="J11" s="5" t="n"/>
      <c r="K11" s="5" t="n"/>
    </row>
    <row r="12" ht="45.75" customHeight="1" s="19">
      <c r="A12" s="16" t="n">
        <v>10</v>
      </c>
      <c r="B12" s="16" t="inlineStr">
        <is>
          <t>INT-05-SC2</t>
        </is>
      </c>
      <c r="C12" s="16" t="inlineStr">
        <is>
          <t>Dịch vụ cấu hình Store - Danh mục/Giá/Tồn kho</t>
        </is>
      </c>
      <c r="D12" s="16" t="inlineStr">
        <is>
          <t>CT-07, BRL-24</t>
        </is>
      </c>
      <c r="E12" s="16" t="inlineStr">
        <is>
          <t>Functional</t>
        </is>
      </c>
      <c r="F12" s="16" t="inlineStr">
        <is>
          <t>Khi đổi store trong Cart, dịch vụ trả về chính xác danh sách sản phẩm bị ảnh hưởng (hết hàng/đổi giá/ngừng bán) để app dùng cho 1 dialog cảnh báo gộp.</t>
        </is>
      </c>
      <c r="G12" s="16" t="inlineStr">
        <is>
          <t>App -&gt; Store Config / Catalog Service</t>
        </is>
      </c>
      <c r="H12" s="16" t="inlineStr">
        <is>
          <t>Giỏ hàng có nhiều SKU, đổi sang 1 store có danh mục/giá khác biệt.</t>
        </is>
      </c>
      <c r="I12" s="16" t="inlineStr">
        <is>
          <t>Dịch vụ trả về đúng danh sách SKU bị ảnh hưởng kèm lý do (giá mới / hết hàng / ngừng bán) để app gộp thành 1 cảnh báo duy nhất (SCR-CRT-06) - không thiếu, không dư sai SKU nào.</t>
        </is>
      </c>
      <c r="J12" s="16" t="inlineStr">
        <is>
          <t>QnA-25</t>
        </is>
      </c>
      <c r="K12" s="16" t="n"/>
    </row>
    <row r="13" ht="45.75" customHeight="1" s="19">
      <c r="A13" s="16" t="n">
        <v>11</v>
      </c>
      <c r="B13" s="16" t="inlineStr">
        <is>
          <t>INT-06-SC1</t>
        </is>
      </c>
      <c r="C13" s="16" t="inlineStr">
        <is>
          <t>Biometric / Device Security Ticket</t>
        </is>
      </c>
      <c r="D13" s="16" t="inlineStr">
        <is>
          <t>NFR-02, SU-07</t>
        </is>
      </c>
      <c r="E13" s="16" t="inlineStr">
        <is>
          <t>Security</t>
        </is>
      </c>
      <c r="F13" s="16" t="inlineStr">
        <is>
          <t>Thiết bị chỉ giữ được 1 bio ticket đang hoạt động tại 1 thời điểm; đăng nhập tài khoản thứ 2 trên cùng thiết bị phải cảnh báo trước khi ghi đè.</t>
        </is>
      </c>
      <c r="G13" s="16" t="inlineStr">
        <is>
          <t>App &lt;-&gt; Device Secure Enclave/Keystore</t>
        </is>
      </c>
      <c r="H13" s="16" t="inlineStr">
        <is>
          <t>Thiết bị đã có 1 bio ticket của Tài khoản A đang hoạt động.</t>
        </is>
      </c>
      <c r="I13" s="16" t="inlineStr">
        <is>
          <t>Khi Tài khoản B bật sinh trắc học trên CÙNG thiết bị, hệ thống hiện cảnh báo rõ ràng trước khi ghi đè ticket của Tài khoản A (NFR-02); sau khi ghi đè, Tài khoản A không còn đăng nhập được bằng sinh trắc học trên thiết bị này.</t>
        </is>
      </c>
      <c r="J13" s="16" t="inlineStr">
        <is>
          <t>QnA-07, QnA-11</t>
        </is>
      </c>
      <c r="K13" s="16" t="inlineStr">
        <is>
          <t>Hướng xử lý đã thống nhất nhưng chi tiết kỹ thuật vẫn chờ review (OQ-07, OQ-11).</t>
        </is>
      </c>
    </row>
    <row r="14" ht="45.75" customHeight="1" s="19">
      <c r="A14" s="16" t="n">
        <v>12</v>
      </c>
      <c r="B14" s="16" t="inlineStr">
        <is>
          <t>INT-07-SC1</t>
        </is>
      </c>
      <c r="C14" s="16" t="inlineStr">
        <is>
          <t>Session / Auth Token</t>
        </is>
      </c>
      <c r="D14" s="16" t="inlineStr">
        <is>
          <t>HP-07, OQ-04</t>
        </is>
      </c>
      <c r="E14" s="16" t="inlineStr">
        <is>
          <t>Exception</t>
        </is>
      </c>
      <c r="F14" s="16" t="inlineStr">
        <is>
          <t>Token phiên hết hạn giữa chừng được xử lý như Guest chưa từng đăng nhập (giả định đang chờ xác nhận).</t>
        </is>
      </c>
      <c r="G14" s="16" t="inlineStr">
        <is>
          <t>App &lt;-&gt; Session/Auth Service</t>
        </is>
      </c>
      <c r="H14" s="16" t="inlineStr">
        <is>
          <t>Khách đang đăng nhập, token bị giả lập hết hạn trong lúc đang thao tác trong Cart.</t>
        </is>
      </c>
      <c r="I14" s="16" t="inlineStr">
        <is>
          <t>Lần gọi API tiếp theo trả về 401/unauthorized; app CHUYỂN VỀ trạng thái Guest (không crash, không loop lỗi) và yêu cầu đăng nhập lại khi chạm vào hành động cần xác thực (Add to Cart/mở Cart) - đúng như OQ-04 đề xuất.</t>
        </is>
      </c>
      <c r="J14" s="16" t="inlineStr">
        <is>
          <t>QnA-04</t>
        </is>
      </c>
      <c r="K14" s="16" t="inlineStr">
        <is>
          <t>Đây là giả định đang chờ Security/Dev xác nhận chính thức (OQ-04/QnA-04); test case này xác minh hành vi hiện tại có khớp với đề xuất không.</t>
        </is>
      </c>
    </row>
    <row r="15" ht="45.75" customHeight="1" s="19">
      <c r="A15" s="16" t="n">
        <v>13</v>
      </c>
      <c r="B15" s="16" t="inlineStr">
        <is>
          <t>INT-08-SC1</t>
        </is>
      </c>
      <c r="C15" s="16" t="inlineStr">
        <is>
          <t>Coupon &amp; Khuyến mãi Engine</t>
        </is>
      </c>
      <c r="D15" s="16" t="inlineStr">
        <is>
          <t>CT-06, BRL-32</t>
        </is>
      </c>
      <c r="E15" s="16" t="inlineStr">
        <is>
          <t>Functional</t>
        </is>
      </c>
      <c r="F15" s="16" t="inlineStr">
        <is>
          <t>Coupon giao hàng và coupon đơn/sản phẩm được engine khuyến mãi áp dụng TỰ ĐỘNG theo đúng thứ tự ưu tiên, không xung đột.</t>
        </is>
      </c>
      <c r="G15" s="16" t="inlineStr">
        <is>
          <t>App &lt;-&gt; Coupon/Promotion Engine</t>
        </is>
      </c>
      <c r="H15" s="16" t="inlineStr">
        <is>
          <t>Ví coupon có cả coupon giao hàng và coupon sản phẩm cùng hợp lệ cho 1 đơn hàng.</t>
        </is>
      </c>
      <c r="I15" s="16" t="inlineStr">
        <is>
          <t>Engine tự động áp dụng cả 2 loại coupon (không cần khách chọn tay), trả về đúng số tiền giảm cho từng nhóm để app hiện tách biệt (BRL-32); không có trường hợp 2 coupon giảm giá trùng 1 khoản tiền (double-dip) nếu business rule không cho phép.</t>
        </is>
      </c>
      <c r="J15" s="16" t="inlineStr">
        <is>
          <t>QnA-17</t>
        </is>
      </c>
      <c r="K15" s="16" t="inlineStr">
        <is>
          <t>Danh mục đầy đủ loại khuyến mãi vẫn đang mở (OQ-17/QnA-17).</t>
        </is>
      </c>
    </row>
    <row r="16" ht="45.75" customHeight="1" s="19">
      <c r="A16" s="5" t="n">
        <v>14</v>
      </c>
      <c r="B16" s="5" t="inlineStr">
        <is>
          <t>INT-08-SC2</t>
        </is>
      </c>
      <c r="C16" s="5" t="inlineStr">
        <is>
          <t>Coupon &amp; Khuyến mãi Engine</t>
        </is>
      </c>
      <c r="D16" s="5" t="inlineStr">
        <is>
          <t>CT-03, BRL-19</t>
        </is>
      </c>
      <c r="E16" s="5" t="inlineStr">
        <is>
          <t>Boundary</t>
        </is>
      </c>
      <c r="F16" s="5" t="inlineStr">
        <is>
          <t>Engine tính đúng tiến độ freeship (150.000đ) real-time khi giỏ hàng thay đổi (thêm/bớt sản phẩm, áp dụng coupon).</t>
        </is>
      </c>
      <c r="G16" s="5" t="inlineStr">
        <is>
          <t>App &lt;-&gt; Coupon/Promotion Engine (freeship calculation)</t>
        </is>
      </c>
      <c r="H16" s="5" t="inlineStr">
        <is>
          <t>Giỏ hàng đang ở 130.000đ, chưa đạt freeship.</t>
        </is>
      </c>
      <c r="I16" s="5" t="inlineStr">
        <is>
          <t>Thêm sản phẩm 20.000đ đưa tổng = 150.000đ, engine phải trả về trạng thái 'đã đạt freeship' và phí giao hàng Standard chuyển về 0đ NGAY (không cần F5/tải lại màn hình).</t>
        </is>
      </c>
      <c r="J16" s="5" t="n"/>
      <c r="K16" s="5" t="n"/>
    </row>
    <row r="17" ht="45.75" customHeight="1" s="19">
      <c r="A17" s="16" t="n">
        <v>15</v>
      </c>
      <c r="B17" s="16" t="inlineStr">
        <is>
          <t>INT-09-SC1</t>
        </is>
      </c>
      <c r="C17" s="16" t="inlineStr">
        <is>
          <t>Loyalty &amp; Điểm thưởng Engine</t>
        </is>
      </c>
      <c r="D17" s="16" t="inlineStr">
        <is>
          <t>CO-05, BRL-27</t>
        </is>
      </c>
      <c r="E17" s="16" t="inlineStr">
        <is>
          <t>Functional</t>
        </is>
      </c>
      <c r="F17" s="16" t="inlineStr">
        <is>
          <t>Điểm thưởng tích luỹ đúng số khi khách chọn khung giờ 'point-earning' (ví dụ 18:00-20:00).</t>
        </is>
      </c>
      <c r="G17" s="16" t="inlineStr">
        <is>
          <t>App &lt;-&gt; Loyalty/Points Engine</t>
        </is>
      </c>
      <c r="H17" s="16" t="inlineStr">
        <is>
          <t>Khách chọn 1 trong các khung giờ point-earning được cấu hình.</t>
        </is>
      </c>
      <c r="I17" s="16" t="inlineStr">
        <is>
          <t>Engine cộng đúng số điểm thưởng cho khung giờ đó vào dự kiến điểm sẽ tích sau đơn hàng; con số hiện trên app phải KHỚP với giá trị engine trả về (không hard-code phía client).</t>
        </is>
      </c>
      <c r="J17" s="16" t="inlineStr">
        <is>
          <t>QnA-36</t>
        </is>
      </c>
      <c r="K17" s="16" t="inlineStr">
        <is>
          <t>Con số 10.000 điểm hiện chỉ thấy trên Figma (QnA-36), cần đối chiếu với giá trị thực tế engine trả về khi có môi trường test.</t>
        </is>
      </c>
    </row>
    <row r="18" ht="45.75" customHeight="1" s="19">
      <c r="A18" s="5" t="n">
        <v>16</v>
      </c>
      <c r="B18" s="5" t="inlineStr">
        <is>
          <t>INT-10-SC1</t>
        </is>
      </c>
      <c r="C18" s="5" t="inlineStr">
        <is>
          <t>GotIt / Gift Card Service</t>
        </is>
      </c>
      <c r="D18" s="5" t="inlineStr">
        <is>
          <t>CO-04</t>
        </is>
      </c>
      <c r="E18" s="5" t="inlineStr">
        <is>
          <t>Functional</t>
        </is>
      </c>
      <c r="F18" s="5" t="inlineStr">
        <is>
          <t>Dịch vụ GotIt/gift card xác thực mã và trả về đúng mệnh giá hoặc từ chối mã không hợp lệ/đã dùng.</t>
        </is>
      </c>
      <c r="G18" s="5" t="inlineStr">
        <is>
          <t>App &lt;-&gt; GotIt/Gift Card Service</t>
        </is>
      </c>
      <c r="H18" s="5" t="inlineStr">
        <is>
          <t>1 mã hợp lệ chưa dùng, và 1 mã đã được dùng trước đó.</t>
        </is>
      </c>
      <c r="I18" s="5" t="inlineStr">
        <is>
          <t>Mã hợp lệ: dịch vụ trả về đúng mệnh giá, app trừ đúng vào tổng tiền. Mã đã dùng: dịch vụ từ chối kèm lý do rõ ràng ('mã đã được sử dụng'), không trừ tiền.</t>
        </is>
      </c>
      <c r="J18" s="5" t="n"/>
      <c r="K18" s="5" t="n"/>
    </row>
    <row r="19" ht="45.75" customHeight="1" s="19">
      <c r="A19" s="16" t="n">
        <v>17</v>
      </c>
      <c r="B19" s="16" t="inlineStr">
        <is>
          <t>INT-11-SC1</t>
        </is>
      </c>
      <c r="C19" s="16" t="inlineStr">
        <is>
          <t>Dịch vụ hoá đơn VAT</t>
        </is>
      </c>
      <c r="D19" s="16" t="inlineStr">
        <is>
          <t>CO-07, OQ-19</t>
        </is>
      </c>
      <c r="E19" s="16" t="inlineStr">
        <is>
          <t>Functional</t>
        </is>
      </c>
      <c r="F19" s="16" t="inlineStr">
        <is>
          <t>Dịch vụ hoá đơn VAT nhận và lưu đúng thông tin xuất hoá đơn khi khách bật yêu cầu.</t>
        </is>
      </c>
      <c r="G19" s="16" t="inlineStr">
        <is>
          <t>App &lt;-&gt; VAT Invoice Service</t>
        </is>
      </c>
      <c r="H19" s="16" t="inlineStr">
        <is>
          <t>Khách bật toggle yêu cầu xuất hoá đơn VAT và nhập đầy đủ thông tin công ty/mã số thuế.</t>
        </is>
      </c>
      <c r="I19" s="16" t="inlineStr">
        <is>
          <t>Thông tin được gửi đúng sang dịch vụ VAT và gắn đúng với đơn hàng tương ứng; quy tắc VAT có thay đổi trong To-Be hay không vẫn là OQ-19/QnA-19 - test case này chỉ xác minh luồng dữ liệu, không xác minh quy tắc thuế chi tiết.</t>
        </is>
      </c>
      <c r="J19" s="16" t="inlineStr">
        <is>
          <t>QnA-19</t>
        </is>
      </c>
      <c r="K19" s="16" t="n"/>
    </row>
    <row r="20" ht="45.75" customHeight="1" s="19">
      <c r="A20" s="16" t="n">
        <v>18</v>
      </c>
      <c r="B20" s="16" t="inlineStr">
        <is>
          <t>INT-12-SC1</t>
        </is>
      </c>
      <c r="C20" s="16" t="inlineStr">
        <is>
          <t>Delivery Partner &amp; Locker Network</t>
        </is>
      </c>
      <c r="D20" s="16" t="inlineStr">
        <is>
          <t>CT-10, OQ-23</t>
        </is>
      </c>
      <c r="E20" s="16" t="inlineStr">
        <is>
          <t>Functional</t>
        </is>
      </c>
      <c r="F20" s="16" t="inlineStr">
        <is>
          <t>Hệ thống Delivery Partner trả về đúng trạng thái locker (còn chỗ / hết chỗ) cho cả 2 loại locker gần nhà và tại store.</t>
        </is>
      </c>
      <c r="G20" s="16" t="inlineStr">
        <is>
          <t>App &lt;-&gt; Delivery Partner / Locker Network</t>
        </is>
      </c>
      <c r="H20" s="16" t="inlineStr">
        <is>
          <t>1 locker gần nhà còn chỗ, 1 locker tại store đã hết chỗ.</t>
        </is>
      </c>
      <c r="I20" s="16" t="inlineStr">
        <is>
          <t>App hiện đúng trạng thái từng locker theo phản hồi từ Delivery Partner; khách không chọn được locker đã hết chỗ.</t>
        </is>
      </c>
      <c r="J20" s="16" t="inlineStr">
        <is>
          <t>QnA-23, QnA-31</t>
        </is>
      </c>
      <c r="K20" s="16" t="inlineStr">
        <is>
          <t>Quy tắc đầy đủ (giá, thời gian giữ, no-show) vẫn chờ LOTTE MART (OQ-23/QnA-23).</t>
        </is>
      </c>
    </row>
    <row r="21" ht="45.75" customHeight="1" s="19">
      <c r="A21" s="16" t="n">
        <v>19</v>
      </c>
      <c r="B21" s="16" t="inlineStr">
        <is>
          <t>INT-13-SC1</t>
        </is>
      </c>
      <c r="C21" s="16" t="inlineStr">
        <is>
          <t>Dịch vụ phân giải địa chỉ &amp; vùng dịch vụ (Geo/Service-zone)</t>
        </is>
      </c>
      <c r="D21" s="16" t="inlineStr">
        <is>
          <t>HP-04, BRL-10, BRL-11, BRL-12</t>
        </is>
      </c>
      <c r="E21" s="16" t="inlineStr">
        <is>
          <t>Functional</t>
        </is>
      </c>
      <c r="F21" s="16" t="inlineStr">
        <is>
          <t>Dịch vụ phân giải vùng dịch vụ trả về đúng 1 trong 4 trạng thái loại trừ theo khoảng cách địa chỉ-store.</t>
        </is>
      </c>
      <c r="G21" s="16" t="inlineStr">
        <is>
          <t>App &lt;-&gt; Geo/Service-zone Resolution Service</t>
        </is>
      </c>
      <c r="H21" s="16" t="inlineStr">
        <is>
          <t>4 địa chỉ mẫu rơi vào đúng 4 khoảng (3-5km, 10-15km, khu Next-day, ngoài mọi vùng).</t>
        </is>
      </c>
      <c r="I21" s="16" t="inlineStr">
        <is>
          <t>Dịch vụ trả về đúng 1 trong 4 nhãn (60-Minute+Standard / Standard only / Next-day only / not-served) không chồng chéo, phản ánh đúng cấu hình riêng của từng store (bán kính có thể khác nhau giữa các store).</t>
        </is>
      </c>
      <c r="J21" s="16" t="inlineStr">
        <is>
          <t>QnA-09</t>
        </is>
      </c>
      <c r="K21" s="16" t="inlineStr">
        <is>
          <t>Vùng Next-day có đủ toàn bộ VN hay chưa vẫn là OQ-09/QnA-09.</t>
        </is>
      </c>
    </row>
    <row r="22" ht="45.75" customHeight="1" s="19">
      <c r="A22" s="16" t="n">
        <v>20</v>
      </c>
      <c r="B22" s="16" t="inlineStr">
        <is>
          <t>INT-13-SC2</t>
        </is>
      </c>
      <c r="C22" s="16" t="inlineStr">
        <is>
          <t>Dịch vụ phân giải địa chỉ &amp; vùng dịch vụ (Geo/Service-zone)</t>
        </is>
      </c>
      <c r="D22" s="16" t="inlineStr">
        <is>
          <t>CT-07, BRL-24</t>
        </is>
      </c>
      <c r="E22" s="16" t="inlineStr">
        <is>
          <t>Integration</t>
        </is>
      </c>
      <c r="F22" s="16" t="inlineStr">
        <is>
          <t>Khi đổi store trong Cart, dịch vụ phải trả về cả 2 nhóm ảnh hưởng (sản phẩm từ Catalog Service, dịch vụ/slot từ Service-zone Resolution) đồng bộ trong cùng 1 lần gọi để app gộp thành 1 cảnh báo.</t>
        </is>
      </c>
      <c r="G22" s="16" t="inlineStr">
        <is>
          <t>App &lt;-&gt; Service-zone Resolution + Catalog Service</t>
        </is>
      </c>
      <c r="H22" s="16" t="inlineStr">
        <is>
          <t>Giỏ hàng có sản phẩm và dịch vụ đều bị ảnh hưởng khi đổi store.</t>
        </is>
      </c>
      <c r="I22" s="16" t="inlineStr">
        <is>
          <t>2 nguồn dữ liệu (sản phẩm từ Catalog, dịch vụ/slot từ Service-zone) phải được tổng hợp ĐÚNG và ĐỦ trước khi app hiện 1 dialog cảnh báo gộp - không hiện 2 dialog riêng do gọi API lệch thời điểm.</t>
        </is>
      </c>
      <c r="J22" s="16" t="inlineStr">
        <is>
          <t>QnA-25</t>
        </is>
      </c>
      <c r="K22" s="16" t="n"/>
    </row>
    <row r="23" ht="45.75" customHeight="1" s="19">
      <c r="A23" s="16" t="n">
        <v>21</v>
      </c>
      <c r="B23" s="16" t="inlineStr">
        <is>
          <t>INT-14-SC1</t>
        </is>
      </c>
      <c r="C23" s="16" t="inlineStr">
        <is>
          <t>Security - Giới hạn thử OTP/PIN</t>
        </is>
      </c>
      <c r="D23" s="16" t="inlineStr">
        <is>
          <t>NFR-01, LI-06, BR-11</t>
        </is>
      </c>
      <c r="E23" s="16" t="inlineStr">
        <is>
          <t>Security</t>
        </is>
      </c>
      <c r="F23" s="16" t="inlineStr">
        <is>
          <t>Giới hạn thử sai OTP/PIN được thực thi trên SERVER (không chỉ trên client) để tránh bypass bằng cách sửa request trên thiết bị.</t>
        </is>
      </c>
      <c r="G23" s="16" t="inlineStr">
        <is>
          <t>App &lt;-&gt; Security/Auth Service (server-side)</t>
        </is>
      </c>
      <c r="H23" s="16" t="inlineStr">
        <is>
          <t>Đã nhập sai PIN/OTP vượt quá giới hạn cấu hình (giá trị N đang chờ OQ-03).</t>
        </is>
      </c>
      <c r="I23" s="16" t="inlineStr">
        <is>
          <t>Ngay cả khi client bị can thiệp để gửi lại request thử thêm, SERVER vẫn từ chối và yêu cầu xác thực lại bằng OTP - giới hạn không được thực thi CHỈ ở phía client.</t>
        </is>
      </c>
      <c r="J23" s="16" t="inlineStr">
        <is>
          <t>QnA-03</t>
        </is>
      </c>
      <c r="K23" s="16" t="inlineStr">
        <is>
          <t>Con số N chính xác và cơ chế khoá vẫn là OQ-03/QnA-03; test này xác minh việc thực thi phía server bất kể giá trị N cuối cùng là bao nhiêu.</t>
        </is>
      </c>
    </row>
    <row r="24" ht="75" customHeight="1" s="19">
      <c r="A24" s="16" t="n">
        <v>22</v>
      </c>
      <c r="B24" s="16" t="inlineStr">
        <is>
          <t>INT-15-SC1</t>
        </is>
      </c>
      <c r="C24" s="16" t="inlineStr">
        <is>
          <t>Biometric / Device Security Ticket</t>
        </is>
      </c>
      <c r="D24" s="16" t="inlineStr">
        <is>
          <t>LI-07</t>
        </is>
      </c>
      <c r="E24" s="16" t="inlineStr">
        <is>
          <t>Functional</t>
        </is>
      </c>
      <c r="F24" s="16" t="inlineStr">
        <is>
          <t>Khách đăng nhập trên THIẾT BỊ MỚI trong khi biometric ticket trên thiết bị CŨ vẫn còn hiệu lực - đối xứng với INT-06 (test 2 tài khoản trên 1 thiết bị), đây là 1 tài khoản trên 2 thiết bị.</t>
        </is>
      </c>
      <c r="G24" s="16" t="inlineStr">
        <is>
          <t>App (thiết bị cũ + thiết bị mới) &lt;-&gt; Biometric Ticket Service</t>
        </is>
      </c>
      <c r="H24" s="16" t="inlineStr">
        <is>
          <t>Tài khoản đã bật sinh trắc học trên Thiết bị A; khách cài app và đăng nhập trên Thiết bị B (thiết bị mới).</t>
        </is>
      </c>
      <c r="I24" s="16" t="inlineStr">
        <is>
          <t>TBD - OQ-11/LI-07 chưa có hướng xử lý chính thức (giữ ticket cũ trên Thiết bị A, hay tự động thu hồi khi có thiết bị mới đăng nhập, hay cho tồn tại song song). Ghi nhận hành vi thực tế của hệ thống hiện tại để đối chiếu.</t>
        </is>
      </c>
      <c r="J24" s="16" t="inlineStr">
        <is>
          <t>QnA-07, QnA-11</t>
        </is>
      </c>
      <c r="K24" s="16" t="inlineStr">
        <is>
          <t>Đối xứng với INT-06 (đổi tài khoản trên 1 thiết bị); đây là đổi thiết bị trên 1 tài khoản. Bổ sung theo Review 26/08/2026 - đóng gap 'LI-07 chưa có test case nào' trong Review - Gaps &amp; Issues.</t>
        </is>
      </c>
    </row>
    <row r="25" ht="135" customHeight="1" s="19">
      <c r="A25" s="16" t="n">
        <v>23</v>
      </c>
      <c r="B25" s="16" t="inlineStr">
        <is>
          <t>INT-16-SC1</t>
        </is>
      </c>
      <c r="C25" s="16" t="inlineStr">
        <is>
          <t>Hieu nang &amp; Chiu tai (Performance/NFR)</t>
        </is>
      </c>
      <c r="D25" s="16" t="inlineStr">
        <is>
          <t>NFR-01, NFR-02, NFR-03, NFR-04, NFR-05</t>
        </is>
      </c>
      <c r="E25" s="16" t="inlineStr">
        <is>
          <t>Functional</t>
        </is>
      </c>
      <c r="F25" s="16" t="inlineStr">
        <is>
          <t>Ghi nhận baseline giới hạn thử sai OTP/PIN và thời gian phản hồi hiện tại của hệ thống làm mốc tham chiếu tạm thời, trong khi chờ LOTTE MART/PO xác nhận con số mục tiêu chính thức cho NFR-01..05 (QnA-41).</t>
        </is>
      </c>
      <c r="G25" s="16" t="inlineStr">
        <is>
          <t>Toàn bộ hệ thống (App &lt;-&gt; Backend, không giới hạn 1 dịch vụ cụ thể)</t>
        </is>
      </c>
      <c r="H25" s="16" t="inlineStr">
        <is>
          <t>Môi trường test ổn định (staging), không có tải giả lập đồng thời (đây KHÔNG phải test tải/load thực sự).</t>
        </is>
      </c>
      <c r="I25" s="16" t="inlineStr">
        <is>
          <t>TBD - NFR-01..05 chưa có con số mục tiêu chính thức (QnA-41, đang Open). Test case này CHỈ ghi nhận hành vi/số liệu HIỆN TẠI của hệ thống làm baseline tham khảo (thời gian phản hồi 1 số thao tác chính, số lần thử sai OTP/PIN trước khi khoá) - KHÔNG phải test Performance/Load chính thức. Test Performance/Load đầy đủ (concurrency, throughput, chịu tải) cần 1 Test Plan riêng, ngoài phạm vi bộ test case Functional/Integration này.</t>
        </is>
      </c>
      <c r="J25" s="16" t="inlineStr">
        <is>
          <t>QnA-41</t>
        </is>
      </c>
      <c r="K25" s="16" t="inlineStr">
        <is>
          <t>Bổ sung theo yêu cầu review 26/08/2026 - đóng gap 'chưa có test case nào cho NFR-01..05' (#13 trong Review - Gaps &amp; Issues, sheet đã được xoá sau khi xử lý xong toàn bộ 19 mục). Test case Functional ghi nhận baseline, KHÔNG thay thế kế hoạch test Performance/Load chính thức.</t>
        </is>
      </c>
    </row>
  </sheetData>
  <mergeCells count="1">
    <mergeCell ref="A1:J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R25"/>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22" customWidth="1" style="19" min="1" max="1"/>
    <col width="18" customWidth="1" style="19" min="2" max="2"/>
    <col width="34" customWidth="1" style="19" min="3" max="3"/>
    <col width="20" customWidth="1" style="19" min="4" max="4"/>
    <col width="12" customWidth="1" style="19" min="5" max="5"/>
    <col width="38" customWidth="1" style="19" min="6" max="6"/>
    <col width="30" customWidth="1" style="19" min="7" max="7"/>
    <col width="48" customWidth="1" style="19" min="8" max="8"/>
    <col width="26" customWidth="1" style="19" min="9" max="9"/>
    <col width="48" customWidth="1" style="19" min="10" max="10"/>
    <col width="10" customWidth="1" style="19" min="11" max="11"/>
    <col width="14" customWidth="1" style="19" min="12" max="12"/>
    <col width="12" customWidth="1" style="19" min="13" max="13"/>
    <col width="10" customWidth="1" style="19" min="14" max="14"/>
    <col width="12" customWidth="1" style="19" min="15" max="16"/>
    <col width="40" customWidth="1" style="19" min="17" max="17"/>
    <col width="50" customWidth="1" style="19" min="18" max="18"/>
  </cols>
  <sheetData>
    <row r="1" ht="17.25" customHeight="1" s="19">
      <c r="A1" s="18" t="inlineStr">
        <is>
          <t>Simplify Checkout — Integration Detailed Test Cases</t>
        </is>
      </c>
    </row>
    <row r="2" ht="27.75" customHeight="1" s="19">
      <c r="A2" s="4" t="inlineStr">
        <is>
          <t>Test Case ID</t>
        </is>
      </c>
      <c r="B2" s="4" t="inlineStr">
        <is>
          <t>Parent Scenario ID</t>
        </is>
      </c>
      <c r="C2" s="4" t="inlineStr">
        <is>
          <t>Module</t>
        </is>
      </c>
      <c r="D2" s="4" t="inlineStr">
        <is>
          <t>REQ ID (SRS)</t>
        </is>
      </c>
      <c r="E2" s="4" t="inlineStr">
        <is>
          <t>Test Case Type</t>
        </is>
      </c>
      <c r="F2" s="4" t="inlineStr">
        <is>
          <t>Test Case Title</t>
        </is>
      </c>
      <c r="G2" s="4" t="inlineStr">
        <is>
          <t>Preconditions</t>
        </is>
      </c>
      <c r="H2" s="4" t="inlineStr">
        <is>
          <t>Test Steps</t>
        </is>
      </c>
      <c r="I2" s="4" t="inlineStr">
        <is>
          <t>Test Data</t>
        </is>
      </c>
      <c r="J2" s="4" t="inlineStr">
        <is>
          <t>Expected Result</t>
        </is>
      </c>
      <c r="K2" s="4" t="inlineStr">
        <is>
          <t>Priority</t>
        </is>
      </c>
      <c r="L2" s="4" t="inlineStr">
        <is>
          <t>Actual Result</t>
        </is>
      </c>
      <c r="M2" s="4" t="inlineStr">
        <is>
          <t>Pass/Fail Status</t>
        </is>
      </c>
      <c r="N2" s="4" t="inlineStr">
        <is>
          <t>Tester</t>
        </is>
      </c>
      <c r="O2" s="4" t="inlineStr">
        <is>
          <t>Test Date</t>
        </is>
      </c>
      <c r="P2" s="4" t="inlineStr">
        <is>
          <t>QnA Ref</t>
        </is>
      </c>
      <c r="Q2" s="4" t="inlineStr">
        <is>
          <t>Comments</t>
        </is>
      </c>
      <c r="R2" s="4" t="inlineStr">
        <is>
          <t>Ghi chu Review (QC)</t>
        </is>
      </c>
    </row>
    <row r="3" ht="69.75" customHeight="1" s="19">
      <c r="A3" s="16" t="inlineStr">
        <is>
          <t>INT-01-SC1-TC1</t>
        </is>
      </c>
      <c r="B3" s="16" t="inlineStr">
        <is>
          <t>INT-01-SC1</t>
        </is>
      </c>
      <c r="C3" s="16" t="inlineStr">
        <is>
          <t>Cổng OTP Zalo/SMS</t>
        </is>
      </c>
      <c r="D3" s="16" t="inlineStr">
        <is>
          <t>SU-03, BRL-14</t>
        </is>
      </c>
      <c r="E3" s="16" t="inlineStr">
        <is>
          <t>Functional</t>
        </is>
      </c>
      <c r="F3" s="16" t="inlineStr">
        <is>
          <t>Zalo thất bại gửi OTP không tự động fallback sang SMS</t>
        </is>
      </c>
      <c r="G3" s="16" t="inlineStr">
        <is>
          <t>Đã nhập SĐT hợp lệ, chọn kênh Zalo, cổng Zalo được giả lập trả về lỗi gửi.</t>
        </is>
      </c>
      <c r="H3" s="16" t="inlineStr">
        <is>
          <t>1. Nhập SĐT, chọn kênh Zalo (mặc định), bấm gửi OTP.
2. Giả lập Zalo Gateway trả về lỗi/không giao được tin.
3. Quan sát trạng thái app trong suốt thời gian đếm ngược Resend.
4. Sau khi hết đếm ngược, kiểm tra CÓ nút/tuỳ chọn đổi kênh sang SMS hay không.
5. Chọn đổi kênh sang SMS, xác nhận OTP mới được gửi qua SMS.</t>
        </is>
      </c>
      <c r="I3" s="16" t="inlineStr">
        <is>
          <t>SĐT test: 0912345678. Zalo Gateway: giả lập trả về lỗi.</t>
        </is>
      </c>
      <c r="J3" s="16" t="inlineStr">
        <is>
          <t>Bước 3: app KHÔNG tự động gọi SMS Gateway trong lúc đếm ngược. Bước 5: chỉ khi khách CHỦ ĐỘNG đổi kênh, request mới được gửi qua SMS Gateway.</t>
        </is>
      </c>
      <c r="K3" s="16" t="inlineStr">
        <is>
          <t>High</t>
        </is>
      </c>
      <c r="L3" s="6" t="n"/>
      <c r="M3" s="6" t="inlineStr">
        <is>
          <t>Not Run</t>
        </is>
      </c>
      <c r="N3" s="6" t="n"/>
      <c r="O3" s="6" t="n"/>
      <c r="P3" s="16" t="inlineStr">
        <is>
          <t>QnA-08</t>
        </is>
      </c>
      <c r="Q3" s="16" t="n"/>
      <c r="R3" s="5" t="n"/>
    </row>
    <row r="4" ht="69.75" customHeight="1" s="19">
      <c r="A4" s="16" t="inlineStr">
        <is>
          <t>INT-01-SC2-TC1</t>
        </is>
      </c>
      <c r="B4" s="16" t="inlineStr">
        <is>
          <t>INT-01-SC2</t>
        </is>
      </c>
      <c r="C4" s="16" t="inlineStr">
        <is>
          <t>Cổng OTP Zalo/SMS</t>
        </is>
      </c>
      <c r="D4" s="16" t="inlineStr">
        <is>
          <t>NFR-01, BRL-15</t>
        </is>
      </c>
      <c r="E4" s="16" t="inlineStr">
        <is>
          <t>Boundary</t>
        </is>
      </c>
      <c r="F4" s="16" t="inlineStr">
        <is>
          <t>Cổng OTP từ chối khi vượt quá số lần yêu cầu trong 1 khoảng thời gian</t>
        </is>
      </c>
      <c r="G4" s="16" t="inlineStr">
        <is>
          <t>Đã gửi OTP nhiều lần liên tiếp cho cùng 1 SĐT trong thời gian ngắn (giả lập vượt mức giới hạn rate-limit).</t>
        </is>
      </c>
      <c r="H4" s="16" t="inlineStr">
        <is>
          <t>1. Bấm Resend/gửi OTP liên tiếp nhiều lần (vượt quá mức giới hạn giả định, ví dụ 5 lần/10 phút).
2. Quan sát phản hồi từ Cổng OTP ở lần vượt giới hạn.</t>
        </is>
      </c>
      <c r="I4" s="16" t="inlineStr">
        <is>
          <t>SĐT test, số lần gửi thử: vượt mức giới hạn giả định (giá trị chính thức chờ OQ-03).</t>
        </is>
      </c>
      <c r="J4" s="16" t="inlineStr">
        <is>
          <t>Cổng OTP trả về lỗi rate-limit rõ ràng (không phải lỗi hệ thống chung chung); app hiện thông báo hướng dẫn khách chờ thêm thời gian.</t>
        </is>
      </c>
      <c r="K4" s="16" t="inlineStr">
        <is>
          <t>Medium</t>
        </is>
      </c>
      <c r="L4" s="6" t="n"/>
      <c r="M4" s="6" t="inlineStr">
        <is>
          <t>Not Run</t>
        </is>
      </c>
      <c r="N4" s="6" t="n"/>
      <c r="O4" s="6" t="n"/>
      <c r="P4" s="16" t="inlineStr">
        <is>
          <t>QnA-03</t>
        </is>
      </c>
      <c r="Q4" s="16" t="inlineStr">
        <is>
          <t>Mức giới hạn cụ thể sẽ được cập nhật lại khi OQ-03/QnA-03 có câu trả lời chính thức.</t>
        </is>
      </c>
      <c r="R4" s="7" t="inlineStr">
        <is>
          <t>Con số 'vượt mức giới hạn gửi OTP' trong test này đang là giả định để viết cho có ví dụ để hình dung, CHƯA phải con số chính thức. Khi có câu trả lời QnA-03 từ Security/Dev thì phải sửa lại đúng con số thật.</t>
        </is>
      </c>
    </row>
    <row r="5" ht="69.75" customHeight="1" s="19">
      <c r="A5" s="5" t="inlineStr">
        <is>
          <t>INT-02-SC1-TC1</t>
        </is>
      </c>
      <c r="B5" s="5" t="inlineStr">
        <is>
          <t>INT-02-SC1</t>
        </is>
      </c>
      <c r="C5" s="5" t="inlineStr">
        <is>
          <t>Cổng thanh toán &amp; BNPL</t>
        </is>
      </c>
      <c r="D5" s="5" t="inlineStr">
        <is>
          <t>CO-06, BRL-33</t>
        </is>
      </c>
      <c r="E5" s="5" t="inlineStr">
        <is>
          <t>Functional</t>
        </is>
      </c>
      <c r="F5" s="5" t="inlineStr">
        <is>
          <t>Badge khuyến mãi hiện đúng riêng cho từng phương thức thanh toán</t>
        </is>
      </c>
      <c r="G5" s="5" t="inlineStr">
        <is>
          <t>MoMo đang có khuyến mãi 'Giảm 20.000đ', ZaloPay đang có 'Giảm 3.000đ', Thẻ và BNPL không có khuyến mãi.</t>
        </is>
      </c>
      <c r="H5" s="5" t="inlineStr">
        <is>
          <t>1. Vào màn Phương thức thanh toán tại Checkout.
2. Quan sát badge trên từng phương thức.
3. Chọn MoMo, xác nhận badge áp dụng đúng cho MoMo.
4. Đổi sang ZaloPay, xác nhận badge đổi đúng theo ZaloPay.</t>
        </is>
      </c>
      <c r="I5" s="5" t="inlineStr">
        <is>
          <t>MoMo: badge 'Giảm 20.000đ'. ZaloPay: badge 'Giảm 3.000đ'. Thẻ, BNPL: không badge.</t>
        </is>
      </c>
      <c r="J5" s="5" t="inlineStr">
        <is>
          <t>Mỗi phương thức hiện đúng badge của riêng nó; khi đổi phương thức, badge cập nhật đúng theo lựa chọn mới, không giữ badge của phương thức trước.</t>
        </is>
      </c>
      <c r="K5" s="5" t="inlineStr">
        <is>
          <t>Medium</t>
        </is>
      </c>
      <c r="L5" s="6" t="n"/>
      <c r="M5" s="6" t="inlineStr">
        <is>
          <t>Not Run</t>
        </is>
      </c>
      <c r="N5" s="6" t="n"/>
      <c r="O5" s="6" t="n"/>
      <c r="P5" s="5" t="n"/>
      <c r="Q5" s="5" t="n"/>
      <c r="R5" s="5" t="n"/>
    </row>
    <row r="6" ht="69.75" customHeight="1" s="19">
      <c r="A6" s="5" t="inlineStr">
        <is>
          <t>INT-02-SC2-TC1</t>
        </is>
      </c>
      <c r="B6" s="5" t="inlineStr">
        <is>
          <t>INT-02-SC2</t>
        </is>
      </c>
      <c r="C6" s="5" t="inlineStr">
        <is>
          <t>Cổng thanh toán &amp; BNPL</t>
        </is>
      </c>
      <c r="D6" s="5" t="inlineStr">
        <is>
          <t>CO-10, NFR-04</t>
        </is>
      </c>
      <c r="E6" s="5" t="inlineStr">
        <is>
          <t>Exception</t>
        </is>
      </c>
      <c r="F6" s="5" t="inlineStr">
        <is>
          <t>Timeout từ cổng thanh toán không tạo đơn trùng lặp và giữ nguyên dữ liệu Checkout</t>
        </is>
      </c>
      <c r="G6" s="5" t="inlineStr">
        <is>
          <t>Đơn hàng hợp lệ, giả lập Payment Gateway timeout khi bấm Đặt hàng.</t>
        </is>
      </c>
      <c r="H6" s="5" t="inlineStr">
        <is>
          <t>1. Điền đủ thông tin Checkout (địa chỉ, sản phẩm, coupon, điểm, phương thức thanh toán).
2. Bấm Đặt hàng, giả lập Payment Gateway không phản hồi (timeout).
3. Quan sát thông báo lỗi.
4. Bấm Đặt hàng LẠI lần 2 (giả lập gateway phản hồi thành công lần này).
5. Kiểm tra số lượng đơn hàng được tạo trong OMS.</t>
        </is>
      </c>
      <c r="I6" s="5" t="inlineStr">
        <is>
          <t>Đơn hàng mẫu đã áp dụng 1 coupon + 1000 điểm.</t>
        </is>
      </c>
      <c r="J6" s="5" t="inlineStr">
        <is>
          <t>Bước 3: thông báo lỗi rõ ràng, cho phép thử lại. Bước 5: CHỈ ĐÚNG 1 đơn hàng được tạo trong OMS (không bị tạo 2 đơn do request bị gửi lại) và toàn bộ coupon/điểm đã áp dụng vẫn còn nguyên ở lần thử 2.</t>
        </is>
      </c>
      <c r="K6" s="5" t="inlineStr">
        <is>
          <t>High</t>
        </is>
      </c>
      <c r="L6" s="6" t="n"/>
      <c r="M6" s="6" t="inlineStr">
        <is>
          <t>Not Run</t>
        </is>
      </c>
      <c r="N6" s="6" t="n"/>
      <c r="O6" s="6" t="n"/>
      <c r="P6" s="5" t="n"/>
      <c r="Q6" s="5" t="n"/>
      <c r="R6" s="5" t="n"/>
    </row>
    <row r="7" ht="69.75" customHeight="1" s="19">
      <c r="A7" s="16" t="inlineStr">
        <is>
          <t>INT-03-SC1-TC1</t>
        </is>
      </c>
      <c r="B7" s="16" t="inlineStr">
        <is>
          <t>INT-03-SC1</t>
        </is>
      </c>
      <c r="C7" s="16" t="inlineStr">
        <is>
          <t>OMS/DMS - Slot Capacity &amp; Next-day</t>
        </is>
      </c>
      <c r="D7" s="16" t="inlineStr">
        <is>
          <t>CT-08</t>
        </is>
      </c>
      <c r="E7" s="16" t="inlineStr">
        <is>
          <t>Functional</t>
        </is>
      </c>
      <c r="F7" s="16" t="inlineStr">
        <is>
          <t>Số slot 60-Minute còn lại được cập nhật real-time từ OMS/DMS, đúng cảnh báo trong Cart</t>
        </is>
      </c>
      <c r="G7" s="16" t="inlineStr">
        <is>
          <t>Store test cấu hình 3 slot 60-Minute còn lại cho khung giờ đang xét.</t>
        </is>
      </c>
      <c r="H7" s="16" t="inlineStr">
        <is>
          <t>1. Mở Cart, quan sát số slot còn lại hiển thị (3).
2. Giả lập (từ 1 thiết bị/tài khoản khác) đặt 2 đơn liên tiếp chiếm 2 slot.
3. Làm mới Cart trên thiết bị đang test, quan sát số slot còn lại và cảnh báo (nếu có).</t>
        </is>
      </c>
      <c r="I7" s="16" t="inlineStr">
        <is>
          <t>Slot ban đầu: 3. Sau 2 đơn khác: còn lại 1 (bằng ngưỡng cảnh báo).</t>
        </is>
      </c>
      <c r="J7" s="16" t="inlineStr">
        <is>
          <t>Sau bước 2, Cart trên thiết bị đang test phải phản ánh đúng còn lại 1 slot và HIỆN cảnh báo sắp hết chỗ (không bị cache/lệch dữ liệu).</t>
        </is>
      </c>
      <c r="K7" s="16" t="inlineStr">
        <is>
          <t>Medium</t>
        </is>
      </c>
      <c r="L7" s="6" t="n"/>
      <c r="M7" s="6" t="inlineStr">
        <is>
          <t>Not Run</t>
        </is>
      </c>
      <c r="N7" s="6" t="n"/>
      <c r="O7" s="6" t="n"/>
      <c r="P7" s="16" t="inlineStr">
        <is>
          <t>QnA-12</t>
        </is>
      </c>
      <c r="Q7" s="16" t="n"/>
      <c r="R7" s="5" t="n"/>
    </row>
    <row r="8" ht="69.75" customHeight="1" s="19">
      <c r="A8" s="5" t="inlineStr">
        <is>
          <t>INT-03-SC2-TC1</t>
        </is>
      </c>
      <c r="B8" s="5" t="inlineStr">
        <is>
          <t>INT-03-SC2</t>
        </is>
      </c>
      <c r="C8" s="5" t="inlineStr">
        <is>
          <t>OMS/DMS - Slot Capacity &amp; Next-day</t>
        </is>
      </c>
      <c r="D8" s="5" t="inlineStr">
        <is>
          <t>CT-08, BRL-21</t>
        </is>
      </c>
      <c r="E8" s="5" t="inlineStr">
        <is>
          <t>Functional</t>
        </is>
      </c>
      <c r="F8" s="5" t="inlineStr">
        <is>
          <t>Slot được giải phóng tự động khi đơn được đánh dấu sẵn sàng giao</t>
        </is>
      </c>
      <c r="G8" s="5" t="inlineStr">
        <is>
          <t>1 slot đang ở trạng thái Closed do 1 đơn chiếm hết chỗ.</t>
        </is>
      </c>
      <c r="H8" s="5" t="inlineStr">
        <is>
          <t>1. Xác nhận slot X đang Closed (hết chỗ).
2. Giả lập Store Operations đánh dấu đơn chiếm slot X là 'ready for delivery' trong OMS.
3. Làm mới Cart/màn chọn slot, quan sát trạng thái slot X.</t>
        </is>
      </c>
      <c r="I8" s="5" t="inlineStr">
        <is>
          <t>Slot X: Closed trước bước 2.</t>
        </is>
      </c>
      <c r="J8" s="5" t="inlineStr">
        <is>
          <t>Ngay sau bước 2, slot X TỰ ĐỘNG chuyển về Open (nếu còn đúng capacity), không cần thao tác thủ công nào từ phía khách hay QC.</t>
        </is>
      </c>
      <c r="K8" s="5" t="inlineStr">
        <is>
          <t>Medium</t>
        </is>
      </c>
      <c r="L8" s="6" t="n"/>
      <c r="M8" s="6" t="inlineStr">
        <is>
          <t>Not Run</t>
        </is>
      </c>
      <c r="N8" s="6" t="n"/>
      <c r="O8" s="6" t="n"/>
      <c r="P8" s="5" t="n"/>
      <c r="Q8" s="5" t="n"/>
      <c r="R8" s="5" t="n"/>
    </row>
    <row r="9" ht="69.75" customHeight="1" s="19">
      <c r="A9" s="5" t="inlineStr">
        <is>
          <t>INT-04-SC1-TC1</t>
        </is>
      </c>
      <c r="B9" s="5" t="inlineStr">
        <is>
          <t>INT-04-SC1</t>
        </is>
      </c>
      <c r="C9" s="5" t="inlineStr">
        <is>
          <t>OMS - Tiếp nhận đơn hàng (Place Order)</t>
        </is>
      </c>
      <c r="D9" s="5" t="inlineStr">
        <is>
          <t>CO-10</t>
        </is>
      </c>
      <c r="E9" s="5" t="inlineStr">
        <is>
          <t>Functional</t>
        </is>
      </c>
      <c r="F9" s="5" t="inlineStr">
        <is>
          <t>Dữ liệu đơn hàng gửi sang OMS khớp chính xác với tóm tắt thanh toán đã hiển thị</t>
        </is>
      </c>
      <c r="G9" s="5" t="inlineStr">
        <is>
          <t>Đơn hàng: 3 SKU, 1 coupon sản phẩm (-10.000đ), 500 điểm đã dùng (-500đ), phí giao hàng 16.000đ.</t>
        </is>
      </c>
      <c r="H9" s="5" t="inlineStr">
        <is>
          <t>1. Hoàn tất Checkout với dữ liệu mẫu, ghi lại TOÀN BỘ các dòng trong tóm tắt thanh toán.
2. Bấm Đặt hàng.
3. Truy vấn bản ghi đơn hàng trong OMS (qua công cụ QC/log được cấp quyền).
4. Đối chiếu từng trường với tóm tắt đã ghi ở bước 1.</t>
        </is>
      </c>
      <c r="I9" s="5" t="inlineStr">
        <is>
          <t>3 SKU mẫu, coupon -10.000đ, điểm -500đ, phí giao hàng 16.000đ.</t>
        </is>
      </c>
      <c r="J9" s="5" t="inlineStr">
        <is>
          <t>Tất cả các trường trong OMS (danh sách SKU, giá, coupon, điểm, phí) KHỚP CHÍNH XÁC 1-1 với tóm tắt thanh toán đã hiện trên app - không lệch dù 1 dòng.</t>
        </is>
      </c>
      <c r="K9" s="5" t="inlineStr">
        <is>
          <t>High</t>
        </is>
      </c>
      <c r="L9" s="6" t="n"/>
      <c r="M9" s="6" t="inlineStr">
        <is>
          <t>Not Run</t>
        </is>
      </c>
      <c r="N9" s="6" t="n"/>
      <c r="O9" s="6" t="n"/>
      <c r="P9" s="5" t="n"/>
      <c r="Q9" s="5" t="n"/>
      <c r="R9" s="7" t="inlineStr">
        <is>
          <t>Bước 3 đang ghi chung chung là 'qua công cụ QC để truy vấn log OMS' - nên ghi rõ TÊN công cụ/người chịu trách nhiệm cấp quyền truy vấn, để người thực thi test biết làm thế nào, tránh mỗi người hiểu khác nhau.</t>
        </is>
      </c>
    </row>
    <row r="10" ht="69.75" customHeight="1" s="19">
      <c r="A10" s="5" t="inlineStr">
        <is>
          <t>INT-04-SC2-TC1</t>
        </is>
      </c>
      <c r="B10" s="5" t="inlineStr">
        <is>
          <t>INT-04-SC2</t>
        </is>
      </c>
      <c r="C10" s="5" t="inlineStr">
        <is>
          <t>OMS - Tiếp nhận đơn hàng (Place Order)</t>
        </is>
      </c>
      <c r="D10" s="5" t="inlineStr">
        <is>
          <t>CO-10, BR-09</t>
        </is>
      </c>
      <c r="E10" s="5" t="inlineStr">
        <is>
          <t>Negative</t>
        </is>
      </c>
      <c r="F10" s="5" t="inlineStr">
        <is>
          <t>OMS từ chối đơn do hết hàng giữa lúc thanh toán đưa khách về Cart với dữ liệu đã cập nhật</t>
        </is>
      </c>
      <c r="G10" s="5" t="inlineStr">
        <is>
          <t>1 SKU trong đơn được giả lập hết hàng đúng lúc khách bấm Đặt hàng.</t>
        </is>
      </c>
      <c r="H10" s="5" t="inlineStr">
        <is>
          <t>1. Chuẩn bị đơn có SKU-Z sắp hết hàng (còn 1 đơn vị).
2. Giả lập 1 giao dịch khác mua hết SKU-Z ngay trước khi khách bấm Đặt hàng.
3. Khách bấm Đặt hàng.
4. Quan sát phản hồi từ OMS và màn hình kế tiếp.</t>
        </is>
      </c>
      <c r="I10" s="5" t="inlineStr">
        <is>
          <t>SKU-Z: còn 1 đơn vị, bị mua hết bởi giao dịch khác ngay trước đó.</t>
        </is>
      </c>
      <c r="J10" s="5" t="inlineStr">
        <is>
          <t>OMS từ chối xác nhận đơn, trả về lý do (SKU-Z hết hàng); app hiện thông báo rõ và đưa khách về Cart, SKU-Z đã được cập nhật trạng thái hết hàng, các SKU/coupon/điểm/phương thức thanh toán khác vẫn còn nguyên.</t>
        </is>
      </c>
      <c r="K10" s="5" t="inlineStr">
        <is>
          <t>High</t>
        </is>
      </c>
      <c r="L10" s="6" t="n"/>
      <c r="M10" s="6" t="inlineStr">
        <is>
          <t>Not Run</t>
        </is>
      </c>
      <c r="N10" s="6" t="n"/>
      <c r="O10" s="6" t="n"/>
      <c r="P10" s="5" t="n"/>
      <c r="Q10" s="5" t="n"/>
      <c r="R10" s="5" t="n"/>
    </row>
    <row r="11" ht="69.75" customHeight="1" s="19">
      <c r="A11" s="5" t="inlineStr">
        <is>
          <t>INT-05-SC1-TC1</t>
        </is>
      </c>
      <c r="B11" s="5" t="inlineStr">
        <is>
          <t>INT-05-SC1</t>
        </is>
      </c>
      <c r="C11" s="5" t="inlineStr">
        <is>
          <t>Dịch vụ cấu hình Store - Danh mục/Giá/Tồn kho</t>
        </is>
      </c>
      <c r="D11" s="5" t="inlineStr">
        <is>
          <t>BRL-01</t>
        </is>
      </c>
      <c r="E11" s="5" t="inlineStr">
        <is>
          <t>Functional</t>
        </is>
      </c>
      <c r="F11" s="5" t="inlineStr">
        <is>
          <t>Đổi store render lại đúng bộ 3 danh mục/giá/tồn kho, không sót dữ liệu store cũ</t>
        </is>
      </c>
      <c r="G11" s="5" t="inlineStr">
        <is>
          <t>Đang xem Homepage với Store A, có danh sách sản phẩm và giá riêng của Store A.</t>
        </is>
      </c>
      <c r="H11" s="5" t="inlineStr">
        <is>
          <t>1. Ghi nhận 3-5 SKU cùng giá của chúng tại Store A.
2. Đổi sang Store B (có giá/danh mục khác).
3. Kiểm tra lại chính 3-5 SKU đó: giá, tình trạng còn hàng, có còn xuất hiện không.</t>
        </is>
      </c>
      <c r="I11" s="5" t="inlineStr">
        <is>
          <t>Store A, Store B: cấu hình giá/danh mục khác nhau rõ rệt cho ít nhất 1 SKU chung và 1 SKU chỉ có ở Store A.</t>
        </is>
      </c>
      <c r="J11" s="5" t="inlineStr">
        <is>
          <t>Sau khi đổi sang Store B: giá hiển thị là giá CỦA STORE B (không còn là giá Store A); SKU chỉ có ở Store A không còn xuất hiện trong danh mục Store B.</t>
        </is>
      </c>
      <c r="K11" s="5" t="inlineStr">
        <is>
          <t>High</t>
        </is>
      </c>
      <c r="L11" s="6" t="n"/>
      <c r="M11" s="6" t="inlineStr">
        <is>
          <t>Not Run</t>
        </is>
      </c>
      <c r="N11" s="6" t="n"/>
      <c r="O11" s="6" t="n"/>
      <c r="P11" s="5" t="n"/>
      <c r="Q11" s="5" t="n"/>
      <c r="R11" s="5" t="n"/>
    </row>
    <row r="12" ht="69.75" customHeight="1" s="19">
      <c r="A12" s="16" t="inlineStr">
        <is>
          <t>INT-05-SC2-TC1</t>
        </is>
      </c>
      <c r="B12" s="16" t="inlineStr">
        <is>
          <t>INT-05-SC2</t>
        </is>
      </c>
      <c r="C12" s="16" t="inlineStr">
        <is>
          <t>Dịch vụ cấu hình Store - Danh mục/Giá/Tồn kho</t>
        </is>
      </c>
      <c r="D12" s="16" t="inlineStr">
        <is>
          <t>CT-07, BRL-24</t>
        </is>
      </c>
      <c r="E12" s="16" t="inlineStr">
        <is>
          <t>Functional</t>
        </is>
      </c>
      <c r="F12" s="16" t="inlineStr">
        <is>
          <t>Đổi store trong Cart trả về đúng danh sách SKU bị ảnh hưởng để gộp thành 1 cảnh báo</t>
        </is>
      </c>
      <c r="G12" s="16" t="inlineStr">
        <is>
          <t>Giỏ hàng có 5 SKU; đổi sang Store C: SKU-1 hết hàng, SKU-2 đổi giá, 3 SKU còn lại không đổi.</t>
        </is>
      </c>
      <c r="H12" s="16" t="inlineStr">
        <is>
          <t>1. Mở sheet đổi store trong Cart, chọn Store C.
2. Quan sát danh sách SKU được nêu trong cảnh báo.
3. Đối chiếu với dữ liệu đã chuẩn bị (SKU-1, SKU-2 phải có mặt; 3 SKU còn lại KHÔNG được liệt kê là ảnh hưởng).</t>
        </is>
      </c>
      <c r="I12" s="16" t="inlineStr">
        <is>
          <t>SKU-1: hết hàng tại Store C. SKU-2: giá khác tại Store C. SKU-3,4,5: không đổi.</t>
        </is>
      </c>
      <c r="J12" s="16" t="inlineStr">
        <is>
          <t>Cảnh báo CHỈ liệt kê đúng SKU-1 (hết hàng) và SKU-2 (đổi giá); không báo thiếu, không báo thừa SKU nào trong 5 SKU của giỏ hàng.</t>
        </is>
      </c>
      <c r="K12" s="16" t="inlineStr">
        <is>
          <t>High</t>
        </is>
      </c>
      <c r="L12" s="6" t="n"/>
      <c r="M12" s="6" t="inlineStr">
        <is>
          <t>Not Run</t>
        </is>
      </c>
      <c r="N12" s="6" t="n"/>
      <c r="O12" s="6" t="n"/>
      <c r="P12" s="16" t="inlineStr">
        <is>
          <t>QnA-25</t>
        </is>
      </c>
      <c r="Q12" s="16" t="n"/>
      <c r="R12" s="5" t="n"/>
    </row>
    <row r="13" ht="69.75" customHeight="1" s="19">
      <c r="A13" s="16" t="inlineStr">
        <is>
          <t>INT-06-SC1-TC1</t>
        </is>
      </c>
      <c r="B13" s="16" t="inlineStr">
        <is>
          <t>INT-06-SC1</t>
        </is>
      </c>
      <c r="C13" s="16" t="inlineStr">
        <is>
          <t>Biometric / Device Security Ticket</t>
        </is>
      </c>
      <c r="D13" s="16" t="inlineStr">
        <is>
          <t>NFR-02</t>
        </is>
      </c>
      <c r="E13" s="16" t="inlineStr">
        <is>
          <t>Security</t>
        </is>
      </c>
      <c r="F13" s="16" t="inlineStr">
        <is>
          <t>Đăng nhập sinh trắc học tài khoản thứ 2 trên cùng thiết bị cảnh báo trước khi ghi đè ticket</t>
        </is>
      </c>
      <c r="G13" s="16" t="inlineStr">
        <is>
          <t>Thiết bị test đã có bio ticket đang hoạt động của Tài khoản A.</t>
        </is>
      </c>
      <c r="H13" s="16" t="inlineStr">
        <is>
          <t>1. Đăng xuất Tài khoản A (không tắt sinh trắc học riêng).
2. Đăng nhập Tài khoản B bằng SĐT+PIN, đến bước lời mời bật sinh trắc học.
3. Bật sinh trắc học cho Tài khoản B trên cùng thiết bị.
4. Quan sát cảnh báo (nếu có) trước khi xác nhận.
5. Sau khi xác nhận, thử đăng nhập lại bằng Face ID/vân tay trên thiết bị - kiểm tra tài khoản nào được đăng nhập.</t>
        </is>
      </c>
      <c r="I13" s="16" t="inlineStr">
        <is>
          <t>Tài khoản A, Tài khoản B trên cùng 1 thiết bị vật lý.</t>
        </is>
      </c>
      <c r="J13" s="16" t="inlineStr">
        <is>
          <t>Bước 4: hệ thống PHẢI hiện cảnh báo rõ ràng ('thiết bị này đang liên kết sinh trắc học với 1 tài khoản khác, tiếp tục sẽ thay thế') trước khi ghi đè. Bước 5: sinh trắc học trên thiết bị giờ đăng nhập Tài khoản B, Tài khoản A không còn đăng nhập được bằng sinh trắc học trên thiết bị này.</t>
        </is>
      </c>
      <c r="K13" s="16" t="inlineStr">
        <is>
          <t>High</t>
        </is>
      </c>
      <c r="L13" s="6" t="n"/>
      <c r="M13" s="6" t="inlineStr">
        <is>
          <t>Not Run</t>
        </is>
      </c>
      <c r="N13" s="6" t="n"/>
      <c r="O13" s="6" t="n"/>
      <c r="P13" s="16" t="inlineStr">
        <is>
          <t>QnA-07, QnA-11</t>
        </is>
      </c>
      <c r="Q13" s="16" t="inlineStr">
        <is>
          <t>Xác nhận lại với Dev khi có kết luận chính thức cho OQ-07/OQ-11.</t>
        </is>
      </c>
      <c r="R13" s="5" t="n"/>
    </row>
    <row r="14" ht="69.75" customHeight="1" s="19">
      <c r="A14" s="16" t="inlineStr">
        <is>
          <t>INT-07-SC1-TC1</t>
        </is>
      </c>
      <c r="B14" s="16" t="inlineStr">
        <is>
          <t>INT-07-SC1</t>
        </is>
      </c>
      <c r="C14" s="16" t="inlineStr">
        <is>
          <t>Session / Auth Token</t>
        </is>
      </c>
      <c r="D14" s="16" t="inlineStr">
        <is>
          <t>HP-07</t>
        </is>
      </c>
      <c r="E14" s="16" t="inlineStr">
        <is>
          <t>Exception</t>
        </is>
      </c>
      <c r="F14" s="16" t="inlineStr">
        <is>
          <t>Token hết hạn giữa chừng chuyển về trạng thái Guest, không crash, yêu cầu đăng nhập lại đúng lúc</t>
        </is>
      </c>
      <c r="G14" s="16" t="inlineStr">
        <is>
          <t>Đang đăng nhập, đang duyệt Cart bình thường.</t>
        </is>
      </c>
      <c r="H14" s="16" t="inlineStr">
        <is>
          <t>1. Giả lập token phiên hết hạn (ví dụ sửa/xoá token lưu cục bộ hoặc chờ hết TTL trong môi trường test).
2. Thực hiện 1 hành động cần xác thực (ví dụ mở lại Cart hoặc Add to Cart).
3. Quan sát phản hồi của app.</t>
        </is>
      </c>
      <c r="I14" s="16" t="inlineStr">
        <is>
          <t>Token hết hạn được giả lập trong môi trường test/staging.</t>
        </is>
      </c>
      <c r="J14" s="16" t="inlineStr">
        <is>
          <t>App KHÔNG crash và KHÔNG lặp vô hạn lỗi; chuyển về trạng thái Guest, hiện lại login gate khi chạm vào hành động cần xác thực (Add to Cart/mở Cart), giống hệt hành vi của 1 Guest chưa từng đăng nhập.</t>
        </is>
      </c>
      <c r="K14" s="16" t="inlineStr">
        <is>
          <t>High</t>
        </is>
      </c>
      <c r="L14" s="6" t="n"/>
      <c r="M14" s="6" t="inlineStr">
        <is>
          <t>Not Run</t>
        </is>
      </c>
      <c r="N14" s="6" t="n"/>
      <c r="O14" s="6" t="n"/>
      <c r="P14" s="16" t="inlineStr">
        <is>
          <t>QnA-04</t>
        </is>
      </c>
      <c r="Q14" s="16" t="n"/>
      <c r="R14" s="5" t="n"/>
    </row>
    <row r="15" ht="69.75" customHeight="1" s="19">
      <c r="A15" s="16" t="inlineStr">
        <is>
          <t>INT-08-SC1-TC1</t>
        </is>
      </c>
      <c r="B15" s="16" t="inlineStr">
        <is>
          <t>INT-08-SC1</t>
        </is>
      </c>
      <c r="C15" s="16" t="inlineStr">
        <is>
          <t>Coupon &amp; Khuyến mãi Engine</t>
        </is>
      </c>
      <c r="D15" s="16" t="inlineStr">
        <is>
          <t>BRL-32</t>
        </is>
      </c>
      <c r="E15" s="16" t="inlineStr">
        <is>
          <t>Functional</t>
        </is>
      </c>
      <c r="F15" s="16" t="inlineStr">
        <is>
          <t>Engine tự động áp dụng cả coupon giao hàng và coupon sản phẩm, trả về đúng số tiền cho từng nhóm</t>
        </is>
      </c>
      <c r="G15" s="16" t="inlineStr">
        <is>
          <t>Ví có 1 coupon giao hàng (-15.000đ) và 1 coupon sản phẩm (-10% 1 SKU giá 200.000đ) đều hợp lệ cho đơn hàng hiện tại.</t>
        </is>
      </c>
      <c r="H15" s="16" t="inlineStr">
        <is>
          <t>1. Mở Cart với đơn hàng đủ điều kiện cả 2 coupon.
2. Quan sát coupon có được TỰ ĐỘNG áp dụng không (không cần khách chọn tay).
3. Kiểm tra số tiền giảm của từng nhóm (giao hàng / sản phẩm) hiện riêng biệt.</t>
        </is>
      </c>
      <c r="I15" s="16" t="inlineStr">
        <is>
          <t>Coupon giao hàng: -15.000đ. Coupon sản phẩm: -10% trên SKU 200.000đ (= -20.000đ).</t>
        </is>
      </c>
      <c r="J15" s="16" t="inlineStr">
        <is>
          <t>Cả 2 coupon được ÁP DỤNG TỰ ĐỘNG; nhóm giao hàng hiện đúng -15.000đ, nhóm sản phẩm hiện đúng -20.000đ, không bị trộn thành 1 dòng duy nhất và không bị áp dụng sai chiều.</t>
        </is>
      </c>
      <c r="K15" s="16" t="inlineStr">
        <is>
          <t>Medium</t>
        </is>
      </c>
      <c r="L15" s="6" t="n"/>
      <c r="M15" s="6" t="inlineStr">
        <is>
          <t>Not Run</t>
        </is>
      </c>
      <c r="N15" s="6" t="n"/>
      <c r="O15" s="6" t="n"/>
      <c r="P15" s="16" t="inlineStr">
        <is>
          <t>QnA-17</t>
        </is>
      </c>
      <c r="Q15" s="16" t="n"/>
      <c r="R15" s="5" t="n"/>
    </row>
    <row r="16" ht="69.75" customHeight="1" s="19">
      <c r="A16" s="5" t="inlineStr">
        <is>
          <t>INT-08-SC2-TC1</t>
        </is>
      </c>
      <c r="B16" s="5" t="inlineStr">
        <is>
          <t>INT-08-SC2</t>
        </is>
      </c>
      <c r="C16" s="5" t="inlineStr">
        <is>
          <t>Coupon &amp; Khuyến mãi Engine</t>
        </is>
      </c>
      <c r="D16" s="5" t="inlineStr">
        <is>
          <t>CT-03, BRL-19</t>
        </is>
      </c>
      <c r="E16" s="5" t="inlineStr">
        <is>
          <t>Boundary</t>
        </is>
      </c>
      <c r="F16" s="5" t="inlineStr">
        <is>
          <t>Freeship threshold 150.000đ được tính lại real-time ngay khi thêm sản phẩm đủ ngưỡng</t>
        </is>
      </c>
      <c r="G16" s="5" t="inlineStr">
        <is>
          <t>Giỏ hàng đang ở 130.000đ, dịch vụ Standard, chưa freeship.</t>
        </is>
      </c>
      <c r="H16" s="5" t="inlineStr">
        <is>
          <t>1. Quan sát phí giao hàng hiện tại (có giá trị, chưa 0đ).
2. Thêm 1 sản phẩm 20.000đ vào giỏ (đưa tổng = 150.000đ).
3. Quan sát lại phí giao hàng NGAY sau khi thêm, không thao tác gì khác.</t>
        </is>
      </c>
      <c r="I16" s="5" t="inlineStr">
        <is>
          <t>Giỏ hàng: 130.000đ -&gt; thêm SKU 20.000đ -&gt; 150.000đ.</t>
        </is>
      </c>
      <c r="J16" s="5" t="inlineStr">
        <is>
          <t>Ngay sau bước 2 (không cần F5 hay rời màn hình), phí giao hàng Standard TỰ ĐỘNG chuyển về 0đ và thanh tiến độ freeship báo đã đạt ngưỡng.</t>
        </is>
      </c>
      <c r="K16" s="5" t="inlineStr">
        <is>
          <t>Medium</t>
        </is>
      </c>
      <c r="L16" s="6" t="n"/>
      <c r="M16" s="6" t="inlineStr">
        <is>
          <t>Not Run</t>
        </is>
      </c>
      <c r="N16" s="6" t="n"/>
      <c r="O16" s="6" t="n"/>
      <c r="P16" s="5" t="n"/>
      <c r="Q16" s="5" t="n"/>
      <c r="R16" s="5" t="n"/>
    </row>
    <row r="17" ht="69.75" customHeight="1" s="19">
      <c r="A17" s="16" t="inlineStr">
        <is>
          <t>INT-09-SC1-TC1</t>
        </is>
      </c>
      <c r="B17" s="16" t="inlineStr">
        <is>
          <t>INT-09-SC1</t>
        </is>
      </c>
      <c r="C17" s="16" t="inlineStr">
        <is>
          <t>Loyalty &amp; Điểm thưởng Engine</t>
        </is>
      </c>
      <c r="D17" s="16" t="inlineStr">
        <is>
          <t>BRL-27</t>
        </is>
      </c>
      <c r="E17" s="16" t="inlineStr">
        <is>
          <t>Functional</t>
        </is>
      </c>
      <c r="F17" s="16" t="inlineStr">
        <is>
          <t>Điểm thưởng cho khung giờ point-earning được cộng đúng và khớp giữa client và engine</t>
        </is>
      </c>
      <c r="G17" s="16" t="inlineStr">
        <is>
          <t>Chọn khung giờ 18:00-20:00 (1 trong các khung point-earning theo BRL-27).</t>
        </is>
      </c>
      <c r="H17" s="16" t="inlineStr">
        <is>
          <t>1. Ở bước chọn slot, chọn khung 18:00-20:00.
2. Quan sát thông điệp/badge điểm thưởng hiện trên app (ví dụ '+X điểm').
3. Tiếp tục đến Checkout, kiểm tra 'điểm dự kiến' trong tóm tắt thanh toán có cộng đúng X điểm từ bước 2 không.</t>
        </is>
      </c>
      <c r="I17" s="16" t="inlineStr">
        <is>
          <t>Khung giờ point-earning: 18:00-20:00.</t>
        </is>
      </c>
      <c r="J17" s="16" t="inlineStr">
        <is>
          <t>Số điểm hiện ở Cart (bước 2) và số điểm dự kiến ở Checkout (bước 3) phải KHỚP NHAU và khớp với giá trị engine backend trả về (không phải số hard-code riêng trên client).</t>
        </is>
      </c>
      <c r="K17" s="16" t="inlineStr">
        <is>
          <t>Low</t>
        </is>
      </c>
      <c r="L17" s="6" t="n"/>
      <c r="M17" s="6" t="inlineStr">
        <is>
          <t>Not Run</t>
        </is>
      </c>
      <c r="N17" s="6" t="n"/>
      <c r="O17" s="6" t="n"/>
      <c r="P17" s="16" t="inlineStr">
        <is>
          <t>QnA-36</t>
        </is>
      </c>
      <c r="Q17" s="16" t="inlineStr">
        <is>
          <t>Con số cụ thể (ví dụ 10.000 điểm) cần đối chiếu với giá trị thật của engine, không lấy từ Figma làm chuẩn.</t>
        </is>
      </c>
      <c r="R17" s="5" t="n"/>
    </row>
    <row r="18" ht="69.75" customHeight="1" s="19">
      <c r="A18" s="5" t="inlineStr">
        <is>
          <t>INT-10-SC1-TC1</t>
        </is>
      </c>
      <c r="B18" s="5" t="inlineStr">
        <is>
          <t>INT-10-SC1</t>
        </is>
      </c>
      <c r="C18" s="5" t="inlineStr">
        <is>
          <t>GotIt / Gift Card Service</t>
        </is>
      </c>
      <c r="D18" s="5" t="inlineStr">
        <is>
          <t>CO-04</t>
        </is>
      </c>
      <c r="E18" s="5" t="inlineStr">
        <is>
          <t>Functional</t>
        </is>
      </c>
      <c r="F18" s="5" t="inlineStr">
        <is>
          <t>Mã gift card đã sử dụng bị từ chối rõ ràng, không trừ tiền</t>
        </is>
      </c>
      <c r="G18" s="5" t="inlineStr">
        <is>
          <t>1 mã gift card đã được dùng hết cho 1 đơn trước đó.</t>
        </is>
      </c>
      <c r="H18" s="5" t="inlineStr">
        <is>
          <t>1. Nhập mã gift card đã dùng trước đó vào ô mã quà tặng.
2. Bấm áp dụng.
3. Quan sát phản hồi.</t>
        </is>
      </c>
      <c r="I18" s="5" t="inlineStr">
        <is>
          <t>Mã test: GIFT-USED-01 (đã được dùng).</t>
        </is>
      </c>
      <c r="J18" s="5" t="inlineStr">
        <is>
          <t>Dịch vụ GotIt trả về lỗi 'mã đã được sử dụng', không có số tiền nào bị trừ khỏi tổng đơn hàng, khách có thể nhập mã khác.</t>
        </is>
      </c>
      <c r="K18" s="5" t="inlineStr">
        <is>
          <t>Medium</t>
        </is>
      </c>
      <c r="L18" s="6" t="n"/>
      <c r="M18" s="6" t="inlineStr">
        <is>
          <t>Not Run</t>
        </is>
      </c>
      <c r="N18" s="6" t="n"/>
      <c r="O18" s="6" t="n"/>
      <c r="P18" s="5" t="n"/>
      <c r="Q18" s="5" t="n"/>
      <c r="R18" s="5" t="n"/>
    </row>
    <row r="19" ht="69.75" customHeight="1" s="19">
      <c r="A19" s="16" t="inlineStr">
        <is>
          <t>INT-11-SC1-TC1</t>
        </is>
      </c>
      <c r="B19" s="16" t="inlineStr">
        <is>
          <t>INT-11-SC1</t>
        </is>
      </c>
      <c r="C19" s="16" t="inlineStr">
        <is>
          <t>Dịch vụ hoá đơn VAT</t>
        </is>
      </c>
      <c r="D19" s="16" t="inlineStr">
        <is>
          <t>CO-07</t>
        </is>
      </c>
      <c r="E19" s="16" t="inlineStr">
        <is>
          <t>Functional</t>
        </is>
      </c>
      <c r="F19" s="16" t="inlineStr">
        <is>
          <t>Thông tin xuất hoá đơn VAT được gửi đúng và gắn đúng với mã đơn hàng</t>
        </is>
      </c>
      <c r="G19" s="16" t="inlineStr">
        <is>
          <t>Bật yêu cầu xuất hoá đơn, nhập tên công ty + mã số thuế hợp lệ.</t>
        </is>
      </c>
      <c r="H19" s="16" t="inlineStr">
        <is>
          <t>1. Bật toggle 'Yêu cầu xuất hoá đơn VAT'.
2. Nhập tên công ty, mã số thuế, địa chỉ công ty.
3. Hoàn tất Đặt hàng.
4. Truy vấn (qua công cụ QC) bản ghi hoá đơn đã gửi sang VAT Invoice Service, đối chiếu với mã đơn hàng vừa tạo.</t>
        </is>
      </c>
      <c r="I19" s="16" t="inlineStr">
        <is>
          <t>Tên công ty: Công ty TNHH ABC. MST: 0312345678.</t>
        </is>
      </c>
      <c r="J19" s="16" t="inlineStr">
        <is>
          <t>Thông tin hoá đơn được dịch vụ VAT nhận đúng, gắn đúng mã đơn hàng tương ứng - không bị thất lạc hay gắn nhầm đơn khác.</t>
        </is>
      </c>
      <c r="K19" s="16" t="inlineStr">
        <is>
          <t>Medium</t>
        </is>
      </c>
      <c r="L19" s="6" t="n"/>
      <c r="M19" s="6" t="inlineStr">
        <is>
          <t>Not Run</t>
        </is>
      </c>
      <c r="N19" s="6" t="n"/>
      <c r="O19" s="6" t="n"/>
      <c r="P19" s="16" t="inlineStr">
        <is>
          <t>QnA-19</t>
        </is>
      </c>
      <c r="Q19" s="16" t="n"/>
      <c r="R19" s="5" t="n"/>
    </row>
    <row r="20" ht="69.75" customHeight="1" s="19">
      <c r="A20" s="16" t="inlineStr">
        <is>
          <t>INT-12-SC1-TC1</t>
        </is>
      </c>
      <c r="B20" s="16" t="inlineStr">
        <is>
          <t>INT-12-SC1</t>
        </is>
      </c>
      <c r="C20" s="16" t="inlineStr">
        <is>
          <t>Delivery Partner &amp; Locker Network</t>
        </is>
      </c>
      <c r="D20" s="16" t="inlineStr">
        <is>
          <t>CT-10</t>
        </is>
      </c>
      <c r="E20" s="16" t="inlineStr">
        <is>
          <t>Functional</t>
        </is>
      </c>
      <c r="F20" s="16" t="inlineStr">
        <is>
          <t>Trạng thái còn chỗ/hết chỗ của locker được phản ánh đúng từ Delivery Partner</t>
        </is>
      </c>
      <c r="G20" s="16" t="inlineStr">
        <is>
          <t>1 locker gần nhà còn 2 chỗ trống, 1 locker tại store đã hết chỗ.</t>
        </is>
      </c>
      <c r="H20" s="16" t="inlineStr">
        <is>
          <t>1. Mở màn chọn locker gần nhà, quan sát trạng thái.
2. Mở màn chọn locker tại store (đã hết chỗ), thử chọn.
3. Quan sát phản hồi.</t>
        </is>
      </c>
      <c r="I20" s="16" t="inlineStr">
        <is>
          <t>Locker A (gần nhà): còn 2 chỗ. Locker B (tại store): 0 chỗ còn.</t>
        </is>
      </c>
      <c r="J20" s="16" t="inlineStr">
        <is>
          <t>Locker A hiện 'còn chỗ', chọn được bình thường. Locker B hiện 'hết chỗ'/disabled, KHÔNG chọn được, tránh đặt trùng vào 1 locker đã đầy.</t>
        </is>
      </c>
      <c r="K20" s="16" t="inlineStr">
        <is>
          <t>Medium</t>
        </is>
      </c>
      <c r="L20" s="6" t="n"/>
      <c r="M20" s="6" t="inlineStr">
        <is>
          <t>Not Run</t>
        </is>
      </c>
      <c r="N20" s="6" t="n"/>
      <c r="O20" s="6" t="n"/>
      <c r="P20" s="16" t="inlineStr">
        <is>
          <t>QnA-23</t>
        </is>
      </c>
      <c r="Q20" s="16" t="n"/>
      <c r="R20" s="5" t="n"/>
    </row>
    <row r="21" ht="69.75" customHeight="1" s="19">
      <c r="A21" s="16" t="inlineStr">
        <is>
          <t>INT-13-SC1-TC1</t>
        </is>
      </c>
      <c r="B21" s="16" t="inlineStr">
        <is>
          <t>INT-13-SC1</t>
        </is>
      </c>
      <c r="C21" s="16" t="inlineStr">
        <is>
          <t>Dịch vụ phân giải địa chỉ &amp; vùng dịch vụ (Geo/Service-zone)</t>
        </is>
      </c>
      <c r="D21" s="16" t="inlineStr">
        <is>
          <t>HP-04</t>
        </is>
      </c>
      <c r="E21" s="16" t="inlineStr">
        <is>
          <t>Boundary</t>
        </is>
      </c>
      <c r="F21" s="16" t="inlineStr">
        <is>
          <t>Dịch vụ phân giải vùng dịch vụ trả về đúng 1 trong 4 trạng thái cho từng khoảng cách mẫu</t>
        </is>
      </c>
      <c r="G21" s="16" t="inlineStr">
        <is>
          <t>4 địa chỉ mẫu: 4km (60-Minute+Standard), 12km (Standard only), thuộc khu Next-day, ngoài mọi vùng cấu hình.</t>
        </is>
      </c>
      <c r="H21" s="16" t="inlineStr">
        <is>
          <t>1. Nhập lần lượt từng địa chỉ mẫu và quan sát kết quả trả về trên header/Homepage.
2. Đối chiếu với bán kính cấu hình của store đang chọn.</t>
        </is>
      </c>
      <c r="I21" s="16" t="inlineStr">
        <is>
          <t>4 địa chỉ mẫu khớp đúng 4 ngưỡng BRL-10/11/12 của store test.</t>
        </is>
      </c>
      <c r="J21" s="16" t="inlineStr">
        <is>
          <t>Đúng 4km -&gt; 60-Minute+Standard; 12km -&gt; chỉ Standard; khu Next-day -&gt; chỉ ngày giao; ngoài mọi vùng -&gt; không ngày/giờ, chỉ thông báo + CTA đổi địa chỉ. Không có trường hợp lẫn giữa 2 trạng thái.</t>
        </is>
      </c>
      <c r="K21" s="16" t="inlineStr">
        <is>
          <t>High</t>
        </is>
      </c>
      <c r="L21" s="6" t="n"/>
      <c r="M21" s="6" t="inlineStr">
        <is>
          <t>Not Run</t>
        </is>
      </c>
      <c r="N21" s="6" t="n"/>
      <c r="O21" s="6" t="n"/>
      <c r="P21" s="16" t="inlineStr">
        <is>
          <t>QnA-09</t>
        </is>
      </c>
      <c r="Q21" s="16" t="n"/>
      <c r="R21" s="5" t="n"/>
    </row>
    <row r="22" ht="69.75" customHeight="1" s="19">
      <c r="A22" s="16" t="inlineStr">
        <is>
          <t>INT-13-SC2-TC1</t>
        </is>
      </c>
      <c r="B22" s="16" t="inlineStr">
        <is>
          <t>INT-13-SC2</t>
        </is>
      </c>
      <c r="C22" s="16" t="inlineStr">
        <is>
          <t>Dịch vụ phân giải địa chỉ &amp; vùng dịch vụ (Geo/Service-zone)</t>
        </is>
      </c>
      <c r="D22" s="16" t="inlineStr">
        <is>
          <t>CT-07</t>
        </is>
      </c>
      <c r="E22" s="16" t="inlineStr">
        <is>
          <t>Integration</t>
        </is>
      </c>
      <c r="F22" s="16" t="inlineStr">
        <is>
          <t>Dữ liệu từ Catalog Service và Service-zone Service được tổng hợp đồng bộ trước khi hiện 1 cảnh báo gộp</t>
        </is>
      </c>
      <c r="G22" s="16" t="inlineStr">
        <is>
          <t>Đổi store trong Cart ảnh hưởng cả sản phẩm (từ Catalog) và dịch vụ/slot (từ Service-zone).</t>
        </is>
      </c>
      <c r="H22" s="16" t="inlineStr">
        <is>
          <t>1. Chọn store mới gây ảnh hưởng cả 2 nhóm.
2. Quan sát thời điểm dialog cảnh báo xuất hiện - phải là SAU KHI cả 2 nguồn dữ liệu đã trả về, không hiện dialog 'thiếu' trước rồi cập nhật thêm sau.
3. Kiểm tra nội dung dialog có đủ cả thông tin sản phẩm lẫn dịch vụ/slot ngay lần hiện đầu tiên.</t>
        </is>
      </c>
      <c r="I22" s="16" t="inlineStr">
        <is>
          <t>Store gây ảnh hưởng đồng thời cả 2 nhóm dữ liệu.</t>
        </is>
      </c>
      <c r="J22" s="16" t="inlineStr">
        <is>
          <t>Dialog cảnh báo CHỈ hiện 1 lần, ĐẦY ĐỦ thông tin cả 2 nhóm ngay từ đầu - không có hiện tượng dialog hiện thiếu dữ liệu rồi cập nhật/nháy lại.</t>
        </is>
      </c>
      <c r="K22" s="16" t="inlineStr">
        <is>
          <t>Medium</t>
        </is>
      </c>
      <c r="L22" s="6" t="n"/>
      <c r="M22" s="6" t="inlineStr">
        <is>
          <t>Not Run</t>
        </is>
      </c>
      <c r="N22" s="6" t="n"/>
      <c r="O22" s="6" t="n"/>
      <c r="P22" s="16" t="inlineStr">
        <is>
          <t>QnA-25</t>
        </is>
      </c>
      <c r="Q22" s="16" t="n"/>
      <c r="R22" s="5" t="n"/>
    </row>
    <row r="23" ht="69.75" customHeight="1" s="19">
      <c r="A23" s="16" t="inlineStr">
        <is>
          <t>INT-14-SC1-TC1</t>
        </is>
      </c>
      <c r="B23" s="16" t="inlineStr">
        <is>
          <t>INT-14-SC1</t>
        </is>
      </c>
      <c r="C23" s="16" t="inlineStr">
        <is>
          <t>Security - Giới hạn thử OTP/PIN</t>
        </is>
      </c>
      <c r="D23" s="16" t="inlineStr">
        <is>
          <t>NFR-01, LI-06</t>
        </is>
      </c>
      <c r="E23" s="16" t="inlineStr">
        <is>
          <t>Security</t>
        </is>
      </c>
      <c r="F23" s="16" t="inlineStr">
        <is>
          <t>Server từ chối request xác thực thêm ngay cả khi client bị can thiệp để bỏ qua giới hạn</t>
        </is>
      </c>
      <c r="G23" s="16" t="inlineStr">
        <is>
          <t>Đã vượt quá số lần thử sai PIN giới hạn (server-side) cho 1 tài khoản test.</t>
        </is>
      </c>
      <c r="H23" s="16" t="inlineStr">
        <is>
          <t>1. Thực hiện đủ số lần thử sai PIN tới giới hạn qua UI bình thường (tài khoản bị khoá tạm thời trên server).
2. Dùng công cụ QC (ví dụ Postman/API client được cấp quyền) gửi THẲNG 1 request xác thực PIN tới API backend, bỏ qua UI app.
3. Quan sát phản hồi của server.</t>
        </is>
      </c>
      <c r="I23" s="16" t="inlineStr">
        <is>
          <t>Tài khoản test đã bị khoá server-side sau khi vượt giới hạn.</t>
        </is>
      </c>
      <c r="J23" s="16" t="inlineStr">
        <is>
          <t>Server TỪ CHỐI request ở bước 2 (trả về lỗi khoá tài khoản/yêu cầu OTP) bất kể request đến từ UI chính thức hay gọi trực tiếp API - giới hạn không được thực thi CHỈ ở phía client.</t>
        </is>
      </c>
      <c r="K23" s="16" t="inlineStr">
        <is>
          <t>High</t>
        </is>
      </c>
      <c r="L23" s="6" t="n"/>
      <c r="M23" s="6" t="inlineStr">
        <is>
          <t>Not Run</t>
        </is>
      </c>
      <c r="N23" s="6" t="n"/>
      <c r="O23" s="6" t="n"/>
      <c r="P23" s="16" t="inlineStr">
        <is>
          <t>QnA-03</t>
        </is>
      </c>
      <c r="Q23" s="16" t="n"/>
      <c r="R23" s="5" t="n"/>
    </row>
    <row r="24" ht="135" customHeight="1" s="19">
      <c r="A24" s="16" t="inlineStr">
        <is>
          <t>INT-15-SC1-TC1</t>
        </is>
      </c>
      <c r="B24" s="16" t="inlineStr">
        <is>
          <t>INT-15-SC1</t>
        </is>
      </c>
      <c r="C24" s="16" t="inlineStr">
        <is>
          <t>Biometric / Device Security Ticket</t>
        </is>
      </c>
      <c r="D24" s="16" t="inlineStr">
        <is>
          <t>LI-07</t>
        </is>
      </c>
      <c r="E24" s="16" t="inlineStr">
        <is>
          <t>Functional</t>
        </is>
      </c>
      <c r="F24" s="16" t="inlineStr">
        <is>
          <t>Đăng nhập trên thiết bị mới không tự ý xoá âm thầm biometric ticket của thiết bị cũ - TBD chờ OQ-11</t>
        </is>
      </c>
      <c r="G24" s="16" t="inlineStr">
        <is>
          <t>Tài khoản Member đã bật Face ID/vân tay trên Thiết bị A (ticket đang active).</t>
        </is>
      </c>
      <c r="H24" s="16" t="inlineStr">
        <is>
          <t>1. Trên Thiết bị B (thiết bị mới, chưa từng đăng nhập tài khoản này), đăng nhập bằng SĐT + PIN.
2. Khi được mời bật sinh trắc học trên Thiết bị B, xác nhận Bật.
3. Quay lại Thiết bị A, thử đăng nhập lại bằng Face ID/vân tay.
4. GHI NHẬN hành vi thực tế: Thiết bị A còn đăng nhập được bằng sinh trắc học không, có cảnh báo gì xuất hiện ở bước 1-2 không.</t>
        </is>
      </c>
      <c r="I24" s="16" t="inlineStr">
        <is>
          <t>Tài khoản Member test đã bật sinh trắc học sẵn trên Thiết bị A (SĐT: 0912340099, PIN: 123456).</t>
        </is>
      </c>
      <c r="J24" s="16" t="inlineStr">
        <is>
          <t>TBD - NFR-02 nói 'một thiết bị chỉ giữ 1 ticket hoạt động' nhưng KHÔNG nói rõ điều gì xảy ra ở CHIỀU NGƯỢC LẠI (1 tài khoản có ticket ở nhiều thiết bị cùng lúc có được phép không, và có cảnh báo khi thêm thiết bị mới không). Người thực thi ghi nhận hành vi thực tế (bước 3-4), không tự ý chấm Pass/Fail cho đến khi OQ-11 có câu trả lời.</t>
        </is>
      </c>
      <c r="K24" s="16" t="inlineStr">
        <is>
          <t>High</t>
        </is>
      </c>
      <c r="L24" s="6" t="n"/>
      <c r="M24" s="6" t="inlineStr">
        <is>
          <t>Not Run</t>
        </is>
      </c>
      <c r="N24" s="6" t="n"/>
      <c r="O24" s="6" t="n"/>
      <c r="P24" s="16" t="inlineStr">
        <is>
          <t>QnA-07, QnA-11</t>
        </is>
      </c>
      <c r="Q24" s="16" t="inlineStr">
        <is>
          <t>Đối xứng với INT-06-SC1-TC1 (đổi tài khoản, cùng thiết bị). Bổ sung theo Review 26/08/2026.</t>
        </is>
      </c>
      <c r="R24" s="5" t="n"/>
    </row>
    <row r="25" ht="210" customHeight="1" s="19">
      <c r="A25" s="16" t="inlineStr">
        <is>
          <t>INT-16-SC1-TC1</t>
        </is>
      </c>
      <c r="B25" s="16" t="inlineStr">
        <is>
          <t>INT-16-SC1</t>
        </is>
      </c>
      <c r="C25" s="16" t="inlineStr">
        <is>
          <t>Hieu nang &amp; Chiu tai (Performance/NFR)</t>
        </is>
      </c>
      <c r="D25" s="16" t="inlineStr">
        <is>
          <t>NFR-01, NFR-02, NFR-03, NFR-04, NFR-05</t>
        </is>
      </c>
      <c r="E25" s="16" t="inlineStr">
        <is>
          <t>Functional</t>
        </is>
      </c>
      <c r="F25" s="16" t="inlineStr">
        <is>
          <t>Ghi nhận baseline giới hạn thử sai OTP/PIN và thời gian phản hồi hiện tại - TBD chờ QnA-41 (không thay thế test Performance/Load chính thức)</t>
        </is>
      </c>
      <c r="G25" s="16" t="inlineStr">
        <is>
          <t>Môi trường test ổn định (staging), không có tải đồng thời từ nguồn khác.</t>
        </is>
      </c>
      <c r="H25" s="16" t="inlineStr">
        <is>
          <t>1. Nhập sai OTP liên tiếp tại SCR-AUT-02 (Signup) hoặc SCR-AUT-05 (Login), đếm số lần thử được phép trước khi bị khoá/yêu cầu gửi lại mã. GHI NHẬN con số thực tế.
2. Nhập sai PIN liên tiếp tại màn đăng nhập bằng PIN, đếm số lần thử được phép trước khi bị khoá. GHI NHẬN con số thực tế và thời gian khoá (nếu có).
3. Đo thời gian phản hồi (từ lúc bấm đến lúc có kết quả) cho 3 thao tác chính: mở Homepage lần đầu, thêm sản phẩm vào giỏ, đặt hàng (Place Order) - dùng đồng hồ bấm giờ thủ công hoặc công cụ đo network, không cần công cụ đo tải chuyên dụng.
4. Ghi lại toàn bộ số liệu ở bước 1-3 làm baseline tham khảo.</t>
        </is>
      </c>
      <c r="I25" s="16" t="inlineStr">
        <is>
          <t>Tài khoản Member test bất kỳ; SĐT/PIN test dùng để cố ý nhập sai.</t>
        </is>
      </c>
      <c r="J25" s="16" t="inlineStr">
        <is>
          <t>TBD - NFR-01..05 chưa có con số mục tiêu chính thức (QnA-41, đang Open). Người thực thi KHÔNG tự ý chấm Pass/Fail - chỉ ghi nhận số liệu thực tế ở bước 1-4 làm baseline. Khi QnA-41 có câu trả lời (số lần thử tối đa, ngưỡng thời gian phản hồi...), đối chiếu số liệu baseline này với ngưỡng chính thức để xác định Pass/Fail. LƯU Ý: đây KHÔNG phải test Performance/Load đầy đủ (không đo concurrency/throughput) - test đó cần Test Plan riêng.</t>
        </is>
      </c>
      <c r="K25" s="16" t="inlineStr">
        <is>
          <t>Medium</t>
        </is>
      </c>
      <c r="L25" s="6" t="n"/>
      <c r="M25" s="6" t="inlineStr">
        <is>
          <t>Not Run</t>
        </is>
      </c>
      <c r="N25" s="6" t="n"/>
      <c r="O25" s="6" t="n"/>
      <c r="P25" s="16" t="inlineStr">
        <is>
          <t>QnA-41</t>
        </is>
      </c>
      <c r="Q25" s="16" t="inlineStr">
        <is>
          <t>Bổ sung theo yêu cầu review 26/08/2026 - đóng gap NFR-01..05 chưa có test case nào (#13 trong Review - Gaps &amp; Issues, sheet này đã được xoá sau khi xử lý xong toàn bộ 19 mục).</t>
        </is>
      </c>
      <c r="R25" s="5" t="n"/>
    </row>
  </sheetData>
  <mergeCells count="1">
    <mergeCell ref="A1:R1"/>
  </mergeCells>
  <dataValidations count="1">
    <dataValidation sqref="M3:M23"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Q16"/>
  <sheetViews>
    <sheetView showGridLines="0" zoomScaleNormal="100" workbookViewId="0">
      <pane ySplit="3" topLeftCell="A4" activePane="bottomLeft" state="frozen"/>
      <selection pane="bottomLeft" activeCell="A1" sqref="A1"/>
    </sheetView>
  </sheetViews>
  <sheetFormatPr baseColWidth="8" defaultColWidth="8.7109375" defaultRowHeight="15"/>
  <cols>
    <col width="10" customWidth="1" style="19" min="1" max="1"/>
    <col width="42" customWidth="1" style="19" min="2" max="3"/>
    <col width="34" customWidth="1" style="19" min="4" max="4"/>
    <col width="26" customWidth="1" style="19" min="5" max="5"/>
    <col width="12" customWidth="1" style="19" min="6" max="6"/>
    <col width="40" customWidth="1" style="19" min="7" max="7"/>
    <col width="70" customWidth="1" style="19" min="8" max="8"/>
    <col width="40" customWidth="1" style="19" min="9" max="9"/>
    <col width="60" customWidth="1" style="19" min="10" max="10"/>
    <col width="14" customWidth="1" style="19" min="11" max="11"/>
    <col width="12" customWidth="1" style="19" min="12" max="12"/>
    <col width="10" customWidth="1" style="19" min="13" max="13"/>
    <col width="12" customWidth="1" style="19" min="14" max="15"/>
    <col width="46" customWidth="1" style="19" min="16" max="16"/>
    <col width="45" customWidth="1" style="19" min="17" max="17"/>
  </cols>
  <sheetData>
    <row r="1" ht="17.25" customHeight="1" s="19">
      <c r="A1" s="18" t="inlineStr">
        <is>
          <t>Simplify Checkout — Kịch bản Test XUYÊN SUỐT (từ lúc mở app đến lúc đặt hàng xong)</t>
        </is>
      </c>
    </row>
    <row r="2" ht="43.5" customHeight="1" s="19">
      <c r="A2" s="20" t="inlineStr">
        <is>
          <t>Các test case dưới đây mô phỏng ĐÚNG hành trình của 1 khách hàng thực tế, đi qua NHIỀU màn hình/nhiều bước liên tiếp - khác với 2 sheet Test Cases ở trên chỉ test TỪNG MÀN HÌNH riêng lẻ. Mục đích: bắt được những lỗi chỉ xuất hiện khi CHUYỂN TIẾP giữa các bước (ví dụ: mất dữ liệu khi đăng ký giữa chừng, mất giỏ hàng khi phiên đăng nhập hết hạn...).</t>
        </is>
      </c>
    </row>
    <row r="3" ht="27.75" customHeight="1" s="19">
      <c r="A3" s="4" t="inlineStr">
        <is>
          <t>E2E ID</t>
        </is>
      </c>
      <c r="B3" s="4" t="inlineStr">
        <is>
          <t>Tên hành trình (dễ hiểu)</t>
        </is>
      </c>
      <c r="C3" s="4" t="inlineStr">
        <is>
          <t>Người dùng / Tình huống</t>
        </is>
      </c>
      <c r="D3" s="4" t="inlineStr">
        <is>
          <t>Các màn hình / bước đi qua</t>
        </is>
      </c>
      <c r="E3" s="4" t="inlineStr">
        <is>
          <t>Loại test</t>
        </is>
      </c>
      <c r="F3" s="4" t="inlineStr">
        <is>
          <t>Độ ưu tiên</t>
        </is>
      </c>
      <c r="G3" s="4" t="inlineStr">
        <is>
          <t>Điều kiện trước khi bắt đầu</t>
        </is>
      </c>
      <c r="H3" s="4" t="inlineStr">
        <is>
          <t>Các bước thực hiện (chi tiết)</t>
        </is>
      </c>
      <c r="I3" s="4" t="inlineStr">
        <is>
          <t>Dữ liệu test</t>
        </is>
      </c>
      <c r="J3" s="4" t="inlineStr">
        <is>
          <t>Kết quả mong đợi</t>
        </is>
      </c>
      <c r="K3" s="4" t="inlineStr">
        <is>
          <t>Actual Result</t>
        </is>
      </c>
      <c r="L3" s="4" t="inlineStr">
        <is>
          <t>Pass/Fail Status</t>
        </is>
      </c>
      <c r="M3" s="4" t="inlineStr">
        <is>
          <t>Tester</t>
        </is>
      </c>
      <c r="N3" s="4" t="inlineStr">
        <is>
          <t>Ngày test</t>
        </is>
      </c>
      <c r="O3" s="4" t="inlineStr">
        <is>
          <t>QnA liên quan</t>
        </is>
      </c>
      <c r="P3" s="4" t="inlineStr">
        <is>
          <t>Ghi chú</t>
        </is>
      </c>
      <c r="Q3" s="4" t="inlineStr">
        <is>
          <t>Ghi chu Review (QC)</t>
        </is>
      </c>
    </row>
    <row r="4" ht="189.75" customHeight="1" s="19">
      <c r="A4" s="5" t="inlineStr">
        <is>
          <t>E2E-01</t>
        </is>
      </c>
      <c r="B4" s="5" t="inlineStr">
        <is>
          <t>Khách hàng mới mua lần đầu - từ lúc mở app đến lúc đặt hàng xong</t>
        </is>
      </c>
      <c r="C4" s="5" t="inlineStr">
        <is>
          <t>Khách chưa từng dùng app, chưa có tài khoản (Guest -&gt; tự tạo tài khoản mới giữa chừng)</t>
        </is>
      </c>
      <c r="D4" s="5" t="inlineStr">
        <is>
          <t>Onboarding -&gt; Homepage -&gt; Login gate -&gt; Đăng ký -&gt; Giỏ hàng -&gt; Thanh toán</t>
        </is>
      </c>
      <c r="E4" s="5" t="inlineStr">
        <is>
          <t>Luồng chính (phải chạy đúng từ đầu đến cuối)</t>
        </is>
      </c>
      <c r="F4" s="5" t="inlineStr">
        <is>
          <t>Cao nhất</t>
        </is>
      </c>
      <c r="G4" s="5" t="inlineStr">
        <is>
          <t>App vừa cài xong, chưa có dữ liệu gì (chưa chọn ngôn ngữ, chưa chọn store, chưa có tài khoản).</t>
        </is>
      </c>
      <c r="H4" s="5" t="inlineStr">
        <is>
          <t>1. Mở app lần đầu tiên, thấy màn chọn ngôn ngữ - chọn 'Tiếng Việt', bấm Tiếp tục.
2. App xin 3 quyền (theo dõi hoạt động, thông báo, vị trí) - bấm Đồng ý (Allow) cả 3 quyền.
3. Vì đã cho phép định vị, app tự chọn sẵn store gần nhất (LOTTE Mart Nam Sài Gòn) - bấm Tiếp tục để xác nhận đúng store này.
4. Xem qua 3 màn giới thiệu ngắn, bấm 'Start shopping' ở màn cuối cùng.
5. Vào đến Trang chủ - kiểm tra thấy đúng tên store đã chọn, chưa có địa chỉ giao hàng.
6. Bấm vào dòng 'Choose delivery address', nhập địa chỉ giao hàng (dùng định vị rồi bổ sung số nhà), lưu lại.
7. Kiểm tra ở đầu trang thấy đúng địa chỉ vừa lưu và có gợi ý thời gian giao hàng.
8. Chọn 1 sản phẩm bất kỳ, bấm 'Add to Cart'.
9. Vì chưa có tài khoản, app chặn lại và hiện màn hình yêu cầu Đăng ký/Đăng nhập - chọn 'Đăng ký khách hàng mới'.
10. Nhập số điện thoại, giữ kênh nhận mã là Zalo (mặc định), bấm Gửi mã.
11. Nhập đúng mã OTP nhận được.
12. Đặt mật khẩu PIN gồm 6 số, nhập lại lần 2 cho khớp.
13. Điền đầy đủ thông tin cá nhân (họ tên, giới tính, ngày sinh, quốc tịch, store đăng ký), tick đồng ý Điều khoản sử dụng, bấm 'Tạo tài khoản'.
14. Kiểm tra: tài khoản được tạo xong, app TỰ ĐỘNG đăng nhập luôn (không bắt đăng nhập lại lần nữa).
15. Kiểm tra: sản phẩm đã bấm Add to Cart ở bước 8 GIỜ ĐÃ CÓ SẴN trong giỏ hàng (không cần bấm Add to Cart lại từ đầu).
16. Kiểm tra: địa chỉ đã tạo lúc còn là khách vãng lai (bước 6) giờ đã xuất hiện trong tài khoản mới, đang được chọn làm địa chỉ giao hàng.
17. Mở giỏ hàng, chọn hình thức giao hàng Standard, chọn 1 khung giờ giao hàng bất kỳ.
18. Bấm 'Proceed to Checkout' để qua bước thanh toán.
19. Ở màn Thanh toán, kiểm tra địa chỉ/store/khung giờ/sản phẩm hiện đúng như đã chọn ở Giỏ hàng (không sửa trực tiếp được).
20. Chọn phương thức thanh toán (ví dụ MoMo).
21. Bấm 'Đặt hàng'.
22. Kiểm tra: đơn hàng được đặt thành công, có hiện mã đơn hàng/màn xác nhận.</t>
        </is>
      </c>
      <c r="I4" s="5" t="inlineStr">
        <is>
          <t>Số điện thoại mới (chưa đăng ký): 0912340001. Mã OTP hợp lệ từ môi trường test. PIN: 123456. Sản phẩm đặt mua: bất kỳ SKU còn hàng.</t>
        </is>
      </c>
      <c r="J4" s="5" t="inlineStr">
        <is>
          <t>Toàn bộ hành trình từ lúc mở app lần đầu đến khi đặt hàng xong phải chạy LIỀN MẠCH, không lỗi, không bị mất dữ liệu ở bất kỳ bước chuyển tiếp nào. Quan trọng nhất: (a) sản phẩm đã chọn trước khi đăng ký phải tự động nằm trong giỏ hàng sau khi đăng ký xong, (b) địa chỉ đã tạo lúc còn là khách vãng lai phải tự động chuyển qua tài khoản mới, (c) không phải đăng nhập lại sau khi tạo tài khoản.</t>
        </is>
      </c>
      <c r="K4" s="6" t="n"/>
      <c r="L4" s="6" t="inlineStr">
        <is>
          <t>Not Run</t>
        </is>
      </c>
      <c r="M4" s="6" t="n"/>
      <c r="N4" s="6" t="n"/>
      <c r="O4" s="5" t="n"/>
      <c r="P4" s="5" t="inlineStr">
        <is>
          <t>Đây là kịch bản quan trọng nhất trong toàn bộ bộ test - nếu kịch bản này fail ở bất kỳ bước nào, ưu tiên sửa trước tiên.</t>
        </is>
      </c>
      <c r="Q4" s="2" t="n"/>
    </row>
    <row r="5" ht="189.75" customHeight="1" s="19">
      <c r="A5" s="5" t="inlineStr">
        <is>
          <t>E2E-02</t>
        </is>
      </c>
      <c r="B5" s="5" t="inlineStr">
        <is>
          <t>Khách quen (đã có tài khoản) mua hàng, chọn giao 60 phút, thanh toán MoMo</t>
        </is>
      </c>
      <c r="C5" s="5" t="inlineStr">
        <is>
          <t>Khách đã từng đăng ký tài khoản từ trước, lần này chỉ cần Đăng nhập (không phải Đăng ký)</t>
        </is>
      </c>
      <c r="D5" s="5" t="inlineStr">
        <is>
          <t>Homepage -&gt; Login gate -&gt; Đăng nhập -&gt; Giỏ hàng (60-Minute) -&gt; Thanh toán</t>
        </is>
      </c>
      <c r="E5" s="5" t="inlineStr">
        <is>
          <t>Luồng chính (biến thể: khách cũ, giao nhanh)</t>
        </is>
      </c>
      <c r="F5" s="5" t="inlineStr">
        <is>
          <t>Cao</t>
        </is>
      </c>
      <c r="G5" s="5" t="inlineStr">
        <is>
          <t>Tài khoản Member đã có sẵn, đã từng mua hàng trước đó (có dữ liệu để hệ thống gợi ý khung giờ quen thuộc). Địa chỉ đã lưu nằm trong bán kính 60 phút của store.</t>
        </is>
      </c>
      <c r="H5" s="5" t="inlineStr">
        <is>
          <t>1. Mở app, vào thẳng Trang chủ (không phải lần đầu nên không qua màn chọn ngôn ngữ/quyền nữa).
2. Kiểm tra địa chỉ đã lưu từ trước vẫn hiện đúng, thấy có băng thông báo có thể giao trong 60 phút.
3. Chọn 1 sản phẩm, bấm 'Add to Cart'.
4. App chặn lại, hiện màn Đăng nhập/Đăng ký - lần này chọn 'Đăng nhập' (không Đăng ký).
5. Nhập số điện thoại đã đăng ký.
6. Nếu thiết bị có bật Face ID/vân tay thì xác thực bằng sinh trắc học; nếu không thì nhập PIN 6 số.
7. Kiểm tra: đăng nhập xong, sản phẩm ở bước 3 đã tự động nằm trong giỏ hàng.
8. Mở giỏ hàng, chuyển từ Standard sang chọn dịch vụ 'Giao trong 60 phút'.
9. Kiểm tra dòng phí giao hàng 60 phút hiện ra (phí riêng, khác Standard).
10. Chọn 1 khung giờ giao hàng còn trống.
11. Bấm 'Proceed to Checkout'.
12. Ở màn Thanh toán, chọn phương thức thanh toán là MoMo.
13. Bấm 'Đặt hàng'.
14. Kiểm tra đơn hàng đặt thành công, đúng phí giao 60 phút đã tính ở bước 9.</t>
        </is>
      </c>
      <c r="I5" s="5" t="inlineStr">
        <is>
          <t>Tài khoản Member có sẵn: SĐT 0911112222, PIN 123456. Địa chỉ đã lưu: cách store 4km (trong vùng 60-Minute).</t>
        </is>
      </c>
      <c r="J5" s="5" t="inlineStr">
        <is>
          <t>Toàn bộ luồng phải chạy xuyên suốt, đăng nhập (không phải đăng ký) cũng phải resume đúng sản phẩm đã chọn trước đó; phí giao 60 phút phải được tính đúng và giữ nguyên đến lúc đặt hàng xong.</t>
        </is>
      </c>
      <c r="K5" s="6" t="n"/>
      <c r="L5" s="6" t="inlineStr">
        <is>
          <t>Not Run</t>
        </is>
      </c>
      <c r="M5" s="6" t="n"/>
      <c r="N5" s="6" t="n"/>
      <c r="O5" s="5" t="n"/>
      <c r="P5" s="5" t="n"/>
      <c r="Q5" s="2" t="n"/>
    </row>
    <row r="6" ht="189.75" customHeight="1" s="19">
      <c r="A6" s="5" t="inlineStr">
        <is>
          <t>E2E-03</t>
        </is>
      </c>
      <c r="B6" s="5" t="inlineStr">
        <is>
          <t>Đang mua thì đổi store giữa chừng, giỏ hàng bị ảnh hưởng nhưng vẫn đặt hàng xong được</t>
        </is>
      </c>
      <c r="C6" s="5" t="inlineStr">
        <is>
          <t>Khách đã đăng nhập, đang ở Giỏ hàng thì đổi sang 1 store khác làm ảnh hưởng sản phẩm/dịch vụ</t>
        </is>
      </c>
      <c r="D6" s="5" t="inlineStr">
        <is>
          <t>Homepage -&gt; Giỏ hàng -&gt; Đổi store trong Cart -&gt; Thanh toán</t>
        </is>
      </c>
      <c r="E6" s="5" t="inlineStr">
        <is>
          <t>Luồng bất thường hay gặp (đổi ý giữa chừng)</t>
        </is>
      </c>
      <c r="F6" s="5" t="inlineStr">
        <is>
          <t>Cao</t>
        </is>
      </c>
      <c r="G6" s="5" t="inlineStr">
        <is>
          <t>Khách đã đăng nhập, giỏ hàng có sẵn 3 sản phẩm và đã chọn dịch vụ Standard.</t>
        </is>
      </c>
      <c r="H6" s="5" t="inlineStr">
        <is>
          <t>1. Mở giỏ hàng, kiểm tra có 3 sản phẩm và dịch vụ Standard như dự kiến.
2. Bấm vào tên store hiện tại để mở danh sách đổi store.
3. Chọn 1 store khác mà biết trước sẽ làm 1 sản phẩm hết hàng và làm mất dịch vụ 60-Minute (nếu đang có).
4. Kiểm tra: hệ thống hiện 1 hộp thông báo GỘP duy nhất, liệt kê rõ những gì sẽ bị ảnh hưởng (sản phẩm nào hết hàng/đổi giá, dịch vụ nào bị mất).
5. Bấm 'Continue' để đồng ý đổi store.
6. Kiểm tra: sản phẩm bị hết hàng được chuyển sang 1 nhóm riêng (không còn nằm chung với các sản phẩm khác), 2 sản phẩm còn lại vẫn còn nguyên và vẫn chọn được để mua tiếp.
7. Kiểm tra dịch vụ giao hàng đã được gợi ý lại cho phù hợp với store mới.
8. Bấm 'Proceed to Checkout'.
9. Ở màn Thanh toán, kiểm tra chỉ còn đúng 2 sản phẩm (sản phẩm hết hàng không tính vào đơn).
10. Chọn phương thức thanh toán, bấm 'Đặt hàng'.
11. Kiểm tra đơn hàng đặt thành công với đúng 2 sản phẩm và đúng store mới.</t>
        </is>
      </c>
      <c r="I6" s="5" t="inlineStr">
        <is>
          <t>Giỏ hàng ban đầu: SKU-1, SKU-2, SKU-3. Store mới làm SKU-3 hết hàng.</t>
        </is>
      </c>
      <c r="J6" s="5" t="inlineStr">
        <is>
          <t>Việc đổi store giữa chừng không được làm sập ứng dụng hay mất toàn bộ giỏ hàng - chỉ những gì thực sự bị ảnh hưởng mới thay đổi, phần còn lại vẫn mua được bình thường cho đến lúc đặt hàng xong.</t>
        </is>
      </c>
      <c r="K6" s="6" t="n"/>
      <c r="L6" s="6" t="inlineStr">
        <is>
          <t>Not Run</t>
        </is>
      </c>
      <c r="M6" s="6" t="n"/>
      <c r="N6" s="6" t="n"/>
      <c r="O6" s="5" t="inlineStr">
        <is>
          <t>QnA-25</t>
        </is>
      </c>
      <c r="P6" s="5" t="inlineStr">
        <is>
          <t>Bố cục chi tiết của hộp thông báo gộp vẫn đang chờ UX xác nhận (QnA-25) - test này tập trung vào KẾT QUẢ CUỐI CÙNG (đặt hàng được, đúng sản phẩm), không xét giao diện chi tiết của hộp thông báo.</t>
        </is>
      </c>
      <c r="Q6" s="2" t="n"/>
    </row>
    <row r="7" ht="189.75" customHeight="1" s="19">
      <c r="A7" s="5" t="inlineStr">
        <is>
          <t>E2E-04</t>
        </is>
      </c>
      <c r="B7" s="5" t="inlineStr">
        <is>
          <t>Mua đơn hàng nặng (cồng kềnh) phải giao ngày xa hơn (T+4) và có phụ phí</t>
        </is>
      </c>
      <c r="C7" s="5" t="inlineStr">
        <is>
          <t>Khách đã đăng nhập, giỏ hàng có 1 sản phẩm nặng được gắn nhãn 'cồng kềnh'</t>
        </is>
      </c>
      <c r="D7" s="5" t="inlineStr">
        <is>
          <t>Homepage -&gt; Giỏ hàng -&gt; Chọn ngày giao (Next-day/bulky) -&gt; Thanh toán</t>
        </is>
      </c>
      <c r="E7" s="5" t="inlineStr">
        <is>
          <t>Luồng bất thường hay gặp (đơn hàng đặc biệt)</t>
        </is>
      </c>
      <c r="F7" s="5" t="inlineStr">
        <is>
          <t>Cao</t>
        </is>
      </c>
      <c r="G7" s="5" t="inlineStr">
        <is>
          <t>Địa chỉ giao hàng nằm trong khu vực giao Next-day (ở xa, không còn Standard/60-Minute). Giỏ hàng có 1 sản phẩm nặng được đánh dấu là 'hàng cồng kềnh'.</t>
        </is>
      </c>
      <c r="H7" s="5" t="inlineStr">
        <is>
          <t>1. Mở giỏ hàng, kiểm tra địa chỉ đang dùng chỉ còn hiện dịch vụ Next-day (không còn Standard/60-Minute).
2. Mở bước chọn ngày giao hàng.
3. Kiểm tra: vì có sản phẩm cồng kềnh trong giỏ, các ngày gần (sớm hơn 4 ngày tới) đều bị mờ/không chọn được - ngày sớm nhất có thể chọn là 4 ngày sau.
4. Kiểm tra màn hình có ghi rõ sản phẩm nào là lý do khiến đơn hàng bị coi là cồng kềnh.
5. Chọn 1 ngày giao hợp lệ (từ ngày thứ 4 trở đi).
6. Kiểm tra trong phần tính tiền có xuất hiện 1 dòng phụ phí riêng cho 'hàng cồng kềnh' (cộng thêm vào phí giao hàng bình thường).
7. Bấm 'Proceed to Checkout'.
8. Ở màn Thanh toán, kiểm tra lại dòng phụ phí hàng cồng kềnh vẫn còn đầy đủ, đúng như đã thấy ở Giỏ hàng.
9. Chọn phương thức thanh toán, bấm 'Đặt hàng'.
10. Kiểm tra đơn hàng đặt thành công, tổng tiền có tính đúng phụ phí hàng cồng kềnh.</t>
        </is>
      </c>
      <c r="I7" s="5" t="inlineStr">
        <is>
          <t>Sản phẩm cồng kềnh: 1 SKU nặng hơn 15kg (hoặc được gắn nhãn 'bulky'). Địa chỉ: thuộc khu vực giao Next-day.</t>
        </is>
      </c>
      <c r="J7" s="5" t="inlineStr">
        <is>
          <t>Đơn hàng cồng kềnh phải bị đẩy ngày giao xa hơn (từ 2 ngày lên 4 ngày) và phải có phụ phí riêng, không được miễn phí dù giỏ hàng có đủ điều kiện miễn phí giao hàng thông thường. Thông tin này phải được giữ nguyên từ Giỏ hàng sang đến lúc Đặt hàng xong.</t>
        </is>
      </c>
      <c r="K7" s="6" t="n"/>
      <c r="L7" s="6" t="inlineStr">
        <is>
          <t>Not Run</t>
        </is>
      </c>
      <c r="M7" s="6" t="n"/>
      <c r="N7" s="6" t="n"/>
      <c r="O7" s="5" t="inlineStr">
        <is>
          <t>QnA-43</t>
        </is>
      </c>
      <c r="P7" s="5" t="n"/>
      <c r="Q7" s="2" t="inlineStr">
        <is>
          <t>Đã gửi câu hỏi QnA-43 (26/08/2026) về công thức T+2-&gt;T+4 áp dụng cho đơn bulky trong vùng Next-day, hiện đang Open. Expected Result của kịch bản này vẫn đang dùng giả định của QC, cần cập nhật khi có câu trả lời chính thức.</t>
        </is>
      </c>
    </row>
    <row r="8" ht="189.75" customHeight="1" s="19">
      <c r="A8" s="5" t="inlineStr">
        <is>
          <t>E2E-05</t>
        </is>
      </c>
      <c r="B8" s="5" t="inlineStr">
        <is>
          <t>Dùng cùng lúc: mã giảm giá + thẻ quà tặng + điểm thưởng + mua trước trả sau, kiểm tra tổng tiền cuối cùng tính đúng</t>
        </is>
      </c>
      <c r="C8" s="5" t="inlineStr">
        <is>
          <t>Khách đã đăng nhập, muốn dùng hết các loại ưu đãi cùng 1 lúc để xem tổng tiền có tính đúng không</t>
        </is>
      </c>
      <c r="D8" s="5" t="inlineStr">
        <is>
          <t>Giỏ hàng -&gt; Thanh toán (dùng nhiều loại giảm giá cùng lúc)</t>
        </is>
      </c>
      <c r="E8" s="5" t="inlineStr">
        <is>
          <t>Luồng dùng nhiều tính năng cùng lúc (để bắt lỗi tính tiền)</t>
        </is>
      </c>
      <c r="F8" s="5" t="inlineStr">
        <is>
          <t>Cao</t>
        </is>
      </c>
      <c r="G8" s="5" t="inlineStr">
        <is>
          <t>Giỏ hàng có sản phẩm tổng 500.000đ. Tài khoản có sẵn: 1 mã giảm giá vận chuyển, 1 mã giảm giá sản phẩm, còn đủ điểm thưởng, và có thể chọn Mua trước trả sau (BNPL).</t>
        </is>
      </c>
      <c r="H8" s="5" t="inlineStr">
        <is>
          <t>1. Mở giỏ hàng, kiểm tra cả 2 mã giảm giá (vận chuyển + sản phẩm) đã được TỰ ĐỘNG áp dụng sẵn.
2. Bấm 'Proceed to Checkout'.
3. Ở màn Thanh toán, kiểm tra lại cả 2 mã giảm giá vẫn còn nguyên, hiện thành 2 dòng riêng biệt (không bị gộp chung).
4. Nhập thêm 1 mã thẻ quà tặng (GotIt) hợp lệ, bấm áp dụng.
5. Kiểm tra tiền được trừ đúng số tiền của thẻ quà tặng.
6. Bấm 'Dùng toàn bộ điểm' để dùng hết điểm thưởng đang có.
7. Kiểm tra tiền tiếp tục được trừ đúng theo số điểm đã dùng.
8. Chọn phương thức thanh toán là 'Mua trước trả sau' (BNPL).
9. Cuộn xem bảng tổng kết cuối cùng - cộng lại TẤT CẢ các dòng (giá gốc, phí giao hàng, giảm giá vận chuyển, giảm giá sản phẩm, thẻ quà tặng, điểm đã dùng) bằng tay để kiểm tra số tiền cuối cùng có đúng không.
10. Bấm 'Đặt hàng'.
11. Kiểm tra đơn hàng đặt thành công với đúng số tiền đã tính ở bước 9 (không bị lệch dòng nào).</t>
        </is>
      </c>
      <c r="I8" s="5" t="inlineStr">
        <is>
          <t>Giỏ hàng: 500.000đ. Mã giảm giá vận chuyển: -15.000đ. Mã giảm giá sản phẩm: -20.000đ. Thẻ quà tặng: -50.000đ. Điểm thưởng dùng hết: -10.000đ (ví dụ).</t>
        </is>
      </c>
      <c r="J8" s="5" t="inlineStr">
        <is>
          <t>Khi dùng nhiều loại giảm giá cùng lúc, MỖI loại phải được trừ đúng, không bị tính trùng 2 lần hay bị mất 1 loại nào đó; số tiền cuối cùng trên màn xác nhận đặt hàng phải khớp chính xác với phép tính tay.</t>
        </is>
      </c>
      <c r="K8" s="6" t="n"/>
      <c r="L8" s="6" t="inlineStr">
        <is>
          <t>Not Run</t>
        </is>
      </c>
      <c r="M8" s="6" t="n"/>
      <c r="N8" s="6" t="n"/>
      <c r="O8" s="5" t="inlineStr">
        <is>
          <t>QnA-17</t>
        </is>
      </c>
      <c r="P8" s="5" t="inlineStr">
        <is>
          <t>Danh mục đầy đủ các loại khuyến mãi vẫn đang chờ BA xác nhận (QnA-17) - test này chỉ kiểm tra CÁCH TÍNH TOÁN cộng/trừ có đúng logic không, không xét hết mọi loại khuyến mãi có thể có trong tương lai.</t>
        </is>
      </c>
      <c r="Q8" s="2" t="n"/>
    </row>
    <row r="9" ht="189.75" customHeight="1" s="19">
      <c r="A9" s="5" t="inlineStr">
        <is>
          <t>E2E-06</t>
        </is>
      </c>
      <c r="B9" s="5" t="inlineStr">
        <is>
          <t>Khách đang xem hàng, bị chặn đăng nhập thì bấm Huỷ, xem tiếp, rồi quay lại đăng nhập và mua bình thường</t>
        </is>
      </c>
      <c r="C9" s="5" t="inlineStr">
        <is>
          <t>Khách vãng lai (Guest), lần đầu bấm Huỷ không đăng nhập, lần sau mới đăng nhập thật sự</t>
        </is>
      </c>
      <c r="D9" s="5" t="inlineStr">
        <is>
          <t>Homepage -&gt; Login gate (Huỷ) -&gt; Xem tiếp -&gt; Login gate (đăng nhập thật) -&gt; Giỏ hàng -&gt; Thanh toán</t>
        </is>
      </c>
      <c r="E9" s="5" t="inlineStr">
        <is>
          <t>Luồng bất thường hay gặp (đổi ý, huỷ rồi quay lại)</t>
        </is>
      </c>
      <c r="F9" s="5" t="inlineStr">
        <is>
          <t>Trung bình</t>
        </is>
      </c>
      <c r="G9" s="5" t="inlineStr">
        <is>
          <t>Khách vãng lai, chưa đăng nhập, đang xem sản phẩm trên Trang chủ.</t>
        </is>
      </c>
      <c r="H9" s="5" t="inlineStr">
        <is>
          <t>1. Chọn sản phẩm A, bấm 'Add to Cart'.
2. Màn hình yêu cầu đăng nhập hiện ra - lần này bấm 'Huỷ' (không đăng nhập).
3. Kiểm tra: quay lại đúng trang đang xem, sản phẩm A KHÔNG nằm trong giỏ hàng.
4. Tiếp tục xem vài sản phẩm khác bình thường (không bị ảnh hưởng gì).
5. Quay lại chọn sản phẩm A như cũ, bấm 'Add to Cart' lần nữa.
6. Lần này màn hình đăng nhập hiện ra, chọn 'Đăng nhập', nhập SĐT + PIN đúng.
7. Kiểm tra: đăng nhập thành công, sản phẩm A GIỜ ĐÃ CÓ trong giỏ hàng (vì lần này không huỷ nữa).
8. Mở giỏ hàng, chọn dịch vụ giao hàng và khung giờ.
9. Bấm 'Proceed to Checkout', chọn phương thức thanh toán, bấm 'Đặt hàng'.
10. Kiểm tra đơn hàng đặt thành công.</t>
        </is>
      </c>
      <c r="I9" s="5" t="inlineStr">
        <is>
          <t>Sản phẩm A: bất kỳ SKU còn hàng. Tài khoản Member đã có sẵn.</t>
        </is>
      </c>
      <c r="J9" s="5" t="inlineStr">
        <is>
          <t>Bấm Huỷ ở lần đầu không được làm mất dữ liệu đang xem hay gây lỗi gì; sau khi quay lại đăng nhập thật sự, mọi thứ phải chạy tiếp bình thường như chưa hề có lần Huỷ trước đó.</t>
        </is>
      </c>
      <c r="K9" s="6" t="n"/>
      <c r="L9" s="6" t="inlineStr">
        <is>
          <t>Not Run</t>
        </is>
      </c>
      <c r="M9" s="6" t="n"/>
      <c r="N9" s="6" t="n"/>
      <c r="O9" s="5" t="n"/>
      <c r="P9" s="5" t="n"/>
      <c r="Q9" s="2" t="n"/>
    </row>
    <row r="10" ht="189.75" customHeight="1" s="19">
      <c r="A10" s="5" t="inlineStr">
        <is>
          <t>E2E-07</t>
        </is>
      </c>
      <c r="B10" s="5" t="inlineStr">
        <is>
          <t>Quên mật khẩu PIN ngay giữa lúc đang mua hàng, phải đổi PIN mới rồi mua tiếp</t>
        </is>
      </c>
      <c r="C10" s="5" t="inlineStr">
        <is>
          <t>Khách đã có tài khoản nhưng quên PIN ngay lúc đang đăng nhập để mua hàng</t>
        </is>
      </c>
      <c r="D10" s="5" t="inlineStr">
        <is>
          <t>Login gate -&gt; Quên PIN -&gt; Đặt PIN mới -&gt; Giỏ hàng -&gt; Thanh toán</t>
        </is>
      </c>
      <c r="E10" s="5" t="inlineStr">
        <is>
          <t>Luồng bất thường hay gặp (quên mật khẩu)</t>
        </is>
      </c>
      <c r="F10" s="5" t="inlineStr">
        <is>
          <t>Trung bình</t>
        </is>
      </c>
      <c r="G10" s="5" t="inlineStr">
        <is>
          <t>Khách đã có tài khoản, đang ở bước đăng nhập (bị chặn bởi login gate khi bấm Add to Cart), nhưng KHÔNG NHỚ PIN.</t>
        </is>
      </c>
      <c r="H10" s="5" t="inlineStr">
        <is>
          <t>1. Bấm 'Add to Cart' trên 1 sản phẩm, bị chặn bởi màn đăng nhập.
2. Chọn 'Đăng nhập', nhập SĐT, rồi nhập SAI PIN (vì quên mật khẩu).
3. Bấm 'Quên PIN'.
4. Hệ thống gửi mã OTP để xác nhận - nhập đúng mã OTP.
5. Đặt PIN mới (nhập 2 lần cho khớp), bấm Lưu.
6. Kiểm tra: sau khi đổi PIN xong, TỰ ĐỘNG được đăng nhập luôn (không phải nhập PIN mới lại lần nữa).
7. Kiểm tra: sản phẩm đã bấm Add to Cart ở bước 1 GIỜ ĐÃ CÓ trong giỏ hàng (không bị mất vì quá trình quên PIN).
8. Mở giỏ hàng, chọn dịch vụ và khung giờ giao hàng.
9. Bấm 'Proceed to Checkout', chọn phương thức thanh toán, bấm 'Đặt hàng'.
10. Kiểm tra đơn hàng đặt thành công.</t>
        </is>
      </c>
      <c r="I10" s="5" t="inlineStr">
        <is>
          <t>Tài khoản test: SĐT 0911119999, PIN cũ (đã quên): 555555, PIN mới đặt lại: 777777.</t>
        </is>
      </c>
      <c r="J10" s="5" t="inlineStr">
        <is>
          <t>Việc quên PIN và phải đổi PIN mới KHÔNG được làm gián đoạn ý định mua hàng ban đầu - sau khi đổi PIN xong phải tự động quay lại đúng chỗ đang dở (sản phẩm đã chọn vẫn còn trong giỏ) rồi mới hoàn tất đơn hàng.</t>
        </is>
      </c>
      <c r="K10" s="6" t="n"/>
      <c r="L10" s="6" t="inlineStr">
        <is>
          <t>Not Run</t>
        </is>
      </c>
      <c r="M10" s="6" t="n"/>
      <c r="N10" s="6" t="n"/>
      <c r="O10" s="5" t="n"/>
      <c r="P10" s="5" t="n"/>
      <c r="Q10" s="2" t="n"/>
    </row>
    <row r="11" ht="189.75" customHeight="1" s="19">
      <c r="A11" s="5" t="inlineStr">
        <is>
          <t>E2E-08</t>
        </is>
      </c>
      <c r="B11" s="5" t="inlineStr">
        <is>
          <t>Chọn quá nhiều sản phẩm (hơn 30 món), phải bỏ bớt mới thanh toán được</t>
        </is>
      </c>
      <c r="C11" s="5" t="inlineStr">
        <is>
          <t>Khách đã đăng nhập, mua sắm nhiều, chọn vượt quá 30 sản phẩm trong 1 đơn</t>
        </is>
      </c>
      <c r="D11" s="5" t="inlineStr">
        <is>
          <t>Giỏ hàng (vượt giới hạn 30 sản phẩm) -&gt; Bỏ bớt -&gt; Thanh toán</t>
        </is>
      </c>
      <c r="E11" s="5" t="inlineStr">
        <is>
          <t>Luồng bất thường hay gặp (giỏ hàng quá nhiều món)</t>
        </is>
      </c>
      <c r="F11" s="5" t="inlineStr">
        <is>
          <t>Trung bình</t>
        </is>
      </c>
      <c r="G11" s="5" t="inlineStr">
        <is>
          <t>Giỏ hàng có sẵn 35 sản phẩm có thể chọn mua.</t>
        </is>
      </c>
      <c r="H11" s="5" t="inlineStr">
        <is>
          <t>1. Mở giỏ hàng, bấm 'Chọn tất cả' (chọn hết 35 sản phẩm).
2. Kiểm tra: hiện thông báo lỗi nói rõ chỉ được tối đa 30 sản phẩm cho 1 đơn, và nút 'Thanh toán' không bấm được.
3. Bỏ chọn bớt các sản phẩm cho đến khi còn đúng 30 sản phẩm.
4. Kiểm tra: thông báo lỗi biến mất, nút 'Thanh toán' bấm được bình thường.
5. Bấm 'Proceed to Checkout'.
6. Ở màn Thanh toán, đếm lại kiểm tra đúng 30 sản phẩm (không thiếu, không dư).
7. Chọn phương thức thanh toán, bấm 'Đặt hàng'.
8. Kiểm tra đơn hàng đặt thành công với đúng 30 sản phẩm.</t>
        </is>
      </c>
      <c r="I11" s="5" t="inlineStr">
        <is>
          <t>35 sản phẩm mẫu có sẵn trong giỏ hàng.</t>
        </is>
      </c>
      <c r="J11" s="5" t="inlineStr">
        <is>
          <t>Khách phải được hướng dẫn rõ ràng để tự bỏ bớt xuống đúng giới hạn cho phép, và sau khi đã đúng giới hạn thì mọi thứ phải hoạt động bình thường, đặt hàng thành công với đúng số lượng đã chọn.</t>
        </is>
      </c>
      <c r="K11" s="6" t="n"/>
      <c r="L11" s="6" t="inlineStr">
        <is>
          <t>Not Run</t>
        </is>
      </c>
      <c r="M11" s="6" t="n"/>
      <c r="N11" s="6" t="n"/>
      <c r="O11" s="5" t="n"/>
      <c r="P11" s="5" t="n"/>
      <c r="Q11" s="2" t="n"/>
    </row>
    <row r="12" ht="189.75" customHeight="1" s="19">
      <c r="A12" s="5" t="inlineStr">
        <is>
          <t>E2E-09</t>
        </is>
      </c>
      <c r="B12" s="5" t="inlineStr">
        <is>
          <t>Địa chỉ không giao được, đổi sang địa chỉ khác hoặc chuyển sang Tự đến lấy</t>
        </is>
      </c>
      <c r="C12" s="5" t="inlineStr">
        <is>
          <t>Khách đã đăng nhập, địa chỉ đang chọn nằm ngoài vùng giao hàng của mọi store</t>
        </is>
      </c>
      <c r="D12" s="5" t="inlineStr">
        <is>
          <t>Homepage (địa chỉ ngoài vùng) -&gt; Đổi địa chỉ hoặc chọn Tự đến lấy -&gt; Thanh toán</t>
        </is>
      </c>
      <c r="E12" s="5" t="inlineStr">
        <is>
          <t>Luồng bất thường hay gặp (địa chỉ không giao được)</t>
        </is>
      </c>
      <c r="F12" s="5" t="inlineStr">
        <is>
          <t>Trung bình</t>
        </is>
      </c>
      <c r="G12" s="5" t="inlineStr">
        <is>
          <t>Khách đã đăng nhập, đã chọn 1 địa chỉ nằm ngoài vùng phục vụ của mọi store (không có Standard, không có Next-day).</t>
        </is>
      </c>
      <c r="H12" s="5" t="inlineStr">
        <is>
          <t>1. Mở Trang chủ, kiểm tra thấy dòng thông báo 'không được phục vụ' thay vì giờ giao hàng, kèm nút đổi địa chỉ.
2. Thử bấm vào danh mục sản phẩm - xác nhận vẫn xem được bình thường (chỉ riêng giao hàng bị ảnh hưởng).
3. Bấm nút đổi địa chỉ, chọn 1 địa chỉ khác đã lưu mà có thể giao được.
4. Kiểm tra: giờ giao hàng xuất hiện lại bình thường cho địa chỉ mới.
5. Chọn sản phẩm, thêm vào giỏ hàng.
6. Mở giỏ hàng, xác nhận địa chỉ mới và dịch vụ giao hàng đúng như vừa chọn.
7. (Kiểm tra thêm một cách khác) Quay lại địa chỉ cũ (không giao được), lần này ở Giỏ hàng chuyển sang tab 'Tự đến lấy' thay vì giao hàng.
8. Chọn store và khung giờ đến lấy.
9. Bấm 'Proceed to Checkout', chọn phương thức thanh toán, bấm 'Đặt hàng'.
10. Kiểm tra đơn hàng đặt thành công (theo hướng đã chọn ở bước 6 hoặc bước 8).</t>
        </is>
      </c>
      <c r="I12" s="5" t="inlineStr">
        <is>
          <t>Địa chỉ không giao được: 1 địa chỉ ngoài mọi vùng cấu hình. Địa chỉ thay thế: 1 địa chỉ hợp lệ trong vùng Standard.</t>
        </is>
      </c>
      <c r="J12" s="5" t="inlineStr">
        <is>
          <t>Địa chỉ không giao được không được chặn toàn bộ trải nghiệm mua hàng - khách vẫn xem được sản phẩm và vẫn có ít nhất 2 cách để tiếp tục mua: đổi sang địa chỉ khác, hoặc chuyển sang tự đến lấy tại store.</t>
        </is>
      </c>
      <c r="K12" s="6" t="n"/>
      <c r="L12" s="6" t="inlineStr">
        <is>
          <t>Not Run</t>
        </is>
      </c>
      <c r="M12" s="6" t="n"/>
      <c r="N12" s="6" t="n"/>
      <c r="O12" s="5" t="n"/>
      <c r="P12" s="5" t="n"/>
      <c r="Q12" s="2" t="inlineStr">
        <is>
          <t>Kịch bản có nhắc tới việc chuyển sang địa chỉ khác HOẶC chuyển sang Tự đến lấy (Pickup) khi địa chỉ không giao được — đây là 2 nhánh khác nhau nhưng Test Steps hiện chỉ mô tả chung chung 'ít nhất 2 cách để tiếp tục mua' mà không tách rõ bước-by-bước cho từng nhánh. Nên tách thành 2 chuỗi bước rõ ràng (nhánh đổi địa chỉ và nhánh đổi Pickup) để người thực thi không tự diễn giải khác nhau.</t>
        </is>
      </c>
    </row>
    <row r="13" ht="189.75" customHeight="1" s="19">
      <c r="A13" s="5" t="inlineStr">
        <is>
          <t>E2E-10</t>
        </is>
      </c>
      <c r="B13" s="5" t="inlineStr">
        <is>
          <t>Đang thanh toán thì bị đăng xuất bất ngờ (phiên hết hạn), phải đăng nhập lại và tiếp tục đặt hàng</t>
        </is>
      </c>
      <c r="C13" s="5" t="inlineStr">
        <is>
          <t>Khách đã đăng nhập, đang ở bước Thanh toán thì phiên đăng nhập bị hết hạn giữa chừng</t>
        </is>
      </c>
      <c r="D13" s="5" t="inlineStr">
        <is>
          <t>Giỏ hàng -&gt; Thanh toán -&gt; (phiên hết hạn) -&gt; Đăng nhập lại -&gt; Hoàn tất Thanh toán</t>
        </is>
      </c>
      <c r="E13" s="5" t="inlineStr">
        <is>
          <t>Luồng lỗi hệ thống hay gặp (mất phiên đăng nhập)</t>
        </is>
      </c>
      <c r="F13" s="5" t="inlineStr">
        <is>
          <t>Cao</t>
        </is>
      </c>
      <c r="G13" s="5" t="inlineStr">
        <is>
          <t>Khách đã đăng nhập, đã chuẩn bị xong đơn hàng (địa chỉ, sản phẩm, dịch vụ, khuyến mãi) và đang ở màn Thanh toán. Giả lập phiên đăng nhập hết hạn ngay lúc này (ví dụ: chờ lâu không thao tác, hoặc giả lập từ môi trường test).</t>
        </is>
      </c>
      <c r="H13" s="5" t="inlineStr">
        <is>
          <t>1. Chuẩn bị đầy đủ 1 đơn hàng ở màn Thanh toán (chưa bấm Đặt hàng).
2. Giả lập phiên đăng nhập hết hạn (ví dụ: đổi/xoá token đăng nhập trong môi trường test).
3. Bấm 'Đặt hàng'.
4. Kiểm tra: hệ thống KHÔNG bị đứng/treo, mà yêu cầu đăng nhập lại (giống như 1 khách vãng lai).
5. Đăng nhập lại bằng đúng tài khoản cũ (SĐT + PIN hoặc sinh trắc học).
6. Kiểm tra sau khi đăng nhập lại: giỏ hàng và các lựa chọn (địa chỉ, sản phẩm, khuyến mãi) VẪN CÒN NGUYÊN, không phải làm lại từ đầu.
7. Bấm 'Đặt hàng' lại lần nữa.
8. Kiểm tra đơn hàng đặt thành công, và CHỈ CÓ 1 đơn được tạo (không bị tạo 2 đơn trùng nhau do bấm Đặt hàng 2 lần).</t>
        </is>
      </c>
      <c r="I13" s="5" t="inlineStr">
        <is>
          <t>Tài khoản test đã chuẩn bị đơn hàng đầy đủ trước khi giả lập hết phiên.</t>
        </is>
      </c>
      <c r="J13" s="5" t="inlineStr">
        <is>
          <t>Mất phiên đăng nhập giữa chừng không được làm mất giỏ hàng hay các lựa chọn đã chuẩn bị; khách chỉ cần đăng nhập lại là tiếp tục được ngay, và tuyệt đối không được tạo ra 2 đơn hàng trùng nhau.</t>
        </is>
      </c>
      <c r="K13" s="6" t="n"/>
      <c r="L13" s="6" t="inlineStr">
        <is>
          <t>Not Run</t>
        </is>
      </c>
      <c r="M13" s="6" t="n"/>
      <c r="N13" s="6" t="n"/>
      <c r="O13" s="5" t="inlineStr">
        <is>
          <t>QnA-04</t>
        </is>
      </c>
      <c r="P13" s="5" t="inlineStr">
        <is>
          <t>Giả định 'về phiên hết hạn thì coi như Guest' đang chờ Security/Dev xác nhận chính thức (QnA-04) - test này xác minh hành vi HIỆN TẠI có đúng như đề xuất không.</t>
        </is>
      </c>
      <c r="Q13" s="2" t="n"/>
    </row>
    <row r="14" ht="189.75" customHeight="1" s="19">
      <c r="A14" s="5" t="inlineStr">
        <is>
          <t>E2E-11</t>
        </is>
      </c>
      <c r="B14" s="5" t="inlineStr">
        <is>
          <t>Mua theo kiểu Tự đến lấy tại store, trả tiền mặt (dành cho khách hàng thân thiết)</t>
        </is>
      </c>
      <c r="C14" s="5" t="inlineStr">
        <is>
          <t>Khách đã đăng nhập, thuộc hạng thành viên cao (Platinum), chọn lấy hàng tại store và trả tiền mặt</t>
        </is>
      </c>
      <c r="D14" s="5" t="inlineStr">
        <is>
          <t>Giỏ hàng (Tự đến lấy) -&gt; Thanh toán -&gt; Trả tiền mặt tại store</t>
        </is>
      </c>
      <c r="E14" s="5" t="inlineStr">
        <is>
          <t>Luồng biến thể (Pickup + tiền mặt)</t>
        </is>
      </c>
      <c r="F14" s="5" t="inlineStr">
        <is>
          <t>Trung bình</t>
        </is>
      </c>
      <c r="G14" s="5" t="inlineStr">
        <is>
          <t>Tài khoản Member thuộc hạng Platinum. Giỏ hàng có sản phẩm có thể đến lấy tại store.</t>
        </is>
      </c>
      <c r="H14" s="5" t="inlineStr">
        <is>
          <t>1. Mở giỏ hàng, chuyển sang tab 'Tự đến lấy'.
2. Nhập tên và số điện thoại người sẽ đến lấy hàng (có thể khác với tài khoản đang đăng nhập).
3. Chọn store sẽ đến lấy và chọn khung giờ đến lấy.
4. Bấm 'Proceed to Checkout'.
5. Ở màn Thanh toán, kiểm tra không có dòng phí giao hàng nào (vì là tự đến lấy, không ai giao tận nơi).
6. Kiểm tra trong danh sách phương thức thanh toán CÓ xuất hiện tuỳ chọn 'Trả tiền mặt tại cửa hàng' (vì tài khoản là Platinum).
7. Chọn 'Trả tiền mặt tại cửa hàng'.
8. Bấm 'Đặt hàng'.
9. Kiểm tra đơn hàng đặt thành công, ghi rõ hình thức thanh toán là tiền mặt và thông tin người đến lấy hàng đúng như đã nhập ở bước 2.</t>
        </is>
      </c>
      <c r="I14" s="5" t="inlineStr">
        <is>
          <t>Tài khoản Platinum có sẵn. Người đến lấy: Nguyễn Văn C / 0933334444 (khác chủ tài khoản).</t>
        </is>
      </c>
      <c r="J14" s="5" t="inlineStr">
        <is>
          <t>Toàn bộ luồng tự đến lấy + trả tiền mặt phải chạy đúng, không bị tính nhầm phí giao hàng, và thông tin người đến lấy phải được giữ đúng như đã nhập (không bị thay bằng thông tin tài khoản).</t>
        </is>
      </c>
      <c r="K14" s="6" t="n"/>
      <c r="L14" s="6" t="inlineStr">
        <is>
          <t>Not Run</t>
        </is>
      </c>
      <c r="M14" s="6" t="n"/>
      <c r="N14" s="6" t="n"/>
      <c r="O14" s="5" t="n"/>
      <c r="P14" s="5" t="n"/>
      <c r="Q14" s="2" t="n"/>
    </row>
    <row r="15" ht="189.75" customHeight="1" s="19">
      <c r="A15" s="5" t="inlineStr">
        <is>
          <t>E2E-12</t>
        </is>
      </c>
      <c r="B15" s="5" t="inlineStr">
        <is>
          <t>Sản phẩm vừa hết hàng đúng lúc bấm Đặt hàng, phải được báo và cho sửa lại đơn trước khi đặt lại</t>
        </is>
      </c>
      <c r="C15" s="5" t="inlineStr">
        <is>
          <t>Khách đã chuẩn bị xong đơn hàng, nhưng đúng lúc bấm Đặt hàng thì 1 sản phẩm vừa bị người khác mua hết</t>
        </is>
      </c>
      <c r="D15" s="5" t="inlineStr">
        <is>
          <t>Giỏ hàng -&gt; Thanh toán -&gt; Đặt hàng (bị từ chối) -&gt; Sửa lại -&gt; Đặt hàng lại</t>
        </is>
      </c>
      <c r="E15" s="5" t="inlineStr">
        <is>
          <t>Luồng lỗi thường gặp lúc đông khách mua cùng lúc</t>
        </is>
      </c>
      <c r="F15" s="5" t="inlineStr">
        <is>
          <t>Cao</t>
        </is>
      </c>
      <c r="G15" s="5" t="inlineStr">
        <is>
          <t>Đơn hàng có 3 sản phẩm, trong đó 1 sản phẩm (SKU-Z) chỉ còn đúng 1 món trong kho. Giả lập có 1 người khác mua hết SKU-Z ngay trước khi khách này bấm Đặt hàng.</t>
        </is>
      </c>
      <c r="H15" s="5" t="inlineStr">
        <is>
          <t>1. Chuẩn bị xong đơn hàng với 3 sản phẩm (bao gồm SKU-Z) ở màn Thanh toán.
2. Giả lập: 1 người khác vừa mua hết SKU-Z (kho về 0) ngay TRƯỚC khi khách bấm Đặt hàng.
3. Khách bấm 'Đặt hàng'.
4. Kiểm tra: hệ thống TỪ CHỐI đặt đơn, báo rõ lý do (SKU-Z đã hết hàng), và đưa khách về lại Giỏ hàng.
5. Kiểm tra ở Giỏ hàng: SKU-Z đã được chuyển sang trạng thái hết hàng / nhóm riêng, 2 sản phẩm còn lại vẫn còn nguyên.
6. Xoá SKU-Z khỏi giỏ hàng (hoặc đổi sang sản phẩm thay thế nếu hệ thống có gợi ý).
7. Bấm 'Proceed to Checkout' lại.
8. Kiểm tra các lựa chọn trước đó (địa chỉ, dịch vụ, khuyến mãi) VẪN CÒN NGUYÊN, không phải chọn lại từ đầu.
9. Bấm 'Đặt hàng' lại lần nữa.
10. Kiểm tra lần này đặt hàng thành công với đúng 2 sản phẩm còn lại.</t>
        </is>
      </c>
      <c r="I15" s="5" t="inlineStr">
        <is>
          <t>Đơn hàng: SKU-X, SKU-Y (còn hàng), SKU-Z (hết hàng đúng lúc đặt hàng).</t>
        </is>
      </c>
      <c r="J15" s="5" t="inlineStr">
        <is>
          <t>Khi có sản phẩm hết hàng đúng lúc đặt hàng, khách phải được báo rõ ràng và đưa về sửa lại đơn (không được báo lỗi chung chung hay làm mất toàn bộ thông tin đã chuẩn bị); sau khi sửa xong phải đặt hàng lại được ngay mà không phải làm lại từ đầu.</t>
        </is>
      </c>
      <c r="K15" s="6" t="n"/>
      <c r="L15" s="6" t="inlineStr">
        <is>
          <t>Not Run</t>
        </is>
      </c>
      <c r="M15" s="6" t="n"/>
      <c r="N15" s="6" t="n"/>
      <c r="O15" s="5" t="n"/>
      <c r="P15" s="5" t="n"/>
      <c r="Q15" s="2" t="n"/>
    </row>
    <row r="16" ht="135" customHeight="1" s="19">
      <c r="A16" s="5" t="inlineStr">
        <is>
          <t>E2E-13</t>
        </is>
      </c>
      <c r="B16" s="5" t="inlineStr">
        <is>
          <t>Có giỏ hàng sẵn, đổi store từ Homepage, quay lại Cart kiểm tra hậu quả thực tế</t>
        </is>
      </c>
      <c r="C16" s="5" t="inlineStr">
        <is>
          <t>Khách đã có giỏ hàng với sản phẩm từ store A, sau đó vào Homepage đổi sang store B (store B không phục vụ được 1 số sản phẩm/dịch vụ trong giỏ), rồi quay lại Cart.</t>
        </is>
      </c>
      <c r="D16" s="5" t="inlineStr">
        <is>
          <t>Cart (có sẵn) -&gt; Homepage (SCR-HOM-04, đổi store) -&gt; quay lại Cart (SCR-CRT-01) -&gt; kiểm tra hậu quả</t>
        </is>
      </c>
      <c r="E16" s="5" t="inlineStr">
        <is>
          <t>Xung đột rule giữa 2 màn hình (Homepage không cảnh báo vs Cart bắt buộc cảnh báo)</t>
        </is>
      </c>
      <c r="F16" s="5" t="inlineStr">
        <is>
          <t>Cao</t>
        </is>
      </c>
      <c r="G16" s="5" t="inlineStr">
        <is>
          <t>Khách (Guest hoặc Member) đã có giỏ hàng với &gt;=1 sản phẩm chỉ bán tại store A, hoặc dịch vụ/slot chỉ khả dụng tại store A.</t>
        </is>
      </c>
      <c r="H16" s="5" t="inlineStr">
        <is>
          <t>1. Chuẩn bị giỏ hàng có sản phẩm/dịch vụ gắn với store A.
2. Vào Homepage (SCR-HOM-04), đổi sang store B (store B khiến sản phẩm/dịch vụ trên bị ảnh hưởng - hết hàng/đổi giá/mất dịch vụ).
3. Quan sát: Homepage có hiện cảnh báo gì về giỏ hàng đang có hay áp dụng ngay theo BRL-08 (không cảnh báo)?
4. Sau khi đổi store xong, mở lại Cart (SCR-CRT-01).
5. Kiểm tra giỏ hàng: sản phẩm/dịch vụ bị ảnh hưởng đã được xử lý ra sao (mất âm thầm, chuyển nhóm 'Unavailable', có thông báo khi mở Cart hay không).</t>
        </is>
      </c>
      <c r="I16" s="5" t="inlineStr">
        <is>
          <t>Giỏ hàng có &gt;=1 SKU chỉ bán tại store A + dịch vụ 60-Minute chỉ khả dụng tại store A; store B không bán SKU đó và không có 60-Minute.</t>
        </is>
      </c>
      <c r="J16" s="5" t="inlineStr">
        <is>
          <t>TBD - đây chính là xung đột đã ghi nhận ở QnA-64 (SRS quy định Homepage đổi store không cần cảnh báo - HP-08/BRL-08, nhưng Cart đổi store bắt buộc cảnh báo - CT-07/BRL-24). Test case này mô phỏng ĐÚNG hành trình thực tế (đổi qua Homepage rồi mới thấy hậu quả ở Cart) để bổ sung cho 2 test case đơn lẻ đã có (SCR-HOM-04-SC8, SCR-CRT-06-SC2). Không tự ý chấm Pass/Fail - chỉ ghi nhận hành vi thực tế để đối chiếu khi QnA-64 được trả lời.</t>
        </is>
      </c>
      <c r="K16" s="6" t="n"/>
      <c r="L16" s="6" t="inlineStr">
        <is>
          <t>Not Run</t>
        </is>
      </c>
      <c r="M16" s="6" t="n"/>
      <c r="N16" s="6" t="n"/>
      <c r="O16" s="5" t="inlineStr">
        <is>
          <t>QnA-64</t>
        </is>
      </c>
      <c r="P16" s="5" t="inlineStr">
        <is>
          <t>Bổ sung theo yêu cầu review 28/08/2026 - E2E hoá xung đột rule đã phát hiện ở QnA-64, nối 2 test case đơn lẻ SCR-HOM-04-SC8 và SCR-CRT-06-SC2 thành 1 hành trình liên tục.</t>
        </is>
      </c>
      <c r="Q16" s="2" t="n"/>
    </row>
  </sheetData>
  <mergeCells count="2">
    <mergeCell ref="A1:P1"/>
    <mergeCell ref="A2:P2"/>
  </mergeCells>
  <dataValidations count="1">
    <dataValidation sqref="L4:L15"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66"/>
  <sheetViews>
    <sheetView showGridLines="0" zoomScaleNormal="100" workbookViewId="0">
      <selection activeCell="A1" sqref="A1"/>
    </sheetView>
  </sheetViews>
  <sheetFormatPr baseColWidth="8" defaultColWidth="8.7109375" defaultRowHeight="15"/>
  <cols>
    <col width="46" customWidth="1" style="19" min="1" max="1"/>
    <col width="14" customWidth="1" style="19" min="2" max="2"/>
    <col width="4" customWidth="1" style="19" min="3" max="3"/>
    <col width="46" customWidth="1" style="19" min="4" max="4"/>
    <col width="14" customWidth="1" style="19" min="5" max="5"/>
  </cols>
  <sheetData>
    <row r="1" ht="17.25" customHeight="1" s="19">
      <c r="A1" s="18" t="inlineStr">
        <is>
          <t>Aggregate Summary — Combined Test Suite (Functional + Integration + E2E)</t>
        </is>
      </c>
    </row>
    <row r="3" ht="15" customHeight="1" s="19">
      <c r="A3" s="3" t="inlineStr">
        <is>
          <t>Overall Totals</t>
        </is>
      </c>
    </row>
    <row r="4" ht="15" customHeight="1" s="19">
      <c r="A4" t="inlineStr">
        <is>
          <t>Total Scenarios (Functional + Integration)</t>
        </is>
      </c>
      <c r="B4">
        <f>COUNTA('Functional Test Scenarios'!$B$3:$B$220)+COUNTA('Integration Test Scenarios'!$B$3:$B$100)</f>
        <v/>
      </c>
    </row>
    <row r="5" ht="15" customHeight="1" s="19">
      <c r="A5" t="inlineStr">
        <is>
          <t>Total Test Cases (Functional + Integration)</t>
        </is>
      </c>
      <c r="B5">
        <f>COUNTA('Functional Test Cases'!$A$3:$A$260)+COUNTA('Integration Test Cases'!$A$3:$A$100)</f>
        <v/>
      </c>
    </row>
    <row r="6" ht="15" customHeight="1" s="19">
      <c r="A6" t="inlineStr">
        <is>
          <t>Total E2E Test Cases (xuyen suot)</t>
        </is>
      </c>
      <c r="B6">
        <f>COUNTA('E2E Checkout Test Cases'!$A$4:$A$50)</f>
        <v/>
      </c>
    </row>
    <row r="7" ht="15" customHeight="1" s="19">
      <c r="A7" t="inlineStr">
        <is>
          <t>Tong cong TAT CA test case (Functional + Integration + E2E)</t>
        </is>
      </c>
      <c r="B7">
        <f>B5+B6</f>
        <v/>
      </c>
    </row>
    <row r="10" ht="15" customHeight="1" s="19">
      <c r="A10" s="1" t="inlineStr">
        <is>
          <t>Functional Test Cases — By Test Result</t>
        </is>
      </c>
      <c r="D10" s="1" t="inlineStr">
        <is>
          <t>Integration Test Cases — By Test Result</t>
        </is>
      </c>
    </row>
    <row r="11" ht="15" customHeight="1" s="19">
      <c r="A11" t="inlineStr">
        <is>
          <t>Pass</t>
        </is>
      </c>
      <c r="B11">
        <f>COUNTIF('Functional Test Cases'!$M$3:$M$260,"Pass")</f>
        <v/>
      </c>
      <c r="D11" t="inlineStr">
        <is>
          <t>Pass</t>
        </is>
      </c>
      <c r="E11">
        <f>COUNTIF('Integration Test Cases'!$M$3:$M$100,"Pass")</f>
        <v/>
      </c>
    </row>
    <row r="12" ht="15" customHeight="1" s="19">
      <c r="A12" t="inlineStr">
        <is>
          <t>Fail</t>
        </is>
      </c>
      <c r="B12">
        <f>COUNTIF('Functional Test Cases'!$M$3:$M$260,"Fail")</f>
        <v/>
      </c>
      <c r="D12" t="inlineStr">
        <is>
          <t>Fail</t>
        </is>
      </c>
      <c r="E12">
        <f>COUNTIF('Integration Test Cases'!$M$3:$M$100,"Fail")</f>
        <v/>
      </c>
    </row>
    <row r="13" ht="15" customHeight="1" s="19">
      <c r="A13" t="inlineStr">
        <is>
          <t>Blocked</t>
        </is>
      </c>
      <c r="B13">
        <f>COUNTIF('Functional Test Cases'!$M$3:$M$260,"Blocked")</f>
        <v/>
      </c>
      <c r="D13" t="inlineStr">
        <is>
          <t>Blocked</t>
        </is>
      </c>
      <c r="E13">
        <f>COUNTIF('Integration Test Cases'!$M$3:$M$100,"Blocked")</f>
        <v/>
      </c>
    </row>
    <row r="14" ht="15" customHeight="1" s="19">
      <c r="A14" t="inlineStr">
        <is>
          <t>N/A</t>
        </is>
      </c>
      <c r="B14">
        <f>COUNTIF('Functional Test Cases'!$M$3:$M$260,"N/A")</f>
        <v/>
      </c>
      <c r="D14" t="inlineStr">
        <is>
          <t>N/A</t>
        </is>
      </c>
      <c r="E14">
        <f>COUNTIF('Integration Test Cases'!$M$3:$M$100,"N/A")</f>
        <v/>
      </c>
    </row>
    <row r="15" ht="15" customHeight="1" s="19">
      <c r="A15" t="inlineStr">
        <is>
          <t>Not Run</t>
        </is>
      </c>
      <c r="B15">
        <f>COUNTIF('Functional Test Cases'!$M$3:$M$260,"Not Run")</f>
        <v/>
      </c>
      <c r="D15" t="inlineStr">
        <is>
          <t>Not Run</t>
        </is>
      </c>
      <c r="E15">
        <f>COUNTIF('Integration Test Cases'!$M$3:$M$100,"Not Run")</f>
        <v/>
      </c>
    </row>
    <row r="16" ht="15" customHeight="1" s="19">
      <c r="A16" t="inlineStr">
        <is>
          <t>Total</t>
        </is>
      </c>
      <c r="B16">
        <f>SUM(B11:B15)</f>
        <v/>
      </c>
      <c r="D16" t="inlineStr">
        <is>
          <t>Total</t>
        </is>
      </c>
      <c r="E16">
        <f>SUM(E11:E15)</f>
        <v/>
      </c>
    </row>
    <row r="17" ht="15" customHeight="1" s="19">
      <c r="A17" t="inlineStr">
        <is>
          <t>Total Scenarios</t>
        </is>
      </c>
      <c r="B17">
        <f>COUNTA('Functional Test Scenarios'!$B$3:$B$220)</f>
        <v/>
      </c>
      <c r="D17" t="inlineStr">
        <is>
          <t>Total Scenarios</t>
        </is>
      </c>
      <c r="E17">
        <f>COUNTA('Integration Test Scenarios'!$B$3:$B$100)</f>
        <v/>
      </c>
    </row>
    <row r="18" ht="15" customHeight="1" s="19">
      <c r="A18" t="inlineStr">
        <is>
          <t>Total Test Cases</t>
        </is>
      </c>
      <c r="B18">
        <f>COUNTA('Functional Test Cases'!$A$3:$A$260)</f>
        <v/>
      </c>
      <c r="D18" t="inlineStr">
        <is>
          <t>Total Test Cases</t>
        </is>
      </c>
      <c r="E18">
        <f>COUNTA('Integration Test Cases'!$A$3:$A$100)</f>
        <v/>
      </c>
    </row>
    <row r="19" ht="15" customHeight="1" s="19">
      <c r="A19" t="inlineStr">
        <is>
          <t>Co ghi chu Review (can luu y)</t>
        </is>
      </c>
      <c r="B19">
        <f>COUNTIF('Functional Test Cases'!$R$3:$R$260,"?*")</f>
        <v/>
      </c>
      <c r="D19" t="inlineStr">
        <is>
          <t>Co ghi chu Review (can luu y)</t>
        </is>
      </c>
      <c r="E19">
        <f>COUNTIF('Integration Test Cases'!$R$3:$R$100,"?*")</f>
        <v/>
      </c>
    </row>
    <row r="20" ht="15" customHeight="1" s="19">
      <c r="A20" t="inlineStr">
        <is>
          <t>Liên quan 1 QnA còn mở (Linked to Open QnA item)</t>
        </is>
      </c>
      <c r="B20">
        <f>COUNTIF('Functional Test Cases'!$P$3:$P$260,"QnA*")</f>
        <v/>
      </c>
      <c r="D20" t="inlineStr">
        <is>
          <t>Liên quan 1 QnA còn mở (Linked to Open QnA item)</t>
        </is>
      </c>
      <c r="E20">
        <f>COUNTIF('Integration Test Cases'!$P$3:$P$100,"QnA*")</f>
        <v/>
      </c>
    </row>
    <row r="22" ht="15" customHeight="1" s="19">
      <c r="A22" s="1" t="inlineStr">
        <is>
          <t>Functional — By Capability Area</t>
        </is>
      </c>
    </row>
    <row r="23" ht="15" customHeight="1" s="19">
      <c r="A23" t="inlineStr">
        <is>
          <t>ONB - Onboarding</t>
        </is>
      </c>
      <c r="B23">
        <f>COUNTIF('Functional Test Scenarios'!$D$3:$D$220,"ONB - Onboarding")</f>
        <v/>
      </c>
    </row>
    <row r="24" ht="15" customHeight="1" s="19">
      <c r="A24" t="inlineStr">
        <is>
          <t>HP - Homepage &amp; Login Gate</t>
        </is>
      </c>
      <c r="B24">
        <f>COUNTIF('Functional Test Scenarios'!$D$3:$D$220,"HP - Homepage &amp; Login Gate")</f>
        <v/>
      </c>
    </row>
    <row r="25" ht="15" customHeight="1" s="19">
      <c r="A25" t="inlineStr">
        <is>
          <t>SU - Signup</t>
        </is>
      </c>
      <c r="B25">
        <f>COUNTIF('Functional Test Scenarios'!$D$3:$D$220,"SU - Signup")</f>
        <v/>
      </c>
    </row>
    <row r="26" ht="15" customHeight="1" s="19">
      <c r="A26" t="inlineStr">
        <is>
          <t>LI - Login</t>
        </is>
      </c>
      <c r="B26">
        <f>COUNTIF('Functional Test Scenarios'!$D$3:$D$220,"LI - Login")</f>
        <v/>
      </c>
    </row>
    <row r="27" ht="15" customHeight="1" s="19">
      <c r="A27" t="inlineStr">
        <is>
          <t>CT - Cart</t>
        </is>
      </c>
      <c r="B27">
        <f>COUNTIF('Functional Test Scenarios'!$D$3:$D$220,"CT - Cart")</f>
        <v/>
      </c>
    </row>
    <row r="28" ht="15" customHeight="1" s="19">
      <c r="A28" t="inlineStr">
        <is>
          <t>CO - Checkout</t>
        </is>
      </c>
      <c r="B28">
        <f>COUNTIF('Functional Test Scenarios'!$D$3:$D$220,"CO - Checkout")</f>
        <v/>
      </c>
    </row>
    <row r="29" ht="15" customHeight="1" s="19">
      <c r="A29" t="inlineStr">
        <is>
          <t>Total</t>
        </is>
      </c>
      <c r="B29">
        <f>SUM(B23:B28)</f>
        <v/>
      </c>
    </row>
    <row r="31" ht="15" customHeight="1" s="19">
      <c r="A31" s="1" t="inlineStr">
        <is>
          <t>Integration — By Module</t>
        </is>
      </c>
    </row>
    <row r="32" ht="15" customHeight="1" s="19">
      <c r="A32" t="inlineStr">
        <is>
          <t>Cổng OTP Zalo/SMS</t>
        </is>
      </c>
      <c r="B32">
        <f>COUNTIF('Integration Test Scenarios'!$C$3:$C$100,"Cổng OTP Zalo/SMS")</f>
        <v/>
      </c>
    </row>
    <row r="33" ht="15" customHeight="1" s="19">
      <c r="A33" t="inlineStr">
        <is>
          <t>Cổng thanh toán &amp; BNPL</t>
        </is>
      </c>
      <c r="B33">
        <f>COUNTIF('Integration Test Scenarios'!$C$3:$C$100,"Cổng thanh toán &amp; BNPL")</f>
        <v/>
      </c>
    </row>
    <row r="34" ht="15" customHeight="1" s="19">
      <c r="A34" t="inlineStr">
        <is>
          <t>OMS/DMS - Slot Capacity &amp; Next-day</t>
        </is>
      </c>
      <c r="B34">
        <f>COUNTIF('Integration Test Scenarios'!$C$3:$C$100,"OMS/DMS - Slot Capacity &amp; Next-day")</f>
        <v/>
      </c>
    </row>
    <row r="35" ht="15" customHeight="1" s="19">
      <c r="A35" t="inlineStr">
        <is>
          <t>OMS - Tiếp nhận đơn hàng (Place Order)</t>
        </is>
      </c>
      <c r="B35">
        <f>COUNTIF('Integration Test Scenarios'!$C$3:$C$100,"OMS - Tiếp nhận đơn hàng (Place Order)")</f>
        <v/>
      </c>
    </row>
    <row r="36" ht="15" customHeight="1" s="19">
      <c r="A36" t="inlineStr">
        <is>
          <t>Dịch vụ cấu hình Store - Danh mục/Giá/Tồn kho</t>
        </is>
      </c>
      <c r="B36">
        <f>COUNTIF('Integration Test Scenarios'!$C$3:$C$100,"Dịch vụ cấu hình Store - Danh mục/Giá/Tồn kho")</f>
        <v/>
      </c>
    </row>
    <row r="37" ht="15" customHeight="1" s="19">
      <c r="A37" t="inlineStr">
        <is>
          <t>Biometric / Device Security Ticket</t>
        </is>
      </c>
      <c r="B37">
        <f>COUNTIF('Integration Test Scenarios'!$C$3:$C$100,"Biometric / Device Security Ticket")</f>
        <v/>
      </c>
    </row>
    <row r="38" ht="15" customHeight="1" s="19">
      <c r="A38" t="inlineStr">
        <is>
          <t>Session / Auth Token</t>
        </is>
      </c>
      <c r="B38">
        <f>COUNTIF('Integration Test Scenarios'!$C$3:$C$100,"Session / Auth Token")</f>
        <v/>
      </c>
    </row>
    <row r="39" ht="15" customHeight="1" s="19">
      <c r="A39" t="inlineStr">
        <is>
          <t>Coupon &amp; Khuyến mãi Engine</t>
        </is>
      </c>
      <c r="B39">
        <f>COUNTIF('Integration Test Scenarios'!$C$3:$C$100,"Coupon &amp; Khuyến mãi Engine")</f>
        <v/>
      </c>
    </row>
    <row r="40" ht="15" customHeight="1" s="19">
      <c r="A40" t="inlineStr">
        <is>
          <t>Loyalty &amp; Điểm thưởng Engine</t>
        </is>
      </c>
      <c r="B40">
        <f>COUNTIF('Integration Test Scenarios'!$C$3:$C$100,"Loyalty &amp; Điểm thưởng Engine")</f>
        <v/>
      </c>
    </row>
    <row r="41" ht="15" customHeight="1" s="19">
      <c r="A41" t="inlineStr">
        <is>
          <t>GotIt / Gift Card Service</t>
        </is>
      </c>
      <c r="B41">
        <f>COUNTIF('Integration Test Scenarios'!$C$3:$C$100,"GotIt / Gift Card Service")</f>
        <v/>
      </c>
    </row>
    <row r="42" ht="15" customHeight="1" s="19">
      <c r="A42" t="inlineStr">
        <is>
          <t>Dịch vụ hoá đơn VAT</t>
        </is>
      </c>
      <c r="B42">
        <f>COUNTIF('Integration Test Scenarios'!$C$3:$C$100,"Dịch vụ hoá đơn VAT")</f>
        <v/>
      </c>
    </row>
    <row r="43" ht="15" customHeight="1" s="19">
      <c r="A43" t="inlineStr">
        <is>
          <t>Delivery Partner &amp; Locker Network</t>
        </is>
      </c>
      <c r="B43">
        <f>COUNTIF('Integration Test Scenarios'!$C$3:$C$100,"Delivery Partner &amp; Locker Network")</f>
        <v/>
      </c>
    </row>
    <row r="44" ht="15" customHeight="1" s="19">
      <c r="A44" t="inlineStr">
        <is>
          <t>Dịch vụ phân giải địa chỉ &amp; vùng dịch vụ (Geo/Service-zone)</t>
        </is>
      </c>
      <c r="B44">
        <f>COUNTIF('Integration Test Scenarios'!$C$3:$C$100,"Dịch vụ phân giải địa chỉ &amp; vùng dịch vụ (Geo/Service-zone)")</f>
        <v/>
      </c>
    </row>
    <row r="45" ht="15" customHeight="1" s="19">
      <c r="A45" t="inlineStr">
        <is>
          <t>Security - Giới hạn thử OTP/PIN</t>
        </is>
      </c>
      <c r="B45">
        <f>COUNTIF('Integration Test Scenarios'!$C$3:$C$100,"Security - Giới hạn thử OTP/PIN")</f>
        <v/>
      </c>
    </row>
    <row r="46" ht="15" customHeight="1" s="19">
      <c r="A46" t="inlineStr">
        <is>
          <t>Total</t>
        </is>
      </c>
      <c r="B46">
        <f>SUM(B32:B45)</f>
        <v/>
      </c>
    </row>
    <row r="48" ht="15" customHeight="1" s="19">
      <c r="A48" s="1" t="inlineStr">
        <is>
          <t>Functional — By Test Case Type</t>
        </is>
      </c>
    </row>
    <row r="49" ht="15" customHeight="1" s="19">
      <c r="A49" t="inlineStr">
        <is>
          <t>Functional</t>
        </is>
      </c>
      <c r="B49">
        <f>COUNTIF('Functional Test Cases'!$E$3:$E$260,"Functional")</f>
        <v/>
      </c>
    </row>
    <row r="50" ht="15" customHeight="1" s="19">
      <c r="A50" t="inlineStr">
        <is>
          <t>Validation</t>
        </is>
      </c>
      <c r="B50">
        <f>COUNTIF('Functional Test Cases'!$E$3:$E$260,"Validation")</f>
        <v/>
      </c>
    </row>
    <row r="51" ht="15" customHeight="1" s="19">
      <c r="A51" t="inlineStr">
        <is>
          <t>Negative</t>
        </is>
      </c>
      <c r="B51">
        <f>COUNTIF('Functional Test Cases'!$E$3:$E$260,"Negative")</f>
        <v/>
      </c>
    </row>
    <row r="52" ht="15" customHeight="1" s="19">
      <c r="A52" t="inlineStr">
        <is>
          <t>Boundary</t>
        </is>
      </c>
      <c r="B52">
        <f>COUNTIF('Functional Test Cases'!$E$3:$E$260,"Boundary")</f>
        <v/>
      </c>
    </row>
    <row r="53" ht="15" customHeight="1" s="19">
      <c r="A53" t="inlineStr">
        <is>
          <t>Edge</t>
        </is>
      </c>
      <c r="B53">
        <f>COUNTIF('Functional Test Cases'!$E$3:$E$260,"Edge")</f>
        <v/>
      </c>
    </row>
    <row r="54" ht="15" customHeight="1" s="19">
      <c r="A54" t="inlineStr">
        <is>
          <t>Regression</t>
        </is>
      </c>
      <c r="B54">
        <f>COUNTIF('Functional Test Cases'!$E$3:$E$260,"Regression")</f>
        <v/>
      </c>
    </row>
    <row r="55" ht="15" customHeight="1" s="19">
      <c r="A55" t="inlineStr">
        <is>
          <t>Total</t>
        </is>
      </c>
      <c r="B55">
        <f>SUM(B49:B54)</f>
        <v/>
      </c>
    </row>
    <row r="57" ht="15" customHeight="1" s="19">
      <c r="A57" s="1" t="inlineStr">
        <is>
          <t>Integration — By Test Case Type</t>
        </is>
      </c>
    </row>
    <row r="58" ht="15" customHeight="1" s="19">
      <c r="A58" t="inlineStr">
        <is>
          <t>Functional</t>
        </is>
      </c>
      <c r="B58">
        <f>COUNTIF('Integration Test Cases'!$E$3:$E$100,"Functional")</f>
        <v/>
      </c>
    </row>
    <row r="59" ht="15" customHeight="1" s="19">
      <c r="A59" t="inlineStr">
        <is>
          <t>Boundary</t>
        </is>
      </c>
      <c r="B59">
        <f>COUNTIF('Integration Test Cases'!$E$3:$E$100,"Boundary")</f>
        <v/>
      </c>
    </row>
    <row r="60" ht="15" customHeight="1" s="19">
      <c r="A60" t="inlineStr">
        <is>
          <t>Negative</t>
        </is>
      </c>
      <c r="B60">
        <f>COUNTIF('Integration Test Cases'!$E$3:$E$100,"Negative")</f>
        <v/>
      </c>
    </row>
    <row r="61" ht="15" customHeight="1" s="19">
      <c r="A61" t="inlineStr">
        <is>
          <t>Exception</t>
        </is>
      </c>
      <c r="B61">
        <f>COUNTIF('Integration Test Cases'!$E$3:$E$100,"Exception")</f>
        <v/>
      </c>
    </row>
    <row r="62" ht="15" customHeight="1" s="19">
      <c r="A62" t="inlineStr">
        <is>
          <t>Security</t>
        </is>
      </c>
      <c r="B62">
        <f>COUNTIF('Integration Test Cases'!$E$3:$E$100,"Security")</f>
        <v/>
      </c>
    </row>
    <row r="63" ht="15" customHeight="1" s="19">
      <c r="A63" t="inlineStr">
        <is>
          <t>Integration</t>
        </is>
      </c>
      <c r="B63">
        <f>COUNTIF('Integration Test Cases'!$E$3:$E$100,"Integration")</f>
        <v/>
      </c>
    </row>
    <row r="64" ht="15" customHeight="1" s="19">
      <c r="A64" t="inlineStr">
        <is>
          <t>Total</t>
        </is>
      </c>
      <c r="B64">
        <f>SUM(B58:B63)</f>
        <v/>
      </c>
    </row>
    <row r="66" ht="15" customHeight="1" s="19">
      <c r="A66" s="1" t="n"/>
    </row>
  </sheetData>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C16"/>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30" customWidth="1" style="19" min="1" max="1"/>
    <col width="60" customWidth="1" style="19" min="2" max="2"/>
    <col width="24" customWidth="1" style="19" min="3" max="3"/>
  </cols>
  <sheetData>
    <row r="1" ht="17.25" customHeight="1" s="19">
      <c r="A1" s="18" t="inlineStr">
        <is>
          <t>Integration Points Reference</t>
        </is>
      </c>
    </row>
    <row r="2" ht="15" customHeight="1" s="19">
      <c r="A2" s="4" t="inlineStr">
        <is>
          <t>System/Service</t>
        </is>
      </c>
      <c r="B2" s="4" t="inlineStr">
        <is>
          <t>Role in Simplify Checkout</t>
        </is>
      </c>
      <c r="C2" s="4" t="inlineStr">
        <is>
          <t>Modules Using It</t>
        </is>
      </c>
    </row>
    <row r="3" ht="39.75" customHeight="1" s="19">
      <c r="A3" s="5" t="inlineStr">
        <is>
          <t>Cong OTP Zalo/SMS</t>
        </is>
      </c>
      <c r="B3" s="5" t="inlineStr">
        <is>
          <t>Gửi và xác thực mã OTP cho Signup/Login/Quên PIN; Zalo là kênh mặc định, SMS là kênh dự phòng thủ công (không tự động fallback).</t>
        </is>
      </c>
      <c r="C3" s="5" t="inlineStr">
        <is>
          <t>SU, LI</t>
        </is>
      </c>
    </row>
    <row r="4" ht="39.75" customHeight="1" s="19">
      <c r="A4" s="5" t="inlineStr">
        <is>
          <t>Cổng thanh toán &amp; BNPL (MoMo/ZaloPay/Thẻ/BNPL)</t>
        </is>
      </c>
      <c r="B4" s="5" t="inlineStr">
        <is>
          <t>Xử lý thanh toán, trả về khuyến mãi riêng theo từng phương thức, xác nhận Đặt hàng.</t>
        </is>
      </c>
      <c r="C4" s="5" t="inlineStr">
        <is>
          <t>CO</t>
        </is>
      </c>
    </row>
    <row r="5" ht="39.75" customHeight="1" s="19">
      <c r="A5" s="5" t="inlineStr">
        <is>
          <t>OMS/DMS (slot capacity &amp; Next-day config)</t>
        </is>
      </c>
      <c r="B5" s="5" t="inlineStr">
        <is>
          <t>Sở hữu cấu hình slot 60-Minute/Standard/Next-day, cảnh báo sắp hết chỗ, giải phóng slot khi đơn sẵn sàng giao.</t>
        </is>
      </c>
      <c r="C5" s="5" t="inlineStr">
        <is>
          <t>CT</t>
        </is>
      </c>
    </row>
    <row r="6" ht="39.75" customHeight="1" s="19">
      <c r="A6" s="5" t="inlineStr">
        <is>
          <t>OMS (tiếp nhận đơn hàng)</t>
        </is>
      </c>
      <c r="B6" s="5" t="inlineStr">
        <is>
          <t>Nhận và lưu bản ghi đơn hàng cuối cùng, xác nhận/từ chối đơn (hết hàng giữa chừng).</t>
        </is>
      </c>
      <c r="C6" s="5" t="inlineStr">
        <is>
          <t>CO</t>
        </is>
      </c>
    </row>
    <row r="7" ht="39.75" customHeight="1" s="19">
      <c r="A7" s="5" t="inlineStr">
        <is>
          <t>Dịch vụ cấu hình Store (Danh mục/Giá/Tồn kho)</t>
        </is>
      </c>
      <c r="B7" s="5" t="inlineStr">
        <is>
          <t>Cung cấp danh mục, giá, tồn kho, bán kính dịch vụ theo từng store; nguồn dữ liệu chính cho cảnh báo đổi store.</t>
        </is>
      </c>
      <c r="C7" s="5" t="inlineStr">
        <is>
          <t>ONB, HP, CT</t>
        </is>
      </c>
    </row>
    <row r="8" ht="39.75" customHeight="1" s="19">
      <c r="A8" s="5" t="inlineStr">
        <is>
          <t>Biometric / Device Security Ticket</t>
        </is>
      </c>
      <c r="B8" s="5" t="inlineStr">
        <is>
          <t>Quản lý bio ticket Face ID/vân tay, giới hạn 1 ticket đang hoạt động/thiết bị.</t>
        </is>
      </c>
      <c r="C8" s="5" t="inlineStr">
        <is>
          <t>SU, LI</t>
        </is>
      </c>
    </row>
    <row r="9" ht="39.75" customHeight="1" s="19">
      <c r="A9" s="5" t="inlineStr">
        <is>
          <t>Session / Auth Token Service</t>
        </is>
      </c>
      <c r="B9" s="5" t="inlineStr">
        <is>
          <t>Cấp phát và xác thực token phiên đăng nhập; xử lý hết hạn giữa chừng.</t>
        </is>
      </c>
      <c r="C9" s="5" t="inlineStr">
        <is>
          <t>HP, LI</t>
        </is>
      </c>
    </row>
    <row r="10" ht="39.75" customHeight="1" s="19">
      <c r="A10" s="5" t="inlineStr">
        <is>
          <t>Coupon &amp; Khuyen mai Engine</t>
        </is>
      </c>
      <c r="B10" s="5" t="inlineStr">
        <is>
          <t>Tự động áp dụng coupon giao hàng/sản phẩm, tính tiến độ freeship real-time.</t>
        </is>
      </c>
      <c r="C10" s="5" t="inlineStr">
        <is>
          <t>CT, CO</t>
        </is>
      </c>
    </row>
    <row r="11" ht="39.75" customHeight="1" s="19">
      <c r="A11" s="5" t="inlineStr">
        <is>
          <t>Loyalty &amp; Diem thuong Engine</t>
        </is>
      </c>
      <c r="B11" s="5" t="inlineStr">
        <is>
          <t>Tính điểm dự kiến, điểm thưởng khung giờ point-earning, áp dụng điểm giảm giá.</t>
        </is>
      </c>
      <c r="C11" s="5" t="inlineStr">
        <is>
          <t>CT, CO</t>
        </is>
      </c>
    </row>
    <row r="12" ht="39.75" customHeight="1" s="19">
      <c r="A12" s="5" t="inlineStr">
        <is>
          <t>GotIt / Gift Card Service</t>
        </is>
      </c>
      <c r="B12" s="5" t="inlineStr">
        <is>
          <t>Xác thực và quy đổi mã quà tặng/GotIt vào tổng đơn hàng.</t>
        </is>
      </c>
      <c r="C12" s="5" t="inlineStr">
        <is>
          <t>CO</t>
        </is>
      </c>
    </row>
    <row r="13" ht="39.75" customHeight="1" s="19">
      <c r="A13" s="5" t="inlineStr">
        <is>
          <t>Dich vu hoa don VAT</t>
        </is>
      </c>
      <c r="B13" s="5" t="inlineStr">
        <is>
          <t>Nhận và lưu thông tin xuất hoá đơn VAT gắn với đơn hàng.</t>
        </is>
      </c>
      <c r="C13" s="5" t="inlineStr">
        <is>
          <t>CO</t>
        </is>
      </c>
    </row>
    <row r="14" ht="39.75" customHeight="1" s="19">
      <c r="A14" s="5" t="inlineStr">
        <is>
          <t>Delivery Partner &amp; Locker Network</t>
        </is>
      </c>
      <c r="B14" s="5" t="inlineStr">
        <is>
          <t>Thực thi giao hàng 60-Minute/Standard/Next-day và quản lý trạng thái locker gần nhà/tại store.</t>
        </is>
      </c>
      <c r="C14" s="5" t="inlineStr">
        <is>
          <t>CT, CO</t>
        </is>
      </c>
    </row>
    <row r="15" ht="39.75" customHeight="1" s="19">
      <c r="A15" s="5" t="inlineStr">
        <is>
          <t>Dich vu phan giai dia chi &amp; vung dich vu (Geo/Service-zone)</t>
        </is>
      </c>
      <c r="B15" s="5" t="inlineStr">
        <is>
          <t>Xác định 1 trong 4 trạng thái dịch vụ theo khoảng cách địa chỉ-store; nguồn dữ liệu cho ước tính giao hàng.</t>
        </is>
      </c>
      <c r="C15" s="5" t="inlineStr">
        <is>
          <t>HP, CT</t>
        </is>
      </c>
    </row>
    <row r="16" ht="39.75" customHeight="1" s="19">
      <c r="A16" s="5" t="inlineStr">
        <is>
          <t>Security Service - Gioi han thu OTP/PIN</t>
        </is>
      </c>
      <c r="B16" s="5" t="inlineStr">
        <is>
          <t>Thực thi phía server giới hạn số lần thử sai OTP/PIN, độc lập với client.</t>
        </is>
      </c>
      <c r="C16" s="5" t="inlineStr">
        <is>
          <t>SU, LI</t>
        </is>
      </c>
    </row>
  </sheetData>
  <mergeCells count="1">
    <mergeCell ref="A1:C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2026-08-25T08:39:39Z</dcterms:created>
  <dcterms:modified xmlns:dcterms="http://purl.org/dc/terms/" xmlns:xsi="http://www.w3.org/2001/XMLSchema-instance" xsi:type="dcterms:W3CDTF">2026-09-03T10:21:49Z</dcterms:modified>
  <cp:lastModifiedBy>License Lotte</cp:lastModifiedBy>
  <cp:revision>0</cp:revision>
</cp:coreProperties>
</file>