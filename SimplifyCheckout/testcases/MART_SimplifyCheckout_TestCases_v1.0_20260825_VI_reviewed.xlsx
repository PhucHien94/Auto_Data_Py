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E2E Checkout Test Cases" sheetId="6" state="visible" r:id="rId6"/>
    <sheet xmlns:r="http://schemas.openxmlformats.org/officeDocument/2006/relationships" name="Danh sach van de can luu y" sheetId="7" state="visible" r:id="rId7"/>
    <sheet xmlns:r="http://schemas.openxmlformats.org/officeDocument/2006/relationships" name="Summary" sheetId="8" state="visible" r:id="rId8"/>
    <sheet xmlns:r="http://schemas.openxmlformats.org/officeDocument/2006/relationships" name="Integration Point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F4E78"/>
      <sz val="14"/>
    </font>
    <font>
      <b val="1"/>
      <sz val="13"/>
    </font>
    <font>
      <b val="1"/>
    </font>
    <font>
      <b val="1"/>
      <sz val="12"/>
    </font>
    <font>
      <b val="1"/>
      <color rgb="FFFFFFFF"/>
      <sz val="11"/>
    </font>
    <font>
      <i val="1"/>
      <color rgb="FF666666"/>
      <sz val="9"/>
    </font>
  </fonts>
  <fills count="6">
    <fill>
      <patternFill/>
    </fill>
    <fill>
      <patternFill patternType="gray125"/>
    </fill>
    <fill>
      <patternFill patternType="solid">
        <fgColor rgb="FF1F4E78"/>
      </patternFill>
    </fill>
    <fill>
      <patternFill patternType="solid">
        <fgColor rgb="FFFFF2CC"/>
      </patternFill>
    </fill>
    <fill>
      <patternFill patternType="solid">
        <fgColor rgb="FFE2EFDA"/>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26" customWidth="1" min="1" max="1"/>
    <col width="90" customWidth="1" min="2" max="2"/>
  </cols>
  <sheetData>
    <row r="1">
      <c r="A1" s="1" t="inlineStr">
        <is>
          <t>MART VN ONLINE RENEWAL 2026 PROJECT</t>
        </is>
      </c>
    </row>
    <row r="3">
      <c r="A3" s="2" t="inlineStr">
        <is>
          <t>Simplify Checkout — Functional &amp; System Integration Test Suite (DA REVIEW)</t>
        </is>
      </c>
    </row>
    <row r="6" ht="46" customHeight="1">
      <c r="A6" s="3" t="inlineStr">
        <is>
          <t>Document</t>
        </is>
      </c>
      <c r="B6" s="4" t="inlineStr">
        <is>
          <t>MART-SimplifyCheckout Combined Test Suite — v1.1 (reviewed) — 25 August 2026 (Vietnamese version)</t>
        </is>
      </c>
    </row>
    <row r="7" ht="46" customHeight="1">
      <c r="A7" s="3" t="inlineStr">
        <is>
          <t>Prepared for</t>
        </is>
      </c>
      <c r="B7" s="4" t="inlineStr">
        <is>
          <t>Mart Online Division</t>
        </is>
      </c>
    </row>
    <row r="8" ht="46" customHeight="1">
      <c r="A8" s="3" t="inlineStr">
        <is>
          <t>Prepared by</t>
        </is>
      </c>
      <c r="B8" s="4" t="inlineStr">
        <is>
          <t>QC/BA Team</t>
        </is>
      </c>
    </row>
    <row r="9" ht="46" customHeight="1">
      <c r="A9" s="3" t="inlineStr">
        <is>
          <t>Date</t>
        </is>
      </c>
      <c r="B9" s="4" t="inlineStr">
        <is>
          <t>25 August 2026</t>
        </is>
      </c>
    </row>
    <row r="10" ht="46" customHeight="1">
      <c r="A10" s="3" t="inlineStr">
        <is>
          <t>Source - REQ</t>
        </is>
      </c>
      <c r="B10" s="4" t="inlineStr">
        <is>
          <t>MART-AN02-SRS-Simplify User Flow-v0.1-20260814.pptx + Figma "Checkout Flow - Review" (SimplifyCheckout/Figma2508/figma.png)</t>
        </is>
      </c>
    </row>
    <row r="11" ht="46" customHeight="1">
      <c r="A11" s="3" t="inlineStr">
        <is>
          <t>File goc</t>
        </is>
      </c>
      <c r="B11" s="4" t="inlineStr">
        <is>
          <t>MART_SimplifyCheckout_TestCases_v1.0_20260825_VI.xlsx (file nay la ban REVIEW + BO SUNG tu file goc, khong ghi de len file goc).</t>
        </is>
      </c>
    </row>
    <row r="12" ht="46" customHeight="1">
      <c r="A12" s="3" t="inlineStr">
        <is>
          <t>Co gi moi trong ban review nay</t>
        </is>
      </c>
      <c r="B12" s="4" t="inlineStr">
        <is>
          <t>(1) Them cot 'Ghi chu Review (QC)' o cuoi 2 sheet Functional/Integration Test Cases - chi ghi chu khi THUC SU co van de can luu y, de trong neu test da on. (2) Them sheet moi 'E2E Checkout Test Cases' - 12 kich ban XUYEN SUOT tu luc mo app den luc dat hang xong (thay vi chi test tung man hinh rieng le), viet don gian de hieu. (3) Them sheet 'Danh sach van de can luu y' liet ke cac lo hong/mau thuan/cau hoi con thieu phat hien duoc khi review.</t>
        </is>
      </c>
    </row>
    <row r="13" ht="46" customHeight="1">
      <c r="A13" s="3" t="inlineStr">
        <is>
          <t>Structure</t>
        </is>
      </c>
      <c r="B13" s="4" t="inlineStr">
        <is>
          <t>Cover / Functional Test Scenarios / Functional Test Cases / Integration Test Scenarios / Integration Test Cases / E2E Checkout Test Cases / Danh sach van de can luu y / Summary / Integration Points.</t>
        </is>
      </c>
    </row>
    <row r="14" ht="46" customHeight="1">
      <c r="A14" s="3" t="inlineStr">
        <is>
          <t>File QnA lien quan</t>
        </is>
      </c>
      <c r="B14" s="4" t="inlineStr">
        <is>
          <t>MART_SimplifyCheckout_QnA_Log_v1.0_20260825.xlsx (37 muc).</t>
        </is>
      </c>
    </row>
    <row r="16">
      <c r="A16" s="5" t="inlineStr">
        <is>
          <t>Legend</t>
        </is>
      </c>
    </row>
    <row r="17" ht="28" customHeight="1">
      <c r="A17" s="3" t="inlineStr">
        <is>
          <t>Functional Scenario/Test Case Type</t>
        </is>
      </c>
      <c r="B17" s="4" t="inlineStr">
        <is>
          <t>Normal, Functional, Validation, Negative, Boundary, Edge, Regression</t>
        </is>
      </c>
    </row>
    <row r="18" ht="28" customHeight="1">
      <c r="A18" s="3" t="inlineStr">
        <is>
          <t>Integration Test Case Type</t>
        </is>
      </c>
      <c r="B18" s="4" t="inlineStr">
        <is>
          <t>Functional, Boundary, Negative, Exception, Security, Integration</t>
        </is>
      </c>
    </row>
    <row r="19" ht="28" customHeight="1">
      <c r="A19" s="3" t="inlineStr">
        <is>
          <t>Test Result (Summary sheet)</t>
        </is>
      </c>
      <c r="B19" s="4" t="inlineStr">
        <is>
          <t>Pass / Fail / Blocked / N/A / Not Run</t>
        </is>
      </c>
    </row>
    <row r="20" ht="28" customHeight="1">
      <c r="A20" s="3" t="inlineStr">
        <is>
          <t>Cot mau vang</t>
        </is>
      </c>
      <c r="B20" s="4" t="inlineStr">
        <is>
          <t>Truong theo doi thuc thi de QC dien (Actual Result, Pass/Fail Status, Tester, Test Date)</t>
        </is>
      </c>
    </row>
    <row r="21" ht="28" customHeight="1">
      <c r="A21" s="3" t="inlineStr">
        <is>
          <t>Cot mau xanh la (Ghi chu Review)</t>
        </is>
      </c>
      <c r="B21" s="4" t="inlineStr">
        <is>
          <t>Nhan xet cua nguoi review - de trong nghia la test da on, khong can sua gi.</t>
        </is>
      </c>
    </row>
    <row r="22" ht="28" customHeight="1">
      <c r="A22" s="3" t="inlineStr">
        <is>
          <t>Cot QnA Ref</t>
        </is>
      </c>
      <c r="B22" s="4" t="inlineStr">
        <is>
          <t>Ma tham chieu toi file QnA Log khi test case lien quan 1 cau hoi con mo (Expected Result co the ghi TBD).</t>
        </is>
      </c>
    </row>
    <row r="24">
      <c r="A24" s="5" t="inlineStr">
        <is>
          <t>Change History</t>
        </is>
      </c>
    </row>
    <row r="25">
      <c r="A25" s="3" t="inlineStr">
        <is>
          <t>Version</t>
        </is>
      </c>
      <c r="B25" s="3" t="inlineStr">
        <is>
          <t>Date</t>
        </is>
      </c>
      <c r="C25" s="3" t="inlineStr">
        <is>
          <t>Author</t>
        </is>
      </c>
      <c r="D25" s="3" t="inlineStr">
        <is>
          <t>Change</t>
        </is>
      </c>
    </row>
    <row r="26">
      <c r="A26" t="inlineStr">
        <is>
          <t>v1.0</t>
        </is>
      </c>
      <c r="B26" t="inlineStr">
        <is>
          <t>25 August 2026</t>
        </is>
      </c>
      <c r="C26" t="inlineStr">
        <is>
          <t>QC (ho tro boi Claude)</t>
        </is>
      </c>
      <c r="D26" t="inlineStr">
        <is>
          <t>Tao lan dau tu SRS v0.1 + doi chieu Figma.</t>
        </is>
      </c>
    </row>
    <row r="27">
      <c r="A27" t="inlineStr">
        <is>
          <t>v1.1</t>
        </is>
      </c>
      <c r="B27" t="inlineStr">
        <is>
          <t>25 August 2026</t>
        </is>
      </c>
      <c r="C27" t="inlineStr">
        <is>
          <t>QC (ho tro boi Claude)</t>
        </is>
      </c>
      <c r="D27" t="inlineStr">
        <is>
          <t>Review lai theo review-testcase.md: them cot Ghi chu Review, sheet E2E Checkout (12 kich ban xuyen suot), sheet Danh sach van de can luu y. Theo yeu cau nguoi dung: bo sung test E2E vi truoc do qua it, va viet don gian 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
  <sheetViews>
    <sheetView showGridLines="0" workbookViewId="0">
      <pane ySplit="2" topLeftCell="A3" activePane="bottomLeft" state="frozen"/>
      <selection pane="bottomLeft" activeCell="A1" sqref="A1"/>
    </sheetView>
  </sheetViews>
  <sheetFormatPr baseColWidth="8" defaultRowHeight="15"/>
  <cols>
    <col width="6" customWidth="1" min="1" max="1"/>
    <col width="20" customWidth="1" min="2" max="2"/>
    <col width="14" customWidth="1" min="3" max="3"/>
    <col width="26" customWidth="1" min="4" max="4"/>
    <col width="20" customWidth="1" min="5" max="5"/>
    <col width="12" customWidth="1" min="6" max="6"/>
    <col width="40" customWidth="1" min="7" max="7"/>
    <col width="24" customWidth="1" min="8" max="8"/>
    <col width="34" customWidth="1" min="9" max="9"/>
    <col width="46" customWidth="1" min="10" max="10"/>
    <col width="34" customWidth="1" min="11" max="11"/>
    <col width="10" customWidth="1" min="12" max="12"/>
    <col width="40" customWidth="1" min="13" max="13"/>
  </cols>
  <sheetData>
    <row r="1">
      <c r="A1" s="1" t="inlineStr">
        <is>
          <t>Simplify Checkout — Functional Test Scenario Register</t>
        </is>
      </c>
    </row>
    <row r="2">
      <c r="A2" s="6" t="inlineStr">
        <is>
          <t>No</t>
        </is>
      </c>
      <c r="B2" s="6" t="inlineStr">
        <is>
          <t>Scenario ID</t>
        </is>
      </c>
      <c r="C2" s="6" t="inlineStr">
        <is>
          <t>Screen ID</t>
        </is>
      </c>
      <c r="D2" s="6" t="inlineStr">
        <is>
          <t>Capability Area</t>
        </is>
      </c>
      <c r="E2" s="6" t="inlineStr">
        <is>
          <t>REQ ID (SRS)</t>
        </is>
      </c>
      <c r="F2" s="6" t="inlineStr">
        <is>
          <t>Scenario Type</t>
        </is>
      </c>
      <c r="G2" s="6" t="inlineStr">
        <is>
          <t>User Action</t>
        </is>
      </c>
      <c r="H2" s="6" t="inlineStr">
        <is>
          <t>Input</t>
        </is>
      </c>
      <c r="I2" s="6" t="inlineStr">
        <is>
          <t>Preconditions</t>
        </is>
      </c>
      <c r="J2" s="6" t="inlineStr">
        <is>
          <t>Expected Output</t>
        </is>
      </c>
      <c r="K2" s="6" t="inlineStr">
        <is>
          <t>Acceptance Criteria</t>
        </is>
      </c>
      <c r="L2" s="6" t="inlineStr">
        <is>
          <t>QnA Ref</t>
        </is>
      </c>
      <c r="M2" s="6" t="inlineStr">
        <is>
          <t>Comments</t>
        </is>
      </c>
    </row>
    <row r="3" ht="46" customHeight="1">
      <c r="A3" s="7" t="n">
        <v>1</v>
      </c>
      <c r="B3" s="7" t="inlineStr">
        <is>
          <t>SCR-ONB-01-SC1</t>
        </is>
      </c>
      <c r="C3" s="7" t="inlineStr">
        <is>
          <t>SCR-ONB-01</t>
        </is>
      </c>
      <c r="D3" s="7" t="inlineStr">
        <is>
          <t>ONB - Onboarding</t>
        </is>
      </c>
      <c r="E3" s="7" t="inlineStr">
        <is>
          <t>ONB-01</t>
        </is>
      </c>
      <c r="F3" s="7" t="inlineStr">
        <is>
          <t>Normal</t>
        </is>
      </c>
      <c r="G3" s="7" t="inlineStr">
        <is>
          <t>Chon 1 trong 3 ngon ngu (Tieng Viet / English / 한국어) tren man hinh chon ngon ngu dau tien.</t>
        </is>
      </c>
      <c r="H3" s="7" t="inlineStr">
        <is>
          <t>Chon lan luot: Tieng Viet, English, 한국어</t>
        </is>
      </c>
      <c r="I3" s="7" t="inlineStr">
        <is>
          <t>Mo app lan dau (chua co du lieu app / vua xoa data).</t>
        </is>
      </c>
      <c r="J3" s="7" t="inlineStr">
        <is>
          <t>Toan bo nhan tren man hinh (nut Tiep tuc, dong chu thich doi ngon ngu sau) doi ngay lap tuc theo ngon ngu vua chon, truoc khi bam Tiep tuc. Luon co dung 1 lua chon duoc chon (khong co trang thai trong).</t>
        </is>
      </c>
      <c r="K3" s="7" t="inlineStr">
        <is>
          <t>Ca 3 lua chon deu chon duoc, giao dien re-render tuc thi, nut Tiep tuc luon o trang thai enabled.</t>
        </is>
      </c>
      <c r="L3" s="7" t="n"/>
      <c r="M3" s="7" t="inlineStr">
        <is>
          <t>ONB-01: mac dinh suy ra tu locale thiet bi; neu locale khong khop 3 ngon ngu thi mac dinh Tieng Viet.</t>
        </is>
      </c>
    </row>
    <row r="4" ht="46" customHeight="1">
      <c r="A4" s="7" t="n">
        <v>2</v>
      </c>
      <c r="B4" s="7" t="inlineStr">
        <is>
          <t>SCR-ONB-01-SC2</t>
        </is>
      </c>
      <c r="C4" s="7" t="inlineStr">
        <is>
          <t>SCR-ONB-01</t>
        </is>
      </c>
      <c r="D4" s="7" t="inlineStr">
        <is>
          <t>ONB - Onboarding</t>
        </is>
      </c>
      <c r="E4" s="7" t="inlineStr">
        <is>
          <t>ONB-01</t>
        </is>
      </c>
      <c r="F4" s="7" t="inlineStr">
        <is>
          <t>Edge</t>
        </is>
      </c>
      <c r="G4" s="7" t="inlineStr">
        <is>
          <t>Kiem tra man hinh chon ngon ngu KHONG hien lai o lan mo app tiep theo, va ngon ngu doi duoc trong Settings.</t>
        </is>
      </c>
      <c r="H4" s="7" t="inlineStr">
        <is>
          <t>Mo lai app sau khi da hoan tat Onboarding; sau do vao Settings doi ngon ngu.</t>
        </is>
      </c>
      <c r="I4" s="7" t="inlineStr">
        <is>
          <t>Da hoan tat onboarding it nhat 1 lan truoc do (khong xoa du lieu app).</t>
        </is>
      </c>
      <c r="J4" s="7" t="inlineStr">
        <is>
          <t>Man hinh SCR-ONB-01 khong xuat hien lai o lan mo app ke tiep; ngon ngu van co the doi duoc tu Settings va anh huong toan bo dinh dang so/tien te/ngay thang trong phien.</t>
        </is>
      </c>
      <c r="K4" s="7" t="inlineStr">
        <is>
          <t>Man hinh chi hien 1 lan duy nhat cho moi lan cai dat/xoa du lieu app.</t>
        </is>
      </c>
      <c r="L4" s="7" t="n"/>
      <c r="M4" s="7" t="n"/>
    </row>
    <row r="5" ht="46" customHeight="1">
      <c r="A5" s="7" t="n">
        <v>3</v>
      </c>
      <c r="B5" s="7" t="inlineStr">
        <is>
          <t>SCR-ONB-02-SC1</t>
        </is>
      </c>
      <c r="C5" s="7" t="inlineStr">
        <is>
          <t>SCR-ONB-02</t>
        </is>
      </c>
      <c r="D5" s="7" t="inlineStr">
        <is>
          <t>ONB - Onboarding</t>
        </is>
      </c>
      <c r="E5" s="7" t="inlineStr">
        <is>
          <t>ONB-02, ONB-03, ONB-04</t>
        </is>
      </c>
      <c r="F5" s="7" t="inlineStr">
        <is>
          <t>Normal</t>
        </is>
      </c>
      <c r="G5" s="7" t="inlineStr">
        <is>
          <t>Lan luot Allow ca 3 dialog quyen he thong: theo doi hoat dong, thong bao, vi tri.</t>
        </is>
      </c>
      <c r="H5" s="7" t="inlineStr">
        <is>
          <t>Allow / Allow / Allow While Using App</t>
        </is>
      </c>
      <c r="I5" s="7" t="inlineStr">
        <is>
          <t>Da chon ngon ngu o SCR-ONB-01.</t>
        </is>
      </c>
      <c r="J5" s="7" t="inlineStr">
        <is>
          <t>Ca 3 dialog la dialog cua OS (LOTTE MART khong doi duoc noi dung/nut ngoai purpose string), hien thi lan luot va khong chan tien trinh du Allow hay Deny. Sau khi qua ca 3, chuyen sang SCR-ONB-03 voi vi tri = Allowed.</t>
        </is>
      </c>
      <c r="K5" s="7" t="inlineStr">
        <is>
          <t>Voi vi tri = Allowed, SCR-ONB-03 se pre-select store gan nhat theo GPS (BRL-02).</t>
        </is>
      </c>
      <c r="L5" s="7" t="n"/>
      <c r="M5" s="7" t="n"/>
    </row>
    <row r="6" ht="46" customHeight="1">
      <c r="A6" s="7" t="n">
        <v>4</v>
      </c>
      <c r="B6" s="7" t="inlineStr">
        <is>
          <t>SCR-ONB-02-SC2</t>
        </is>
      </c>
      <c r="C6" s="7" t="inlineStr">
        <is>
          <t>SCR-ONB-02</t>
        </is>
      </c>
      <c r="D6" s="7" t="inlineStr">
        <is>
          <t>ONB - Onboarding</t>
        </is>
      </c>
      <c r="E6" s="7" t="inlineStr">
        <is>
          <t>ONB-02, ONB-03, ONB-04</t>
        </is>
      </c>
      <c r="F6" s="7" t="inlineStr">
        <is>
          <t>Negative</t>
        </is>
      </c>
      <c r="G6" s="7" t="inlineStr">
        <is>
          <t>Lan luot Deny ca 3 dialog quyen he thong.</t>
        </is>
      </c>
      <c r="H6" s="7" t="inlineStr">
        <is>
          <t>Don't Allow / Don't Allow / Don't Allow</t>
        </is>
      </c>
      <c r="I6" s="7" t="inlineStr">
        <is>
          <t>Da chon ngon ngu o SCR-ONB-01.</t>
        </is>
      </c>
      <c r="J6" s="7" t="inlineStr">
        <is>
          <t>Tu choi ca 3 quyen KHONG chan hanh trinh - khach van tiep tuc sang SCR-ONB-03, nhung khong co store nao duoc pre-select (BRL-02) va thong bao don hang se fallback qua in-app/Zalo/SMS thay vi push notification.</t>
        </is>
      </c>
      <c r="K6" s="7" t="inlineStr">
        <is>
          <t>Tu choi bat ky quyen nao chi mat 1 tien ich, khong bao gio mat 1 chuc nang.</t>
        </is>
      </c>
      <c r="L6" s="7" t="n"/>
      <c r="M6" s="7" t="inlineStr">
        <is>
          <t>Doi voi vi tri: Deny la truong hop dan den SCR-ONB-03 State B (chon store thu cong, khong co mac dinh).</t>
        </is>
      </c>
    </row>
    <row r="7" ht="46" customHeight="1">
      <c r="A7" s="7" t="n">
        <v>5</v>
      </c>
      <c r="B7" s="7" t="inlineStr">
        <is>
          <t>SCR-ONB-03-SC1</t>
        </is>
      </c>
      <c r="C7" s="7" t="inlineStr">
        <is>
          <t>SCR-ONB-03</t>
        </is>
      </c>
      <c r="D7" s="7" t="inlineStr">
        <is>
          <t>ONB - Onboarding</t>
        </is>
      </c>
      <c r="E7" s="7" t="inlineStr">
        <is>
          <t>ONB-05</t>
        </is>
      </c>
      <c r="F7" s="7" t="inlineStr">
        <is>
          <t>Normal</t>
        </is>
      </c>
      <c r="G7" s="7" t="inlineStr">
        <is>
          <t>Vi tri da Allow: xac nhan store gan nhat duoc pre-select va bam Tiep tuc.</t>
        </is>
      </c>
      <c r="H7" s="7" t="inlineStr">
        <is>
          <t>Khong thao tac gi them, dung store da duoc pre-select.</t>
        </is>
      </c>
      <c r="I7" s="7" t="inlineStr">
        <is>
          <t>Quyen vi tri = Allowed tu SCR-ONB-02.</t>
        </is>
      </c>
      <c r="J7" s="7" t="inlineStr">
        <is>
          <t>Store gan nhat theo GPS duoc pre-select va gan nhan 'Nearest'; nut Tiep tuc o trang thai enabled ngay; bam Tiep tuc chuyen sang SCR-ONB-04.</t>
        </is>
      </c>
      <c r="K7" s="7" t="inlineStr">
        <is>
          <t>Store mac dinh dung theo khoang cach GPS thuc te; nut Tiep tuc enabled tu dau man hinh nay.</t>
        </is>
      </c>
      <c r="L7" s="7" t="n"/>
      <c r="M7" s="7" t="n"/>
    </row>
    <row r="8" ht="46" customHeight="1">
      <c r="A8" s="7" t="n">
        <v>6</v>
      </c>
      <c r="B8" s="7" t="inlineStr">
        <is>
          <t>SCR-ONB-03-SC2</t>
        </is>
      </c>
      <c r="C8" s="7" t="inlineStr">
        <is>
          <t>SCR-ONB-03</t>
        </is>
      </c>
      <c r="D8" s="7" t="inlineStr">
        <is>
          <t>ONB - Onboarding</t>
        </is>
      </c>
      <c r="E8" s="7" t="inlineStr">
        <is>
          <t>ONB-05</t>
        </is>
      </c>
      <c r="F8" s="7" t="inlineStr">
        <is>
          <t>Boundary</t>
        </is>
      </c>
      <c r="G8" s="7" t="inlineStr">
        <is>
          <t>Vi tri da Deny: khong co store nao duoc pre-select, bam Tiep tuc khi CHUA chon store nao.</t>
        </is>
      </c>
      <c r="H8" s="7" t="inlineStr">
        <is>
          <t>Khong chon store nao, bam thang Tiep tuc.</t>
        </is>
      </c>
      <c r="I8" s="7" t="inlineStr">
        <is>
          <t>Quyen vi tri = Denied tu SCR-ONB-02.</t>
        </is>
      </c>
      <c r="J8" s="7" t="inlineStr">
        <is>
          <t>Khong co store nao duoc danh dau mac dinh, khong hien khoang cach; banner mau vang de nghi bat vi tri; nut Tiep tuc DISABLED cho den khi khach chon 1 store cu the (enforcement cua BRL-01).</t>
        </is>
      </c>
      <c r="K8" s="7" t="inlineStr">
        <is>
          <t>Nut Tiep tuc phai disabled khi chua co store nao duoc chon trong State B; khong co Back/Skip nao bo qua duoc buoc nay.</t>
        </is>
      </c>
      <c r="L8" s="7" t="n"/>
      <c r="M8" s="7" t="inlineStr">
        <is>
          <t>BRL-01: viec chon store la buoc bat buoc duy nhat truoc Homepage, khong co Back/Skip.</t>
        </is>
      </c>
    </row>
    <row r="9" ht="46" customHeight="1">
      <c r="A9" s="7" t="n">
        <v>7</v>
      </c>
      <c r="B9" s="7" t="inlineStr">
        <is>
          <t>SCR-ONB-03-SC3</t>
        </is>
      </c>
      <c r="C9" s="7" t="inlineStr">
        <is>
          <t>SCR-ONB-03</t>
        </is>
      </c>
      <c r="D9" s="7" t="inlineStr">
        <is>
          <t>ONB - Onboarding</t>
        </is>
      </c>
      <c r="E9" s="7" t="inlineStr">
        <is>
          <t>ONB-05</t>
        </is>
      </c>
      <c r="F9" s="7" t="inlineStr">
        <is>
          <t>Functional</t>
        </is>
      </c>
      <c r="G9" s="7" t="inlineStr">
        <is>
          <t>Dung o tim kiem store theo ten hoac quan/thanh pho de loc danh sach.</t>
        </is>
      </c>
      <c r="H9" s="7" t="inlineStr">
        <is>
          <t>Nhap 'Tan Binh' vao o tim kiem store.</t>
        </is>
      </c>
      <c r="I9" s="7" t="inlineStr">
        <is>
          <t>Dang o man hinh chon store (ca 2 state A/B).</t>
        </is>
      </c>
      <c r="J9" s="7" t="inlineStr">
        <is>
          <t>Danh sach store duoc loc chi con cac store khop ten/quan; khong lam mat trang thai bat buoc cua buoc chon store.</t>
        </is>
      </c>
      <c r="K9" s="7" t="inlineStr">
        <is>
          <t>Ket qua loc dung, khong anh huong tinh bat buoc cua buoc chon.</t>
        </is>
      </c>
      <c r="L9" s="7" t="n"/>
      <c r="M9" s="7" t="n"/>
    </row>
    <row r="10" ht="46" customHeight="1">
      <c r="A10" s="7" t="n">
        <v>8</v>
      </c>
      <c r="B10" s="7" t="inlineStr">
        <is>
          <t>SCR-ONB-04-SC1</t>
        </is>
      </c>
      <c r="C10" s="7" t="inlineStr">
        <is>
          <t>SCR-ONB-04</t>
        </is>
      </c>
      <c r="D10" s="7" t="inlineStr">
        <is>
          <t>ONB - Onboarding</t>
        </is>
      </c>
      <c r="E10" s="7" t="inlineStr">
        <is>
          <t>ONB-06</t>
        </is>
      </c>
      <c r="F10" s="7" t="inlineStr">
        <is>
          <t>Normal</t>
        </is>
      </c>
      <c r="G10" s="7" t="inlineStr">
        <is>
          <t>Vuot qua 3 man hinh gioi thieu bang vuot (swipe) hoac bam Next, xem progress dot cap nhat dung.</t>
        </is>
      </c>
      <c r="H10" s="7" t="inlineStr">
        <is>
          <t>Vuot trai lien tiep tu man 1 sang man 3.</t>
        </is>
      </c>
      <c r="I10" s="7" t="inlineStr">
        <is>
          <t>Da hoan tat chon store bat buoc o SCR-ONB-03.</t>
        </is>
      </c>
      <c r="J10" s="7" t="inlineStr">
        <is>
          <t>3 cham progress hien dung vi tri hien tai (cham active duoc keo dai); vuot trai/phai di chuyen ca 2 chieu; man 3 doi nut chinh thanh 'Start shopping'.</t>
        </is>
      </c>
      <c r="K10" s="7" t="inlineStr">
        <is>
          <t>Dieu huong carousel muot, dung thu tu 3 man.</t>
        </is>
      </c>
      <c r="L10" s="7" t="inlineStr">
        <is>
          <t>QnA-06</t>
        </is>
      </c>
      <c r="M10" s="7" t="inlineStr">
        <is>
          <t>Noi dung/artwork 3 man hinh dang la de xuat cua BA, chua duoc LOTTE MART xac nhan (QnA-06).</t>
        </is>
      </c>
    </row>
    <row r="11" ht="46" customHeight="1">
      <c r="A11" s="7" t="n">
        <v>9</v>
      </c>
      <c r="B11" s="7" t="inlineStr">
        <is>
          <t>SCR-ONB-04-SC2</t>
        </is>
      </c>
      <c r="C11" s="7" t="inlineStr">
        <is>
          <t>SCR-ONB-04</t>
        </is>
      </c>
      <c r="D11" s="7" t="inlineStr">
        <is>
          <t>ONB - Onboarding</t>
        </is>
      </c>
      <c r="E11" s="7" t="inlineStr">
        <is>
          <t>ONB-06, ONB-07</t>
        </is>
      </c>
      <c r="F11" s="7" t="inlineStr">
        <is>
          <t>Normal</t>
        </is>
      </c>
      <c r="G11" s="7" t="inlineStr">
        <is>
          <t>Bam Skip ngay tu man gioi thieu dau tien.</t>
        </is>
      </c>
      <c r="H11" s="7" t="inlineStr">
        <is>
          <t>Bam Skip tai man 1/3.</t>
        </is>
      </c>
      <c r="I11" s="7" t="inlineStr">
        <is>
          <t>Dang o SCR-ONB-04 man 1.</t>
        </is>
      </c>
      <c r="J11" s="7" t="inlineStr">
        <is>
          <t>He thong bo qua toan bo cac man con lai va vao thang Homepage (SCR-HOM-01) o trang thai Guest, hien thi theo dung store da chon o SCR-ONB-03 (ONB-07, BR-03).</t>
        </is>
      </c>
      <c r="K11" s="7" t="inlineStr">
        <is>
          <t>Skip luon dua thang ve Homepage bat ke dang o man nao trong 3 man.</t>
        </is>
      </c>
      <c r="L11" s="7" t="n"/>
      <c r="M11" s="7" t="inlineStr">
        <is>
          <t>Carousel khong bao gio la buoc bat buoc (khac voi buoc chon store).</t>
        </is>
      </c>
    </row>
    <row r="12" ht="46" customHeight="1">
      <c r="A12" s="7" t="n">
        <v>10</v>
      </c>
      <c r="B12" s="7" t="inlineStr">
        <is>
          <t>SCR-HOM-01-SC1</t>
        </is>
      </c>
      <c r="C12" s="7" t="inlineStr">
        <is>
          <t>SCR-HOM-01</t>
        </is>
      </c>
      <c r="D12" s="7" t="inlineStr">
        <is>
          <t>HP - Homepage &amp; Login Gate</t>
        </is>
      </c>
      <c r="E12" s="7" t="inlineStr">
        <is>
          <t>HP-01, HP-04</t>
        </is>
      </c>
      <c r="F12" s="7" t="inlineStr">
        <is>
          <t>Normal</t>
        </is>
      </c>
      <c r="G12" s="7" t="inlineStr">
        <is>
          <t>Xem Homepage khi Guest CHUA co dia chi (State A).</t>
        </is>
      </c>
      <c r="H12" s="7" t="inlineStr">
        <is>
          <t>Khong nhap dia chi.</t>
        </is>
      </c>
      <c r="I12" s="7" t="inlineStr">
        <is>
          <t>Guest vua hoan tat Onboarding, chua tao dia chi.</t>
        </is>
      </c>
      <c r="J12" s="7" t="inlineStr">
        <is>
          <t>Header hien 'Choose delivery address', uoc tinh giao hang hien Standard + slot som nhat cua store da chon (uoc tinh theo store, khong phai theo dia chi); danh muc/gia/khuyen mai hien theo dung store da chon o Onboarding (BRL-01); khong yeu cau dang nhap de duyet (BR-04).</t>
        </is>
      </c>
      <c r="K12" s="7" t="inlineStr">
        <is>
          <t>Guest duyet duoc toan bo Homepage khong bi chan boi dia chi hay dang nhap.</t>
        </is>
      </c>
      <c r="L12" s="7" t="n"/>
      <c r="M12" s="7" t="n"/>
    </row>
    <row r="13" ht="46" customHeight="1">
      <c r="A13" s="7" t="n">
        <v>11</v>
      </c>
      <c r="B13" s="7" t="inlineStr">
        <is>
          <t>SCR-HOM-01-SC2</t>
        </is>
      </c>
      <c r="C13" s="7" t="inlineStr">
        <is>
          <t>SCR-HOM-01</t>
        </is>
      </c>
      <c r="D13" s="7" t="inlineStr">
        <is>
          <t>HP - Homepage &amp; Login Gate</t>
        </is>
      </c>
      <c r="E13" s="7" t="inlineStr">
        <is>
          <t>HP-01, HP-04</t>
        </is>
      </c>
      <c r="F13" s="7" t="inlineStr">
        <is>
          <t>Normal</t>
        </is>
      </c>
      <c r="G13" s="7" t="inlineStr">
        <is>
          <t>Xem Homepage khi Guest DA co dia chi trong vung 60-Minute (State B).</t>
        </is>
      </c>
      <c r="H13" s="7" t="inlineStr">
        <is>
          <t>Dia chi da luu nam trong ban kinh 3-5km cua store.</t>
        </is>
      </c>
      <c r="I13" s="7" t="inlineStr">
        <is>
          <t>Guest da tao 1 dia chi qua SCR-HOM-02, dia chi nam trong ban kinh 60-Minute cua store hien tai.</t>
        </is>
      </c>
      <c r="J13" s="7" t="inlineStr">
        <is>
          <t>Header hien dung dia chi da luu, uoc tinh doi thanh 'Standard - hom nay HH:MM-HH:MM' kem banner '60-Minute delivery is available for this address'; Standard van la lua chon mac dinh, 60-Minute chi la de xuat (BRL-10).</t>
        </is>
      </c>
      <c r="K13" s="7" t="inlineStr">
        <is>
          <t>Banner 60-Minute chi xuat hien khi vung phu cho phep, khong tu dong chuyen sang 60-Minute.</t>
        </is>
      </c>
      <c r="L13" s="7" t="n"/>
      <c r="M13" s="7" t="n"/>
    </row>
    <row r="14" ht="46" customHeight="1">
      <c r="A14" s="7" t="n">
        <v>12</v>
      </c>
      <c r="B14" s="7" t="inlineStr">
        <is>
          <t>SCR-HOM-01-SC3</t>
        </is>
      </c>
      <c r="C14" s="7" t="inlineStr">
        <is>
          <t>SCR-HOM-01</t>
        </is>
      </c>
      <c r="D14" s="7" t="inlineStr">
        <is>
          <t>HP - Homepage &amp; Login Gate</t>
        </is>
      </c>
      <c r="E14" s="7" t="inlineStr">
        <is>
          <t>HP-01, BR-06</t>
        </is>
      </c>
      <c r="F14" s="7" t="inlineStr">
        <is>
          <t>Functional</t>
        </is>
      </c>
      <c r="G14" s="7" t="inlineStr">
        <is>
          <t>Kiem tra hien thi gia kep (dual pricing) Guest/Member tren san pham noi bat khi la Guest.</t>
        </is>
      </c>
      <c r="H14" s="7" t="inlineStr">
        <is>
          <t>Xem danh sach 'Best sellers at this store'.</t>
        </is>
      </c>
      <c r="I14" s="7" t="inlineStr">
        <is>
          <t>Dang o Homepage, trang thai Guest, co san pham co ca 2 muc gia.</t>
        </is>
      </c>
      <c r="J14" s="7" t="inlineStr">
        <is>
          <t>Voi SKU co ca 2 muc gia, ca gia Guest va gia Member deu hien thi cung luc, the hien loi ich cua viec dang nhap truoc khi dang ky (BR-06).</t>
        </is>
      </c>
      <c r="K14" s="7" t="inlineStr">
        <is>
          <t>Ca 2 muc gia hien thi dong thoi, khong bi an gia nao.</t>
        </is>
      </c>
      <c r="L14" s="7" t="n"/>
      <c r="M14" s="7" t="n"/>
    </row>
    <row r="15" ht="46" customHeight="1">
      <c r="A15" s="7" t="n">
        <v>13</v>
      </c>
      <c r="B15" s="7" t="inlineStr">
        <is>
          <t>SCR-HOM-02-SC1</t>
        </is>
      </c>
      <c r="C15" s="7" t="inlineStr">
        <is>
          <t>SCR-HOM-02</t>
        </is>
      </c>
      <c r="D15" s="7" t="inlineStr">
        <is>
          <t>HP - Homepage &amp; Login Gate</t>
        </is>
      </c>
      <c r="E15" s="7" t="inlineStr">
        <is>
          <t>HP-02, HP-03</t>
        </is>
      </c>
      <c r="F15" s="7" t="inlineStr">
        <is>
          <t>Normal</t>
        </is>
      </c>
      <c r="G15" s="7" t="inlineStr">
        <is>
          <t>Guest tao dia chi giao hang moi bang GPS pre-fill roi tu bo sung so nha/tang/toa.</t>
        </is>
      </c>
      <c r="H15" s="7" t="inlineStr">
        <is>
          <t>Cham 'Use my location', bo sung so nha/tang, luu.</t>
        </is>
      </c>
      <c r="I15" s="7" t="inlineStr">
        <is>
          <t>Guest chua co dia chi, dang o SCR-HOM-02 (form khong co truong nguoi nhan).</t>
        </is>
      </c>
      <c r="J15" s="7" t="inlineStr">
        <is>
          <t>GPS chi pre-fill goi y dia chi; khach BAT BUOC phai xem lai va bo sung chi tiet GPS khong biet duoc (so nha, tang, block) roi moi Save (HP-02, BRL-03). Form Guest KHONG co truong ten/SDT nguoi nhan.</t>
        </is>
      </c>
      <c r="K15" s="7" t="inlineStr">
        <is>
          <t>Dia chi khong duoc tu dong chap nhan tu GPS ma phai qua xac nhan cua khach.</t>
        </is>
      </c>
      <c r="L15" s="7" t="n"/>
      <c r="M15" s="7" t="n"/>
    </row>
    <row r="16" ht="46" customHeight="1">
      <c r="A16" s="7" t="n">
        <v>14</v>
      </c>
      <c r="B16" s="7" t="inlineStr">
        <is>
          <t>SCR-HOM-02-SC2</t>
        </is>
      </c>
      <c r="C16" s="7" t="inlineStr">
        <is>
          <t>SCR-HOM-02</t>
        </is>
      </c>
      <c r="D16" s="7" t="inlineStr">
        <is>
          <t>HP - Homepage &amp; Login Gate</t>
        </is>
      </c>
      <c r="E16" s="7" t="inlineStr">
        <is>
          <t>HP-03</t>
        </is>
      </c>
      <c r="F16" s="7" t="inlineStr">
        <is>
          <t>Validation</t>
        </is>
      </c>
      <c r="G16" s="7" t="inlineStr">
        <is>
          <t>Member tao dia chi: truong ten va SDT nguoi nhan la bat buoc, duoc mac dinh tu tai khoan.</t>
        </is>
      </c>
      <c r="H16" s="7" t="inlineStr">
        <is>
          <t>Xoa trong truong ten nguoi nhan, thu Save.</t>
        </is>
      </c>
      <c r="I16" s="7" t="inlineStr">
        <is>
          <t>Da dang nhap (Member), dang o SCR-HOM-02 State B.</t>
        </is>
      </c>
      <c r="J16" s="7" t="inlineStr">
        <is>
          <t>Ten va SDT nguoi nhan duoc mac dinh dien san tu tai khoan nhung co the sua; day la truong bat buoc doi voi Member (khac Guest); Save bi chan neu de trong ten hoac SDT.</t>
        </is>
      </c>
      <c r="K16" s="7" t="inlineStr">
        <is>
          <t>Validation bat buoc dung cho truong ten/SDT khi la Member; Guest khong bi yeu cau 2 truong nay.</t>
        </is>
      </c>
      <c r="L16" s="7" t="n"/>
      <c r="M16" s="7" t="n"/>
    </row>
    <row r="17" ht="46" customHeight="1">
      <c r="A17" s="7" t="n">
        <v>15</v>
      </c>
      <c r="B17" s="7" t="inlineStr">
        <is>
          <t>SCR-HOM-02-SC3</t>
        </is>
      </c>
      <c r="C17" s="7" t="inlineStr">
        <is>
          <t>SCR-HOM-02</t>
        </is>
      </c>
      <c r="D17" s="7" t="inlineStr">
        <is>
          <t>HP - Homepage &amp; Login Gate</t>
        </is>
      </c>
      <c r="E17" s="7" t="inlineStr">
        <is>
          <t>HP-04, HP-05</t>
        </is>
      </c>
      <c r="F17" s="7" t="inlineStr">
        <is>
          <t>Functional</t>
        </is>
      </c>
      <c r="G17" s="7" t="inlineStr">
        <is>
          <t>Luu dia chi xong, uoc tinh giao hang tren header duoc tinh lai ngay lap tuc.</t>
        </is>
      </c>
      <c r="H17" s="7" t="inlineStr">
        <is>
          <t>Luu 1 dia chi hop le nam ngoai moi vung phuc vu.</t>
        </is>
      </c>
      <c r="I17" s="7" t="inlineStr">
        <is>
          <t>Dang o SCR-HOM-02, nhap dia chi nam ngoai ban kinh Standard va ngoai moi khu vuc Next-day.</t>
        </is>
      </c>
      <c r="J17" s="7" t="inlineStr">
        <is>
          <t>Sau Save, header chuyen sang trang thai 'khong duoc phuc vu': khong hien ngay/gio giao, chi hien thong bao + CTA 'Change address'; duyet va Pickup van hoat dong binh thuong.</t>
        </is>
      </c>
      <c r="K17" s="7" t="inlineStr">
        <is>
          <t>He thong phai phat hien va hien dung trang thai 'not served' ngay sau khi luu dia chi (SCR-HOM-05 state D).</t>
        </is>
      </c>
      <c r="L17" s="7" t="n"/>
      <c r="M17" s="7" t="n"/>
    </row>
    <row r="18" ht="46" customHeight="1">
      <c r="A18" s="7" t="n">
        <v>16</v>
      </c>
      <c r="B18" s="7" t="inlineStr">
        <is>
          <t>SCR-HOM-03-SC1</t>
        </is>
      </c>
      <c r="C18" s="7" t="inlineStr">
        <is>
          <t>SCR-HOM-03</t>
        </is>
      </c>
      <c r="D18" s="7" t="inlineStr">
        <is>
          <t>HP - Homepage &amp; Login Gate</t>
        </is>
      </c>
      <c r="E18" s="7" t="inlineStr">
        <is>
          <t>HP-09</t>
        </is>
      </c>
      <c r="F18" s="7" t="inlineStr">
        <is>
          <t>Normal</t>
        </is>
      </c>
      <c r="G18" s="7" t="inlineStr">
        <is>
          <t>Chon 1 dia chi da luu khac ma store hien tai VAN phuc vu duoc.</t>
        </is>
      </c>
      <c r="H18" s="7" t="inlineStr">
        <is>
          <t>Chon dia chi 'Office' (van do Nam Sai Gon phuc vu).</t>
        </is>
      </c>
      <c r="I18" s="7" t="inlineStr">
        <is>
          <t>Tai khoan co &gt;=2 dia chi da luu, dia chi moi chon van thuoc vung phuc vu cua store hien tai.</t>
        </is>
      </c>
      <c r="J18" s="7" t="inlineStr">
        <is>
          <t>Store duoc GIU NGUYEN, chi dia chi va uoc tinh giao hang duoc lam moi; KHONG co dialog xac nhan nao (thay doi ap dung ngay, BRL-09).</t>
        </is>
      </c>
      <c r="K18" s="7" t="inlineStr">
        <is>
          <t>Doi dia chi cung store luon khong can xac nhan.</t>
        </is>
      </c>
      <c r="L18" s="7" t="n"/>
      <c r="M18" s="7" t="n"/>
    </row>
    <row r="19" ht="46" customHeight="1">
      <c r="A19" s="7" t="n">
        <v>17</v>
      </c>
      <c r="B19" s="7" t="inlineStr">
        <is>
          <t>SCR-HOM-03-SC2</t>
        </is>
      </c>
      <c r="C19" s="7" t="inlineStr">
        <is>
          <t>SCR-HOM-03</t>
        </is>
      </c>
      <c r="D19" s="7" t="inlineStr">
        <is>
          <t>HP - Homepage &amp; Login Gate</t>
        </is>
      </c>
      <c r="E19" s="7" t="inlineStr">
        <is>
          <t>HP-09</t>
        </is>
      </c>
      <c r="F19" s="7" t="inlineStr">
        <is>
          <t>Edge</t>
        </is>
      </c>
      <c r="G19" s="7" t="inlineStr">
        <is>
          <t>Chon 1 dia chi da luu ma store hien tai KHONG con phuc vu duoc (vi du dia chi o Ha Noi).</t>
        </is>
      </c>
      <c r="H19" s="7" t="inlineStr">
        <is>
          <t>Chon dia chi 'Parents' (Ha Noi, thuoc vung Next-day cua store khac).</t>
        </is>
      </c>
      <c r="I19" s="7" t="inlineStr">
        <is>
          <t>Tai khoan co dia chi o khu vuc khac tinh/thanh voi store hien tai.</t>
        </is>
      </c>
      <c r="J19" s="7" t="inlineStr">
        <is>
          <t>He thong TU DONG chuyen sang store phuc vu duoc dia chi do ma KHONG hoi xac nhan (neu chi 1 store phu hop, chuyen thang; neu nhieu store phu hop, chon store gan nhat); hien toast bao 'Store changed to [ten store]'; uoc tinh giao hang tinh lai theo cap store-dia chi moi.</t>
        </is>
      </c>
      <c r="K19" s="7" t="inlineStr">
        <is>
          <t>Chuyen store tu dong tren Homepage khong can Confirm/Cancel (khac voi trong Cart - SCR-CRT-06).</t>
        </is>
      </c>
      <c r="L19" s="7" t="inlineStr">
        <is>
          <t>QnA-01</t>
        </is>
      </c>
      <c r="M19" s="7" t="inlineStr">
        <is>
          <t>Neu dia chi vua chon lai khong con hop le (vi du bi xoa) sau khi doi store khac, thu tu uu tien chon dia chi thay the van la OQ-01/QnA-01, hien la de xuat tam thoi cua BA.</t>
        </is>
      </c>
    </row>
    <row r="20" ht="46" customHeight="1">
      <c r="A20" s="7" t="n">
        <v>18</v>
      </c>
      <c r="B20" s="7" t="inlineStr">
        <is>
          <t>SCR-HOM-04-SC1</t>
        </is>
      </c>
      <c r="C20" s="7" t="inlineStr">
        <is>
          <t>SCR-HOM-04</t>
        </is>
      </c>
      <c r="D20" s="7" t="inlineStr">
        <is>
          <t>HP - Homepage &amp; Login Gate</t>
        </is>
      </c>
      <c r="E20" s="7" t="inlineStr">
        <is>
          <t>HP-08</t>
        </is>
      </c>
      <c r="F20" s="7" t="inlineStr">
        <is>
          <t>Normal</t>
        </is>
      </c>
      <c r="G20" s="7" t="inlineStr">
        <is>
          <t>Doi store tu header Homepage, dia chi hien tai van con trong vung phuc vu cua store moi.</t>
        </is>
      </c>
      <c r="H20" s="7" t="inlineStr">
        <is>
          <t>Chon 'LOTTE Mart Tan Binh' trong khi dia chi van trong Standard radius cua store moi.</t>
        </is>
      </c>
      <c r="I20" s="7" t="inlineStr">
        <is>
          <t>Dang co dia chi 'Standard only' phu hop ca 2 store.</t>
        </is>
      </c>
      <c r="J20" s="7" t="inlineStr">
        <is>
          <t>Store doi ngay lap tuc, KHONG co dialog xac nhan (khac han vi tri trong Cart); danh muc/gia/ton kho re-render theo store moi.</t>
        </is>
      </c>
      <c r="K20" s="7" t="inlineStr">
        <is>
          <t>Doi store tren Homepage luon ap dung ngay khong can Confirm (BRL-08).</t>
        </is>
      </c>
      <c r="L20" s="7" t="n"/>
      <c r="M20" s="7" t="n"/>
    </row>
    <row r="21" ht="46" customHeight="1">
      <c r="A21" s="7" t="n">
        <v>19</v>
      </c>
      <c r="B21" s="7" t="inlineStr">
        <is>
          <t>SCR-HOM-04-SC2</t>
        </is>
      </c>
      <c r="C21" s="7" t="inlineStr">
        <is>
          <t>SCR-HOM-04</t>
        </is>
      </c>
      <c r="D21" s="7" t="inlineStr">
        <is>
          <t>HP - Homepage &amp; Login Gate</t>
        </is>
      </c>
      <c r="E21" s="7" t="inlineStr">
        <is>
          <t>HP-08</t>
        </is>
      </c>
      <c r="F21" s="7" t="inlineStr">
        <is>
          <t>Edge</t>
        </is>
      </c>
      <c r="G21" s="7" t="inlineStr">
        <is>
          <t>Doi store tu header Homepage khien dich vu bi rot hang (vi du mat 60-Minute, chi con Standard).</t>
        </is>
      </c>
      <c r="H21" s="7" t="inlineStr">
        <is>
          <t>Chon store moi ma dia chi hien tai chi con nam trong Standard radius (mat 60-Minute).</t>
        </is>
      </c>
      <c r="I21" s="7" t="inlineStr">
        <is>
          <t>Dia chi hien tai dang o vung 60-Minute cua store cu.</t>
        </is>
      </c>
      <c r="J21" s="7" t="inlineStr">
        <is>
          <t>He thong tu dong fallback dich vu (rot tu 60-Minute+Standard xuong chi con Standard) VA hien thong bao ro rang cho khach biet dich vu nao bi mat/duoc them (BRL-08) - khong duoc am tham doi.</t>
        </is>
      </c>
      <c r="K21" s="7" t="inlineStr">
        <is>
          <t>Thong bao fallback dich vu la bat buoc, khong duoc de khach tu phat hien.</t>
        </is>
      </c>
      <c r="L21" s="7" t="inlineStr">
        <is>
          <t>QnA-01</t>
        </is>
      </c>
      <c r="M21" s="7" t="n"/>
    </row>
    <row r="22" ht="46" customHeight="1">
      <c r="A22" s="7" t="n">
        <v>20</v>
      </c>
      <c r="B22" s="7" t="inlineStr">
        <is>
          <t>SCR-HOM-04-SC3</t>
        </is>
      </c>
      <c r="C22" s="7" t="inlineStr">
        <is>
          <t>SCR-HOM-04</t>
        </is>
      </c>
      <c r="D22" s="7" t="inlineStr">
        <is>
          <t>HP - Homepage &amp; Login Gate</t>
        </is>
      </c>
      <c r="E22" s="7" t="inlineStr">
        <is>
          <t>HP-08</t>
        </is>
      </c>
      <c r="F22" s="7" t="inlineStr">
        <is>
          <t>Edge</t>
        </is>
      </c>
      <c r="G22" s="7" t="inlineStr">
        <is>
          <t>Store khong the giao den dia chi hien tai van chon duoc de duyet/Pickup.</t>
        </is>
      </c>
      <c r="H22" s="7" t="inlineStr">
        <is>
          <t>Chon 'LOTTE Mart Long Bien' trong khi dia chi la o TP.HCM.</t>
        </is>
      </c>
      <c r="I22" s="7" t="inlineStr">
        <is>
          <t>Dia chi hien tai (TP.HCM) nam ngoai vung phuc vu cua store Ha Noi.</t>
        </is>
      </c>
      <c r="J22" s="7" t="inlineStr">
        <is>
          <t>Store van doi duoc (khong bi chan chon); chi rieng Delivery cho dia chi hien tai chuyen sang trang thai 'not served', con duyet va Pickup van hop le binh thuong tai store moi.</t>
        </is>
      </c>
      <c r="K22" s="7" t="inlineStr">
        <is>
          <t>Store khong phuc vu duoc van la 1 lua chon hop le trong danh sach - chi anh huong Delivery.</t>
        </is>
      </c>
      <c r="L22" s="7" t="n"/>
      <c r="M22" s="7" t="n"/>
    </row>
    <row r="23" ht="46" customHeight="1">
      <c r="A23" s="7" t="n">
        <v>21</v>
      </c>
      <c r="B23" s="7" t="inlineStr">
        <is>
          <t>SCR-HOM-05-SC1</t>
        </is>
      </c>
      <c r="C23" s="7" t="inlineStr">
        <is>
          <t>SCR-HOM-05</t>
        </is>
      </c>
      <c r="D23" s="7" t="inlineStr">
        <is>
          <t>HP - Homepage &amp; Login Gate</t>
        </is>
      </c>
      <c r="E23" s="7" t="inlineStr">
        <is>
          <t>HP-04</t>
        </is>
      </c>
      <c r="F23" s="7" t="inlineStr">
        <is>
          <t>Boundary</t>
        </is>
      </c>
      <c r="G23" s="7" t="inlineStr">
        <is>
          <t>Kiem tra du 4 trang thai loai tru lan nhau cua uoc tinh giao hang theo khoang cach dia chi-store.</t>
        </is>
      </c>
      <c r="H23" s="7" t="inlineStr">
        <is>
          <t>4 dia chi mau: trong 3-5km / 10-15km / thuoc Next-day / ngoai moi vung.</t>
        </is>
      </c>
      <c r="I23" s="7" t="inlineStr">
        <is>
          <t>4 dia chi test da duoc chuan bi san khop dung 4 nguong khoang cach BRL-10/11/12.</t>
        </is>
      </c>
      <c r="J23" s="7" t="inlineStr">
        <is>
          <t>Ban kinh 60-Minute (3-5km): hien 60-Minute+Standard. Trong Standard (10-15km): chi Standard. Trong Next-day: chi ngay giao, khong co khung gio. Ngoai moi vung: khong ngay/gio, chi thong bao + CTA doi dia chi.</t>
        </is>
      </c>
      <c r="K23" s="7" t="inlineStr">
        <is>
          <t>Dung 4 trang thai, khong chong lan nhau, dung nguong cau hinh cua tung store.</t>
        </is>
      </c>
      <c r="L23" s="7" t="n"/>
      <c r="M23" s="7" t="n"/>
    </row>
    <row r="24" ht="46" customHeight="1">
      <c r="A24" s="7" t="n">
        <v>22</v>
      </c>
      <c r="B24" s="7" t="inlineStr">
        <is>
          <t>SCR-HOM-06-SC1</t>
        </is>
      </c>
      <c r="C24" s="7" t="inlineStr">
        <is>
          <t>SCR-HOM-06</t>
        </is>
      </c>
      <c r="D24" s="7" t="inlineStr">
        <is>
          <t>HP - Homepage &amp; Login Gate</t>
        </is>
      </c>
      <c r="E24" s="7" t="inlineStr">
        <is>
          <t>HP-01, BR-06</t>
        </is>
      </c>
      <c r="F24" s="7" t="inlineStr">
        <is>
          <t>Normal</t>
        </is>
      </c>
      <c r="G24" s="7" t="inlineStr">
        <is>
          <t>Dang nhap thanh cong, gia Member tro thanh gia chinh (thay vi gia Guest).</t>
        </is>
      </c>
      <c r="H24" s="7" t="inlineStr">
        <is>
          <t>Dang nhap 1 tai khoan Member co du lieu tier/diem/coupon.</t>
        </is>
      </c>
      <c r="I24" s="7" t="inlineStr">
        <is>
          <t>Vua dang nhap thanh cong.</t>
        </is>
      </c>
      <c r="J24" s="7" t="inlineStr">
        <is>
          <t>Strip thong tin Member (ten, tier, diem, coupon) xuat hien; gia Member duoc hien lam gia chinh, gia Guest bi lam mo/thu nho (nguoc lai voi trang thai Guest).</t>
        </is>
      </c>
      <c r="K24" s="7" t="inlineStr">
        <is>
          <t>Chuyen doi Guest&lt;-&gt;Member phai doi dung thu tu uu tien gia hien thi.</t>
        </is>
      </c>
      <c r="L24" s="7" t="n"/>
      <c r="M24" s="7" t="n"/>
    </row>
    <row r="25" ht="46" customHeight="1">
      <c r="A25" s="7" t="n">
        <v>23</v>
      </c>
      <c r="B25" s="7" t="inlineStr">
        <is>
          <t>SCR-HOM-06-SC2</t>
        </is>
      </c>
      <c r="C25" s="7" t="inlineStr">
        <is>
          <t>SCR-HOM-06</t>
        </is>
      </c>
      <c r="D25" s="7" t="inlineStr">
        <is>
          <t>HP - Homepage &amp; Login Gate</t>
        </is>
      </c>
      <c r="E25" s="7" t="inlineStr">
        <is>
          <t>HP-10, NFR-03</t>
        </is>
      </c>
      <c r="F25" s="7" t="inlineStr">
        <is>
          <t>Normal</t>
        </is>
      </c>
      <c r="G25" s="7" t="inlineStr">
        <is>
          <t>Dang xuat: store duoc giu lai, dia chi bi xoa.</t>
        </is>
      </c>
      <c r="H25" s="7" t="inlineStr">
        <is>
          <t>Bam Logout, xac nhan trong dialog.</t>
        </is>
      </c>
      <c r="I25" s="7" t="inlineStr">
        <is>
          <t>Dang dang nhap, co dia chi da luu va da chon.</t>
        </is>
      </c>
      <c r="J25" s="7" t="inlineStr">
        <is>
          <t>Sau khi xac nhan logout: quay ve SCR-HOM-01 State A - CUNG STORE duoc giu nguyen (khong phai du lieu ca nhan, luon can de duyet - NFR-03), dia chi bi XOA khoi man hinh (de khong lo cho nguoi dung ke tiep tren thiet bi dung chung); Cart icon van hien thi.</t>
        </is>
      </c>
      <c r="K25" s="7" t="inlineStr">
        <is>
          <t>Logout phai giu store va xoa dia chi - khong duoc lam nguoc lai.</t>
        </is>
      </c>
      <c r="L25" s="7" t="inlineStr">
        <is>
          <t>QnA-26</t>
        </is>
      </c>
      <c r="M25" s="7" t="inlineStr">
        <is>
          <t>Dia chi nao se active khi dang nhap lai (cung tai khoan hoac tai khoan khac) van con la OQ-26/QnA-26 - hien tai de xuat tam thoi la khong active dia chi nao, de khach tu chon.</t>
        </is>
      </c>
    </row>
    <row r="26" ht="46" customHeight="1">
      <c r="A26" s="7" t="n">
        <v>24</v>
      </c>
      <c r="B26" s="7" t="inlineStr">
        <is>
          <t>SCR-AUT-01-SC1</t>
        </is>
      </c>
      <c r="C26" s="7" t="inlineStr">
        <is>
          <t>SCR-AUT-01</t>
        </is>
      </c>
      <c r="D26" s="7" t="inlineStr">
        <is>
          <t>HP - Homepage &amp; Login Gate</t>
        </is>
      </c>
      <c r="E26" s="7" t="inlineStr">
        <is>
          <t>HP-06</t>
        </is>
      </c>
      <c r="F26" s="7" t="inlineStr">
        <is>
          <t>Normal</t>
        </is>
      </c>
      <c r="G26" s="7" t="inlineStr">
        <is>
          <t>Guest bam 'Add to Cart', bi chan boi login gate; dang nhap thanh cong thi san pham duoc them tu dong.</t>
        </is>
      </c>
      <c r="H26" s="7" t="inlineStr">
        <is>
          <t>Bam Add to Cart tren 1 san pham, dang nhap thanh cong.</t>
        </is>
      </c>
      <c r="I26" s="7" t="inlineStr">
        <is>
          <t>Guest chua dang nhap, dang xem 1 san pham co the them vao gio.</t>
        </is>
      </c>
      <c r="J26" s="7" t="inlineStr">
        <is>
          <t>He thong chan thao tac Add to Cart TRUOC khi them, mo bottom sheet dang nhap/dang ky; sau xac thuc thanh cong, san pham duoc TU DONG them vao gio (khong can bam lai Add to Cart), hien toast xac nhan, dia chi Guest local (neu co) duoc dong bo len tai khoan.</t>
        </is>
      </c>
      <c r="K26" s="7" t="inlineStr">
        <is>
          <t>Resume dung san pham da dinh them, khong yeu cau lap lai thao tac (BRL-07).</t>
        </is>
      </c>
      <c r="L26" s="7" t="n"/>
      <c r="M26" s="7" t="n"/>
    </row>
    <row r="27" ht="46" customHeight="1">
      <c r="A27" s="7" t="n">
        <v>25</v>
      </c>
      <c r="B27" s="7" t="inlineStr">
        <is>
          <t>SCR-AUT-01-SC2</t>
        </is>
      </c>
      <c r="C27" s="7" t="inlineStr">
        <is>
          <t>SCR-AUT-01</t>
        </is>
      </c>
      <c r="D27" s="7" t="inlineStr">
        <is>
          <t>HP - Homepage &amp; Login Gate</t>
        </is>
      </c>
      <c r="E27" s="7" t="inlineStr">
        <is>
          <t>HP-07</t>
        </is>
      </c>
      <c r="F27" s="7" t="inlineStr">
        <is>
          <t>Normal</t>
        </is>
      </c>
      <c r="G27" s="7" t="inlineStr">
        <is>
          <t>Guest bam icon Cart, bi chan boi login gate; dang nhap thanh cong thi Cart mo truc tiep.</t>
        </is>
      </c>
      <c r="H27" s="7" t="inlineStr">
        <is>
          <t>Bam Cart icon, dang nhap thanh cong.</t>
        </is>
      </c>
      <c r="I27" s="7" t="inlineStr">
        <is>
          <t>Guest chua dang nhap.</t>
        </is>
      </c>
      <c r="J27" s="7" t="inlineStr">
        <is>
          <t>He thong chan va mo bottom sheet dang nhap/dang ky voi noi dung rieng cho ngu canh mo Cart; sau xac thuc thanh cong, Cart MO TRUC TIEP (khong phai them san pham); dia chi, dich vu, khung gio da chon o Homepage duoc mang theo vao Cart.</t>
        </is>
      </c>
      <c r="K27" s="7" t="inlineStr">
        <is>
          <t>Cart icon KHONG BAO GIO bi an/disable voi Guest (BRL-06); tap vao luon mo gate thay vi loi.</t>
        </is>
      </c>
      <c r="L27" s="7" t="n"/>
      <c r="M27" s="7" t="n"/>
    </row>
    <row r="28" ht="46" customHeight="1">
      <c r="A28" s="7" t="n">
        <v>26</v>
      </c>
      <c r="B28" s="7" t="inlineStr">
        <is>
          <t>SCR-AUT-01-SC3</t>
        </is>
      </c>
      <c r="C28" s="7" t="inlineStr">
        <is>
          <t>SCR-AUT-01</t>
        </is>
      </c>
      <c r="D28" s="7" t="inlineStr">
        <is>
          <t>HP - Homepage &amp; Login Gate</t>
        </is>
      </c>
      <c r="E28" s="7" t="inlineStr">
        <is>
          <t>HP-06, HP-07</t>
        </is>
      </c>
      <c r="F28" s="7" t="inlineStr">
        <is>
          <t>Negative</t>
        </is>
      </c>
      <c r="G28" s="7" t="inlineStr">
        <is>
          <t>Guest huy (Cancel) bottom sheet dang nhap - khong mat ngu canh dang duyet.</t>
        </is>
      </c>
      <c r="H28" s="7" t="inlineStr">
        <is>
          <t>Bam Cancel/dong sheet dang nhap tu ca 2 loi vao (Add to Cart va Cart icon).</t>
        </is>
      </c>
      <c r="I28" s="7" t="inlineStr">
        <is>
          <t>Login gate dang mo tu 1 trong 2 trigger.</t>
        </is>
      </c>
      <c r="J28" s="7" t="inlineStr">
        <is>
          <t>Quay lai trang truoc do voi ngu canh duyet nguyen ven; san pham KHONG duoc them (truong hop Add to Cart), Cart KHONG mo (truong hop Cart icon); khong mat du lieu dang xem.</t>
        </is>
      </c>
      <c r="K28" s="7" t="inlineStr">
        <is>
          <t>Huy dang nhap khong duoc pha huy (non-destructive) - BRL-08.</t>
        </is>
      </c>
      <c r="L28" s="7" t="n"/>
      <c r="M28" s="7" t="n"/>
    </row>
    <row r="29" ht="46" customHeight="1">
      <c r="A29" s="7" t="n">
        <v>27</v>
      </c>
      <c r="B29" s="7" t="inlineStr">
        <is>
          <t>SCR-AUT-02-SC1</t>
        </is>
      </c>
      <c r="C29" s="7" t="inlineStr">
        <is>
          <t>SCR-AUT-02</t>
        </is>
      </c>
      <c r="D29" s="7" t="inlineStr">
        <is>
          <t>SU - Signup</t>
        </is>
      </c>
      <c r="E29" s="7" t="inlineStr">
        <is>
          <t>SU-01, SU-02, SU-03</t>
        </is>
      </c>
      <c r="F29" s="7" t="inlineStr">
        <is>
          <t>Normal</t>
        </is>
      </c>
      <c r="G29" s="7" t="inlineStr">
        <is>
          <t>Nhap SDT, chon kenh OTP Zalo (mac dinh), nhap dung OTP.</t>
        </is>
      </c>
      <c r="H29" s="7" t="inlineStr">
        <is>
          <t>SDT hop le, giu kenh Zalo mac dinh, ma OTP dung.</t>
        </is>
      </c>
      <c r="I29" s="7" t="inlineStr">
        <is>
          <t>Chon 'New customer - Register' tu login gate.</t>
        </is>
      </c>
      <c r="J29" s="7" t="inlineStr">
        <is>
          <t>Zalo duoc danh dau 'Recommended' va chon san (BRL-13); sau khi gui OTP, nut Resend bi disable trong thoi gian dem nguoc (BRL-15); nhap dung OTP chuyen sang SCR-AUT-03 (tao PIN).</t>
        </is>
      </c>
      <c r="K29" s="7" t="inlineStr">
        <is>
          <t>Kenh mac dinh la Zalo; luong thanh cong dan den man tao PIN.</t>
        </is>
      </c>
      <c r="L29" s="7" t="n"/>
      <c r="M29" s="7" t="n"/>
    </row>
    <row r="30" ht="46" customHeight="1">
      <c r="A30" s="7" t="n">
        <v>28</v>
      </c>
      <c r="B30" s="7" t="inlineStr">
        <is>
          <t>SCR-AUT-02-SC2</t>
        </is>
      </c>
      <c r="C30" s="7" t="inlineStr">
        <is>
          <t>SCR-AUT-02</t>
        </is>
      </c>
      <c r="D30" s="7" t="inlineStr">
        <is>
          <t>SU - Signup</t>
        </is>
      </c>
      <c r="E30" s="7" t="inlineStr">
        <is>
          <t>SU-03</t>
        </is>
      </c>
      <c r="F30" s="7" t="inlineStr">
        <is>
          <t>Boundary</t>
        </is>
      </c>
      <c r="G30" s="7" t="inlineStr">
        <is>
          <t>Het thoi gian dem nguoc Resend, chuyen kenh thu cong sang SMS.</t>
        </is>
      </c>
      <c r="H30" s="7" t="inlineStr">
        <is>
          <t>Cho het dem nguoc Resend, bam 'doi kenh' chon SMS.</t>
        </is>
      </c>
      <c r="I30" s="7" t="inlineStr">
        <is>
          <t>Da gui OTP qua Zalo, dang trong man nhap OTP.</t>
        </is>
      </c>
      <c r="J30" s="7" t="inlineStr">
        <is>
          <t>Nut Resend chi active lai SAU khi het dem nguoc; he thong KHONG tu dong fallback sang SMS - khach phai chu dong bam Resend hoac doi kenh (BRL-14); sau khi doi kenh, OTP moi duoc gui qua SMS.</t>
        </is>
      </c>
      <c r="K30" s="7" t="inlineStr">
        <is>
          <t>Khong co fallback tu dong tu Zalo sang SMS trong bat ky truong hop nao.</t>
        </is>
      </c>
      <c r="L30" s="7" t="inlineStr">
        <is>
          <t>QnA-08</t>
        </is>
      </c>
      <c r="M30" s="7" t="inlineStr">
        <is>
          <t>Xac nhan ky thuat ve hanh vi that su khi Zalo that bai gui tin van dang mo - OQ-08/QnA-08.</t>
        </is>
      </c>
    </row>
    <row r="31" ht="46" customHeight="1">
      <c r="A31" s="7" t="n">
        <v>29</v>
      </c>
      <c r="B31" s="7" t="inlineStr">
        <is>
          <t>SCR-AUT-02-SC3</t>
        </is>
      </c>
      <c r="C31" s="7" t="inlineStr">
        <is>
          <t>SCR-AUT-02</t>
        </is>
      </c>
      <c r="D31" s="7" t="inlineStr">
        <is>
          <t>SU - Signup</t>
        </is>
      </c>
      <c r="E31" s="7" t="inlineStr">
        <is>
          <t>SU-09</t>
        </is>
      </c>
      <c r="F31" s="7" t="inlineStr">
        <is>
          <t>Negative</t>
        </is>
      </c>
      <c r="G31" s="7" t="inlineStr">
        <is>
          <t>Dang ky bang SDT da ton tai tren he thong.</t>
        </is>
      </c>
      <c r="H31" s="7" t="inlineStr">
        <is>
          <t>Nhap 1 SDT da co tai khoan Member.</t>
        </is>
      </c>
      <c r="I31" s="7" t="inlineStr">
        <is>
          <t>Dang o buoc nhap SDT cua Signup.</t>
        </is>
      </c>
      <c r="J31" s="7" t="inlineStr">
        <is>
          <t>Hien thong bao loi (so da duoc dang ky), SDT VAN duoc giu nguyen tren o nhap (khong bi xoa trang), CTA chinh doi thanh 'Sign in' de khach khong phai go lai so.</t>
        </is>
      </c>
      <c r="K31" s="7" t="inlineStr">
        <is>
          <t>SDT khong bi mat, CTA chuyen huong dung sang dang nhap.</t>
        </is>
      </c>
      <c r="L31" s="7" t="n"/>
      <c r="M31" s="7" t="n"/>
    </row>
    <row r="32" ht="46" customHeight="1">
      <c r="A32" s="7" t="n">
        <v>30</v>
      </c>
      <c r="B32" s="7" t="inlineStr">
        <is>
          <t>SCR-AUT-03-SC1</t>
        </is>
      </c>
      <c r="C32" s="7" t="inlineStr">
        <is>
          <t>SCR-AUT-03</t>
        </is>
      </c>
      <c r="D32" s="7" t="inlineStr">
        <is>
          <t>SU - Signup</t>
        </is>
      </c>
      <c r="E32" s="7" t="inlineStr">
        <is>
          <t>SU-04</t>
        </is>
      </c>
      <c r="F32" s="7" t="inlineStr">
        <is>
          <t>Normal</t>
        </is>
      </c>
      <c r="G32" s="7" t="inlineStr">
        <is>
          <t>Tao PIN 6 so va xac nhan lai khop.</t>
        </is>
      </c>
      <c r="H32" s="7" t="inlineStr">
        <is>
          <t>Nhap PIN '123456' 2 lan giong nhau.</t>
        </is>
      </c>
      <c r="I32" s="7" t="inlineStr">
        <is>
          <t>Vua xac thuc OTP thanh cong.</t>
        </is>
      </c>
      <c r="J32" s="7" t="inlineStr">
        <is>
          <t>Ban phim so rieng cua app (khong dung ban phim he thong) duoc dung de nhap; sau khi nhap khop 2 lan, chuyen sang SCR-AUT-04 (ho so).</t>
        </is>
      </c>
      <c r="K32" s="7" t="inlineStr">
        <is>
          <t>PIN chi duoc tao sau khi OTP da xac thuc, khong bao gio tao PIN tren so chua xac minh.</t>
        </is>
      </c>
      <c r="L32" s="7" t="n"/>
      <c r="M32" s="7" t="n"/>
    </row>
    <row r="33" ht="46" customHeight="1">
      <c r="A33" s="7" t="n">
        <v>31</v>
      </c>
      <c r="B33" s="7" t="inlineStr">
        <is>
          <t>SCR-AUT-03-SC2</t>
        </is>
      </c>
      <c r="C33" s="7" t="inlineStr">
        <is>
          <t>SCR-AUT-03</t>
        </is>
      </c>
      <c r="D33" s="7" t="inlineStr">
        <is>
          <t>SU - Signup</t>
        </is>
      </c>
      <c r="E33" s="7" t="inlineStr">
        <is>
          <t>SU-04</t>
        </is>
      </c>
      <c r="F33" s="7" t="inlineStr">
        <is>
          <t>Negative</t>
        </is>
      </c>
      <c r="G33" s="7" t="inlineStr">
        <is>
          <t>Nhap PIN xac nhan KHONG khop PIN da tao lan dau.</t>
        </is>
      </c>
      <c r="H33" s="7" t="inlineStr">
        <is>
          <t>Lan 1: '123456'. Lan 2 (xac nhan): '654321'.</t>
        </is>
      </c>
      <c r="I33" s="7" t="inlineStr">
        <is>
          <t>Dang o buoc nhap lai PIN de xac nhan.</t>
        </is>
      </c>
      <c r="J33" s="7" t="inlineStr">
        <is>
          <t>He thong bao mismatch va CHI xoa o xac nhan (khong xoa o PIN da nhap lan dau) de khach khong phai go lai tu dau.</t>
        </is>
      </c>
      <c r="K33" s="7" t="inlineStr">
        <is>
          <t>Chi reset o xac nhan khi khong khop, khong reset ca 2 o.</t>
        </is>
      </c>
      <c r="L33" s="7" t="n"/>
      <c r="M33" s="7" t="inlineStr">
        <is>
          <t>QnA-03: so lan thu sai PIN cho phep truoc khi khoa/restart buoc van dang cho Security/Dev xac nhan (OQ-03).</t>
        </is>
      </c>
    </row>
    <row r="34" ht="46" customHeight="1">
      <c r="A34" s="7" t="n">
        <v>32</v>
      </c>
      <c r="B34" s="7" t="inlineStr">
        <is>
          <t>SCR-AUT-04-SC1</t>
        </is>
      </c>
      <c r="C34" s="7" t="inlineStr">
        <is>
          <t>SCR-AUT-04</t>
        </is>
      </c>
      <c r="D34" s="7" t="inlineStr">
        <is>
          <t>SU - Signup</t>
        </is>
      </c>
      <c r="E34" s="7" t="inlineStr">
        <is>
          <t>SU-05</t>
        </is>
      </c>
      <c r="F34" s="7" t="inlineStr">
        <is>
          <t>Validation</t>
        </is>
      </c>
      <c r="G34" s="7" t="inlineStr">
        <is>
          <t>Dien ho so bat buoc, checkbox Dieu khoan la dieu kien chan Submit.</t>
        </is>
      </c>
      <c r="H34" s="7" t="inlineStr">
        <is>
          <t>Dien du ten/gioi tinh/ngay sinh/quoc tich/store, ma KHONG tick Dieu khoan su dung.</t>
        </is>
      </c>
      <c r="I34" s="7" t="inlineStr">
        <is>
          <t>Vua tao PIN thanh cong o SCR-AUT-03.</t>
        </is>
      </c>
      <c r="J34" s="7" t="inlineStr">
        <is>
          <t>Nut Tao tai khoan bi CHAN (disabled hoac bao loi) khi checkbox Dieu khoan &amp; Chinh sach chua duoc tick; checkbox Marketing la tuy chon, mac dinh KHONG tick va khong chan submit.</t>
        </is>
      </c>
      <c r="K34" s="7" t="inlineStr">
        <is>
          <t>Dieu khoan la dieu kien bat buoc duy nhat trong so cac checkbox.</t>
        </is>
      </c>
      <c r="L34" s="7" t="n"/>
      <c r="M34" s="7" t="n"/>
    </row>
    <row r="35" ht="46" customHeight="1">
      <c r="A35" s="7" t="n">
        <v>33</v>
      </c>
      <c r="B35" s="7" t="inlineStr">
        <is>
          <t>SCR-AUT-04-SC2</t>
        </is>
      </c>
      <c r="C35" s="7" t="inlineStr">
        <is>
          <t>SCR-AUT-04</t>
        </is>
      </c>
      <c r="D35" s="7" t="inlineStr">
        <is>
          <t>SU - Signup</t>
        </is>
      </c>
      <c r="E35" s="7" t="inlineStr">
        <is>
          <t>SU-05</t>
        </is>
      </c>
      <c r="F35" s="7" t="inlineStr">
        <is>
          <t>Functional</t>
        </is>
      </c>
      <c r="G35" s="7" t="inlineStr">
        <is>
          <t>Kiem tra gioi tinh mac dinh chon san 'Chi' va store dang ky duoc pre-fill tu Onboarding.</t>
        </is>
      </c>
      <c r="H35" s="7" t="inlineStr">
        <is>
          <t>Khong doi gia tri mac dinh, quan sat 2 truong nay.</t>
        </is>
      </c>
      <c r="I35" s="7" t="inlineStr">
        <is>
          <t>Da chon store 'LOTTE Mart Nam Sai Gon' o Onboarding, dang o buoc ho so.</t>
        </is>
      </c>
      <c r="J35" s="7" t="inlineStr">
        <is>
          <t>Gioi tinh mac dinh la 'Chi' (co the doi 1 cham - QnA-02 da chot giu mac dinh nay); store dang ky duoc dien san = store da chon o Onboarding nhung van sua duoc.</t>
        </is>
      </c>
      <c r="K35" s="7" t="inlineStr">
        <is>
          <t>Ca 2 gia tri mac dinh phai dung nhu SRS da chot (QnA-02).</t>
        </is>
      </c>
      <c r="L35" s="7" t="inlineStr">
        <is>
          <t>QnA-02</t>
        </is>
      </c>
      <c r="M35" s="7" t="n"/>
    </row>
    <row r="36" ht="46" customHeight="1">
      <c r="A36" s="7" t="n">
        <v>34</v>
      </c>
      <c r="B36" s="7" t="inlineStr">
        <is>
          <t>SCR-AUT-04-SC3</t>
        </is>
      </c>
      <c r="C36" s="7" t="inlineStr">
        <is>
          <t>SCR-AUT-04</t>
        </is>
      </c>
      <c r="D36" s="7" t="inlineStr">
        <is>
          <t>SU - Signup</t>
        </is>
      </c>
      <c r="E36" s="7" t="inlineStr">
        <is>
          <t>SU-06, SU-08</t>
        </is>
      </c>
      <c r="F36" s="7" t="inlineStr">
        <is>
          <t>Normal</t>
        </is>
      </c>
      <c r="G36" s="7" t="inlineStr">
        <is>
          <t>Submit tao tai khoan thanh cong, tu dong dang nhap va resume thao tac Add to Cart ban dau.</t>
        </is>
      </c>
      <c r="H36" s="7" t="inlineStr">
        <is>
          <t>Dien du ho so hop le, tick Dieu khoan, bam Tao tai khoan.</t>
        </is>
      </c>
      <c r="I36" s="7" t="inlineStr">
        <is>
          <t>Luong Signup nay duoc kich hoat tu 1 thao tac 'Add to Cart' bi chan boi login gate.</t>
        </is>
      </c>
      <c r="J36" s="7" t="inlineStr">
        <is>
          <t>Tai khoan duoc tao va TU DONG dang nhap (khong co buoc dang nhap rieng); san pham da dinh them truoc do duoc them tu dong vao gio; dia chi Guest cuc bo (neu co) duoc dong bo len tai khoan moi.</t>
        </is>
      </c>
      <c r="K36" s="7" t="inlineStr">
        <is>
          <t>Toan bo chuoi resume (tao tai khoan -&gt; dang nhap -&gt; them san pham -&gt; dong bo dia chi) phai xay ra khong can thao tac them tu khach.</t>
        </is>
      </c>
      <c r="L36" s="7" t="n"/>
      <c r="M36" s="7" t="n"/>
    </row>
    <row r="37" ht="46" customHeight="1">
      <c r="A37" s="7" t="n">
        <v>35</v>
      </c>
      <c r="B37" s="7" t="inlineStr">
        <is>
          <t>SCR-AUT-04-SC4</t>
        </is>
      </c>
      <c r="C37" s="7" t="inlineStr">
        <is>
          <t>SCR-AUT-04</t>
        </is>
      </c>
      <c r="D37" s="7" t="inlineStr">
        <is>
          <t>SU - Signup</t>
        </is>
      </c>
      <c r="E37" s="7" t="inlineStr">
        <is>
          <t>SU-07</t>
        </is>
      </c>
      <c r="F37" s="7" t="inlineStr">
        <is>
          <t>Functional</t>
        </is>
      </c>
      <c r="G37" s="7" t="inlineStr">
        <is>
          <t>Loi moi bat Face ID/van tay la tuy chon, tu choi khong anh huong PIN.</t>
        </is>
      </c>
      <c r="H37" s="7" t="inlineStr">
        <is>
          <t>Bam 'Bo qua'/'Khong, cam on' o loi moi sinh trac hoc.</t>
        </is>
      </c>
      <c r="I37" s="7" t="inlineStr">
        <is>
          <t>Vua tao tai khoan thanh cong.</t>
        </is>
      </c>
      <c r="J37" s="7" t="inlineStr">
        <is>
          <t>Loi moi chi xuat hien SAU khi tai khoan da duoc tao (khong truoc); tu choi khong mat gi ca - PIN van la phuong thuc chinh; moi thiet bi chi giu 1 bio ticket dang hoat dong (NFR-02).</t>
        </is>
      </c>
      <c r="K37" s="7" t="inlineStr">
        <is>
          <t>Tu choi bat Face ID/van tay khong lam gian doan luong resume thao tac.</t>
        </is>
      </c>
      <c r="L37" s="7" t="n"/>
      <c r="M37" s="7" t="n"/>
    </row>
    <row r="38" ht="46" customHeight="1">
      <c r="A38" s="7" t="n">
        <v>36</v>
      </c>
      <c r="B38" s="7" t="inlineStr">
        <is>
          <t>SCR-AUT-05-SC1</t>
        </is>
      </c>
      <c r="C38" s="7" t="inlineStr">
        <is>
          <t>SCR-AUT-05</t>
        </is>
      </c>
      <c r="D38" s="7" t="inlineStr">
        <is>
          <t>LI - Login</t>
        </is>
      </c>
      <c r="E38" s="7" t="inlineStr">
        <is>
          <t>LI-02</t>
        </is>
      </c>
      <c r="F38" s="7" t="inlineStr">
        <is>
          <t>Normal</t>
        </is>
      </c>
      <c r="G38" s="7" t="inlineStr">
        <is>
          <t>Dang nhap bang Face ID/van tay khi thiet bi da bat sinh trac hoc.</t>
        </is>
      </c>
      <c r="H38" s="7" t="inlineStr">
        <is>
          <t>Xac thuc Face ID/van tay thanh cong.</t>
        </is>
      </c>
      <c r="I38" s="7" t="inlineStr">
        <is>
          <t>Tai khoan da bat sinh trac hoc tren thiet bi nay, dang o man dang nhap.</t>
        </is>
      </c>
      <c r="J38" s="7" t="inlineStr">
        <is>
          <t>He thong tu dong dung Face ID/van tay TRUOC (khong yeu cau nhap SDT/PIN); thanh cong thi dang nhap ngay va resume thao tac ban dau (LI-03).</t>
        </is>
      </c>
      <c r="K38" s="7" t="inlineStr">
        <is>
          <t>Sinh trac hoc la uu tien cao nhat trong thu tu xac thuc (LI-02).</t>
        </is>
      </c>
      <c r="L38" s="7" t="n"/>
      <c r="M38" s="7" t="n"/>
    </row>
    <row r="39" ht="46" customHeight="1">
      <c r="A39" s="7" t="n">
        <v>37</v>
      </c>
      <c r="B39" s="7" t="inlineStr">
        <is>
          <t>SCR-AUT-05-SC2</t>
        </is>
      </c>
      <c r="C39" s="7" t="inlineStr">
        <is>
          <t>SCR-AUT-05</t>
        </is>
      </c>
      <c r="D39" s="7" t="inlineStr">
        <is>
          <t>LI - Login</t>
        </is>
      </c>
      <c r="E39" s="7" t="inlineStr">
        <is>
          <t>LI-01, LI-02</t>
        </is>
      </c>
      <c r="F39" s="7" t="inlineStr">
        <is>
          <t>Normal</t>
        </is>
      </c>
      <c r="G39" s="7" t="inlineStr">
        <is>
          <t>Dang nhap bang SDT + PIN khi sinh trac hoc khong kha dung.</t>
        </is>
      </c>
      <c r="H39" s="7" t="inlineStr">
        <is>
          <t>Nhap SDT, nhap dung PIN 6 so.</t>
        </is>
      </c>
      <c r="I39" s="7" t="inlineStr">
        <is>
          <t>Thiet bi khong ho tro/khong bat sinh trac hoc.</t>
        </is>
      </c>
      <c r="J39" s="7" t="inlineStr">
        <is>
          <t>PIN la fallback khi khong co sinh trac hoc; nhap dung PIN thi dang nhap thanh cong va resume thao tac ban dau.</t>
        </is>
      </c>
      <c r="K39" s="7" t="inlineStr">
        <is>
          <t>PIN la phuong thuc thu 2 trong thu tu uu tien.</t>
        </is>
      </c>
      <c r="L39" s="7" t="n"/>
      <c r="M39" s="7" t="n"/>
    </row>
    <row r="40" ht="46" customHeight="1">
      <c r="A40" s="7" t="n">
        <v>38</v>
      </c>
      <c r="B40" s="7" t="inlineStr">
        <is>
          <t>SCR-AUT-05-SC3</t>
        </is>
      </c>
      <c r="C40" s="7" t="inlineStr">
        <is>
          <t>SCR-AUT-05</t>
        </is>
      </c>
      <c r="D40" s="7" t="inlineStr">
        <is>
          <t>LI - Login</t>
        </is>
      </c>
      <c r="E40" s="7" t="inlineStr">
        <is>
          <t>LI-04</t>
        </is>
      </c>
      <c r="F40" s="7" t="inlineStr">
        <is>
          <t>Negative</t>
        </is>
      </c>
      <c r="G40" s="7" t="inlineStr">
        <is>
          <t>Dang nhap bang SDT chua tung dang ky.</t>
        </is>
      </c>
      <c r="H40" s="7" t="inlineStr">
        <is>
          <t>Nhap 1 SDT chua co tai khoan.</t>
        </is>
      </c>
      <c r="I40" s="7" t="inlineStr">
        <is>
          <t>Dang o man nhap SDT dang nhap.</t>
        </is>
      </c>
      <c r="J40" s="7" t="inlineStr">
        <is>
          <t>Bao loi 'so chua duoc dang ky', SDT van duoc giu nguyen tren o nhap, CTA chinh doi thanh 'Dang ky' (doi xung voi SU-09).</t>
        </is>
      </c>
      <c r="K40" s="7" t="inlineStr">
        <is>
          <t>Deviation doi xung voi luong Signup (SU-09).</t>
        </is>
      </c>
      <c r="L40" s="7" t="n"/>
      <c r="M40" s="7" t="n"/>
    </row>
    <row r="41" ht="46" customHeight="1">
      <c r="A41" s="7" t="n">
        <v>39</v>
      </c>
      <c r="B41" s="7" t="inlineStr">
        <is>
          <t>SCR-AUT-05-SC4</t>
        </is>
      </c>
      <c r="C41" s="7" t="inlineStr">
        <is>
          <t>SCR-AUT-05</t>
        </is>
      </c>
      <c r="D41" s="7" t="inlineStr">
        <is>
          <t>LI - Login</t>
        </is>
      </c>
      <c r="E41" s="7" t="inlineStr">
        <is>
          <t>LI-06</t>
        </is>
      </c>
      <c r="F41" s="7" t="inlineStr">
        <is>
          <t>Boundary</t>
        </is>
      </c>
      <c r="G41" s="7" t="inlineStr">
        <is>
          <t>Nhap sai PIN nhieu lan lien tiep - kich hoat gioi han thu (attempt limit).</t>
        </is>
      </c>
      <c r="H41" s="7" t="inlineStr">
        <is>
          <t>Nhap sai PIN N+1 lan lien tiep (N = gioi han, dang cho xac nhan).</t>
        </is>
      </c>
      <c r="I41" s="7" t="inlineStr">
        <is>
          <t>Dang o buoc nhap PIN dang nhap.</t>
        </is>
      </c>
      <c r="J41" s="7" t="inlineStr">
        <is>
          <t>Sau khi vuot qua nguong gioi han, tai khoan/thiet bi bi khoa tam thoi va bat buoc xac thuc lai bang OTP (BRL-16, NFR-01); thong bao ro cho khach ly do khoa va cach mo khoa.</t>
        </is>
      </c>
      <c r="K41" s="7" t="inlineStr">
        <is>
          <t>Gioi han thu sai phai duoc thuc thi tren ca OTP va PIN (BR-11).</t>
        </is>
      </c>
      <c r="L41" s="7" t="inlineStr">
        <is>
          <t>QnA-03</t>
        </is>
      </c>
      <c r="M41" s="7" t="inlineStr">
        <is>
          <t>Con so chinh xac N va thoi gian khoa van dang cho Security/Dev (OQ-03/QnA-03) - test nay dung placeholder N va se cap nhat lai khi co gia tri chinh thuc.</t>
        </is>
      </c>
    </row>
    <row r="42" ht="46" customHeight="1">
      <c r="A42" s="7" t="n">
        <v>40</v>
      </c>
      <c r="B42" s="7" t="inlineStr">
        <is>
          <t>SCR-AUT-06-SC1</t>
        </is>
      </c>
      <c r="C42" s="7" t="inlineStr">
        <is>
          <t>SCR-AUT-06</t>
        </is>
      </c>
      <c r="D42" s="7" t="inlineStr">
        <is>
          <t>LI - Login</t>
        </is>
      </c>
      <c r="E42" s="7" t="inlineStr">
        <is>
          <t>LI-05</t>
        </is>
      </c>
      <c r="F42" s="7" t="inlineStr">
        <is>
          <t>Normal</t>
        </is>
      </c>
      <c r="G42" s="7" t="inlineStr">
        <is>
          <t>Quen PIN: xac thuc lai bang OTP roi dat PIN moi.</t>
        </is>
      </c>
      <c r="H42" s="7" t="inlineStr">
        <is>
          <t>Bam 'Quen PIN', xac thuc OTP dung, dat PIN moi khac PIN cu.</t>
        </is>
      </c>
      <c r="I42" s="7" t="inlineStr">
        <is>
          <t>Dang o man dang nhap, chon 'Quen PIN'.</t>
        </is>
      </c>
      <c r="J42" s="7" t="inlineStr">
        <is>
          <t>SDT hien thi dang che (mask) vi da duoc dinh danh tu buoc truoc; xac thuc OTP dung la dieu kien bat buoc TRUOC khi cho dat PIN moi (mot thay doi thong tin xac thuc khong duoc phep tu thiet bi chua xac minh); dat PIN moi thanh cong thay the hoan toan PIN cu.</t>
        </is>
      </c>
      <c r="K42" s="7" t="inlineStr">
        <is>
          <t>Doi PIN bat buoc phai qua xac thuc OTP, khong co duong tat nao khac.</t>
        </is>
      </c>
      <c r="L42" s="7" t="n"/>
      <c r="M42" s="7" t="n"/>
    </row>
    <row r="43" ht="46" customHeight="1">
      <c r="A43" s="7" t="n">
        <v>41</v>
      </c>
      <c r="B43" s="7" t="inlineStr">
        <is>
          <t>SCR-AUT-06-SC2</t>
        </is>
      </c>
      <c r="C43" s="7" t="inlineStr">
        <is>
          <t>SCR-AUT-06</t>
        </is>
      </c>
      <c r="D43" s="7" t="inlineStr">
        <is>
          <t>LI - Login</t>
        </is>
      </c>
      <c r="E43" s="7" t="inlineStr">
        <is>
          <t>LI-03, LI-05</t>
        </is>
      </c>
      <c r="F43" s="7" t="inlineStr">
        <is>
          <t>Functional</t>
        </is>
      </c>
      <c r="G43" s="7" t="inlineStr">
        <is>
          <t>Sau khi dat lai PIN thanh cong, tu dong dang nhap va resume thao tac; bio ticket khong bi anh huong.</t>
        </is>
      </c>
      <c r="H43" s="7" t="inlineStr">
        <is>
          <t>Hoan tat dat PIN moi, kiem tra trang thai dang nhap va sinh trac hoc.</t>
        </is>
      </c>
      <c r="I43" s="7" t="inlineStr">
        <is>
          <t>Da hoan tat xac thuc OTP va dat PIN moi.</t>
        </is>
      </c>
      <c r="J43" s="7" t="inlineStr">
        <is>
          <t>Khach duoc dang nhap ngay khong can buoc them; thao tac ban dau (them san pham/mo Cart) duoc resume tu dong; sinh trac hoc da bat truoc do (neu co) KHONG bi thu hoi boi viec doi PIN.</t>
        </is>
      </c>
      <c r="K43" s="7" t="inlineStr">
        <is>
          <t>Reset PIN khong lam mat trang thai bio ticket da thiet lap.</t>
        </is>
      </c>
      <c r="L43" s="7" t="n"/>
      <c r="M43" s="7" t="n"/>
    </row>
    <row r="44" ht="46" customHeight="1">
      <c r="A44" s="7" t="n">
        <v>42</v>
      </c>
      <c r="B44" s="7" t="inlineStr">
        <is>
          <t>SCR-CRT-01-SC1</t>
        </is>
      </c>
      <c r="C44" s="7" t="inlineStr">
        <is>
          <t>SCR-CRT-01</t>
        </is>
      </c>
      <c r="D44" s="7" t="inlineStr">
        <is>
          <t>CT - Cart</t>
        </is>
      </c>
      <c r="E44" s="7" t="inlineStr">
        <is>
          <t>CT-03</t>
        </is>
      </c>
      <c r="F44" s="7" t="inlineStr">
        <is>
          <t>Functional</t>
        </is>
      </c>
      <c r="G44" s="7" t="inlineStr">
        <is>
          <t>Xem tien do Freeship (Standard) va them san pham de dat nguong.</t>
        </is>
      </c>
      <c r="H44" s="7" t="inlineStr">
        <is>
          <t>Gio hang dang o 117.000d, thieu 33.000d de dat 150.000d.</t>
        </is>
      </c>
      <c r="I44" s="7" t="inlineStr">
        <is>
          <t>Dang o Cart, tab Delivery/Standard, gio hang chua dat nguong freeship.</t>
        </is>
      </c>
      <c r="J44" s="7" t="inlineStr">
        <is>
          <t>Thanh tien do hien ro so tien con thieu ('Con 33.000d de duoc mien phi giao hang' - BRL-19); danh sach san pham goi y de mua them duoc hien thi.</t>
        </is>
      </c>
      <c r="K44" s="7" t="inlineStr">
        <is>
          <t>Tien do freeship tinh dung theo BRL-19 (nguong 150.000d).</t>
        </is>
      </c>
      <c r="L44" s="7" t="inlineStr">
        <is>
          <t>QnA-15</t>
        </is>
      </c>
      <c r="M44" s="7" t="inlineStr">
        <is>
          <t>Logic chon san pham nao de goi y (suggestion logic) van la OQ-15/QnA-15, chua co quy tac chinh thuc.</t>
        </is>
      </c>
    </row>
    <row r="45" ht="46" customHeight="1">
      <c r="A45" s="7" t="n">
        <v>43</v>
      </c>
      <c r="B45" s="7" t="inlineStr">
        <is>
          <t>SCR-CRT-01-SC2</t>
        </is>
      </c>
      <c r="C45" s="7" t="inlineStr">
        <is>
          <t>SCR-CRT-01</t>
        </is>
      </c>
      <c r="D45" s="7" t="inlineStr">
        <is>
          <t>CT - Cart</t>
        </is>
      </c>
      <c r="E45" s="7" t="inlineStr">
        <is>
          <t>CT-04</t>
        </is>
      </c>
      <c r="F45" s="7" t="inlineStr">
        <is>
          <t>Functional</t>
        </is>
      </c>
      <c r="G45" s="7" t="inlineStr">
        <is>
          <t>Loc danh sach san pham trong Cart theo 2 bo loc doc lap: 60-Minute eligible va BNPL eligible.</t>
        </is>
      </c>
      <c r="H45" s="7" t="inlineStr">
        <is>
          <t>Bat rieng loc 60-Minute, roi bat them ca loc BNPL.</t>
        </is>
      </c>
      <c r="I45" s="7" t="inlineStr">
        <is>
          <t>Gio hang co ca san pham chi hop le 60-Minute, chi hop le BNPL, va ca hai.</t>
        </is>
      </c>
      <c r="J45" s="7" t="inlineStr">
        <is>
          <t>2 bo loc hoat dong doc lap va KET HOP duoc voi nhau (AND); danh sach cap nhat dung theo tung to hop bat/tat.</t>
        </is>
      </c>
      <c r="K45" s="7" t="inlineStr">
        <is>
          <t>Ket qua loc dung voi ca 4 to hop (khong bat, chi 60-Minute, chi BNPL, ca hai).</t>
        </is>
      </c>
      <c r="L45" s="7" t="n"/>
      <c r="M45" s="7" t="n"/>
    </row>
    <row r="46" ht="46" customHeight="1">
      <c r="A46" s="7" t="n">
        <v>44</v>
      </c>
      <c r="B46" s="7" t="inlineStr">
        <is>
          <t>SCR-CRT-01-SC3</t>
        </is>
      </c>
      <c r="C46" s="7" t="inlineStr">
        <is>
          <t>SCR-CRT-01</t>
        </is>
      </c>
      <c r="D46" s="7" t="inlineStr">
        <is>
          <t>CT - Cart</t>
        </is>
      </c>
      <c r="E46" s="7" t="inlineStr">
        <is>
          <t>CT-06</t>
        </is>
      </c>
      <c r="F46" s="7" t="inlineStr">
        <is>
          <t>Edge</t>
        </is>
      </c>
      <c r="G46" s="7" t="inlineStr">
        <is>
          <t>San pham het hang duoc tach rieng vao nhom 'khong kha dung', phan con lai van thanh toan duoc.</t>
        </is>
      </c>
      <c r="H46" s="7" t="inlineStr">
        <is>
          <t>1 trong 3 san pham trong gio bi het hang.</t>
        </is>
      </c>
      <c r="I46" s="7" t="inlineStr">
        <is>
          <t>Gio hang co it nhat 1 SKU chuyen sang het hang giua chung.</t>
        </is>
      </c>
      <c r="J46" s="7" t="inlineStr">
        <is>
          <t>SKU het hang duoc CHUYEN sang nhom rieng (khong con nam chung voi cac san pham con lai), co de xuat san pham thay the hoac dang ky bao khi co hang; cac san pham con lai VAN thanh toan duoc binh thuong.</t>
        </is>
      </c>
      <c r="K46" s="7" t="inlineStr">
        <is>
          <t>Tach nhom khong lam gian doan checkout cua phan con lai.</t>
        </is>
      </c>
      <c r="L46" s="7" t="inlineStr">
        <is>
          <t>QnA-05</t>
        </is>
      </c>
      <c r="M46" s="7" t="inlineStr">
        <is>
          <t>Thoi gian giu SKU het hang trong nhom rieng truoc khi bi loai han van la OQ-05/QnA-05.</t>
        </is>
      </c>
    </row>
    <row r="47" ht="46" customHeight="1">
      <c r="A47" s="7" t="n">
        <v>45</v>
      </c>
      <c r="B47" s="7" t="inlineStr">
        <is>
          <t>SCR-CRT-01-SC4</t>
        </is>
      </c>
      <c r="C47" s="7" t="inlineStr">
        <is>
          <t>SCR-CRT-01</t>
        </is>
      </c>
      <c r="D47" s="7" t="inlineStr">
        <is>
          <t>CT - Cart</t>
        </is>
      </c>
      <c r="E47" s="7" t="inlineStr">
        <is>
          <t>CT-06</t>
        </is>
      </c>
      <c r="F47" s="7" t="inlineStr">
        <is>
          <t>Boundary</t>
        </is>
      </c>
      <c r="G47" s="7" t="inlineStr">
        <is>
          <t>Uu dai PwP ('Mua Kem Deal Soc') het han sau thoi gian dem nguoc hien tren Figma.</t>
        </is>
      </c>
      <c r="H47" s="7" t="inlineStr">
        <is>
          <t>Cho dong ho dem nguoc cua 1 o PwP chay ve 0.</t>
        </is>
      </c>
      <c r="I47" s="7" t="inlineStr">
        <is>
          <t>Gio hang dang hien 1 o PwP voi dong ho dem nguoc (vi du con 30 phut).</t>
        </is>
      </c>
      <c r="J47" s="7" t="inlineStr">
        <is>
          <t>Sau khi dem nguoc ve 0, uu dai PwP do KHONG con ap dung duoc/bien mat khoi Cart (hanh vi cu the dang cho BA xac nhan - QnA-28, hien SRS CT-06/BRL-32 chua mo ta co che dem nguoc nay).</t>
        </is>
      </c>
      <c r="K47" s="7" t="inlineStr">
        <is>
          <t>TBD - can BA xac nhan hanh vi chinh xac khi het dem nguoc truoc khi chot Expected Result.</t>
        </is>
      </c>
      <c r="L47" s="7" t="inlineStr">
        <is>
          <t>QnA-28</t>
        </is>
      </c>
      <c r="M47" s="7" t="inlineStr">
        <is>
          <t>Toan bo co che dem nguoc cua PwP CHUA co trong SRS - test case nay danh dau TBD cho den khi QnA-28 duoc tra loi.</t>
        </is>
      </c>
    </row>
    <row r="48" ht="46" customHeight="1">
      <c r="A48" s="7" t="n">
        <v>46</v>
      </c>
      <c r="B48" s="7" t="inlineStr">
        <is>
          <t>SCR-CRT-02-SC1</t>
        </is>
      </c>
      <c r="C48" s="7" t="inlineStr">
        <is>
          <t>SCR-CRT-02</t>
        </is>
      </c>
      <c r="D48" s="7" t="inlineStr">
        <is>
          <t>CT - Cart</t>
        </is>
      </c>
      <c r="E48" s="7" t="inlineStr">
        <is>
          <t>CT-08</t>
        </is>
      </c>
      <c r="F48" s="7" t="inlineStr">
        <is>
          <t>Boundary</t>
        </is>
      </c>
      <c r="G48" s="7" t="inlineStr">
        <is>
          <t>Phi 60-Minute la phi co dinh, KHONG duoc mien theo gia tri don hang.</t>
        </is>
      </c>
      <c r="H48" s="7" t="inlineStr">
        <is>
          <t>Gio hang dat &gt;=150.000d nhung chon dich vu 60-Minute.</t>
        </is>
      </c>
      <c r="I48" s="7" t="inlineStr">
        <is>
          <t>Dia chi trong ban kinh 60-Minute (3-5km), gio hang &gt;=150.000d.</t>
        </is>
      </c>
      <c r="J48" s="7" t="inlineStr">
        <is>
          <t>Phi 60-Minute VAN duoc thu du don hang da vuot nguong freeship Standard (150.000d chi mien phi cho Standard - BRL-18/19); chi coupon giao hang phu het toan bo phi moi mien duoc.</t>
        </is>
      </c>
      <c r="K48" s="7" t="inlineStr">
        <is>
          <t>Freeship threshold cua Standard KHONG ap dung cho 60-Minute.</t>
        </is>
      </c>
      <c r="L48" s="7" t="inlineStr">
        <is>
          <t>QnA-33</t>
        </is>
      </c>
      <c r="M48" s="7" t="inlineStr">
        <is>
          <t>Cac man hinh chon khung gio tren Figma cho thay phi giao hang co the khac nhau theo tung khung gio Standard, mau thuan tiem an voi BRL-19 - xem QnA-33.</t>
        </is>
      </c>
    </row>
    <row r="49" ht="46" customHeight="1">
      <c r="A49" s="7" t="n">
        <v>47</v>
      </c>
      <c r="B49" s="7" t="inlineStr">
        <is>
          <t>SCR-CRT-02-SC2</t>
        </is>
      </c>
      <c r="C49" s="7" t="inlineStr">
        <is>
          <t>SCR-CRT-02</t>
        </is>
      </c>
      <c r="D49" s="7" t="inlineStr">
        <is>
          <t>CT - Cart</t>
        </is>
      </c>
      <c r="E49" s="7" t="inlineStr">
        <is>
          <t>CT-08</t>
        </is>
      </c>
      <c r="F49" s="7" t="inlineStr">
        <is>
          <t>Boundary</t>
        </is>
      </c>
      <c r="G49" s="7" t="inlineStr">
        <is>
          <t>Canh bao khi so slot 60-Minute con lai cham nguong cau hinh (hien tai la 1).</t>
        </is>
      </c>
      <c r="H49" s="7" t="inlineStr">
        <is>
          <t>Slot 60-Minute con lai = 1 (bang nguong).</t>
        </is>
      </c>
      <c r="I49" s="7" t="inlineStr">
        <is>
          <t>Store con dung 1 slot 60-Minute cho khung gio dang chon.</t>
        </is>
      </c>
      <c r="J49" s="7" t="inlineStr">
        <is>
          <t>Canh bao hien NGAY trong Cart khi con lai &lt;= nguong (hien la 1 - BRL-20), noi ro he qua (vi du 'chi con 1 cho'); nguong nay la tham so cau hinh, co the tang len (vi du 5) ma khong doi flow.</t>
        </is>
      </c>
      <c r="K49" s="7" t="inlineStr">
        <is>
          <t>Canh bao phai xuat hien dung thoi diem cham nguong, khong som hon khong muon hon.</t>
        </is>
      </c>
      <c r="L49" s="7" t="n"/>
      <c r="M49" s="7" t="n"/>
    </row>
    <row r="50" ht="46" customHeight="1">
      <c r="A50" s="7" t="n">
        <v>48</v>
      </c>
      <c r="B50" s="7" t="inlineStr">
        <is>
          <t>SCR-CRT-03-SC1</t>
        </is>
      </c>
      <c r="C50" s="7" t="inlineStr">
        <is>
          <t>SCR-CRT-03</t>
        </is>
      </c>
      <c r="D50" s="7" t="inlineStr">
        <is>
          <t>CT - Cart</t>
        </is>
      </c>
      <c r="E50" s="7" t="inlineStr">
        <is>
          <t>CT-08</t>
        </is>
      </c>
      <c r="F50" s="7" t="inlineStr">
        <is>
          <t>Functional</t>
        </is>
      </c>
      <c r="G50" s="7" t="inlineStr">
        <is>
          <t>Dia chi thuoc vung Next-day chi chon duoc NGAY giao (khong co khung gio).</t>
        </is>
      </c>
      <c r="H50" s="7" t="inlineStr">
        <is>
          <t>Chon 1 ngay giao hop le trong danh sach.</t>
        </is>
      </c>
      <c r="I50" s="7" t="inlineStr">
        <is>
          <t>Dia chi nam ngoai ban kinh Standard, trong 1 khu vuc Next-day da cau hinh.</t>
        </is>
      </c>
      <c r="J50" s="7" t="inlineStr">
        <is>
          <t>Man hinh chi hien bo chon NGAY (khong co slot gio); cac ngay khong kha dung hien dang disabled (khong bi an) de khach hieu ly do.</t>
        </is>
      </c>
      <c r="K50" s="7" t="inlineStr">
        <is>
          <t>Next-day luon la chon-ngay, khong bao gio la chon-gio.</t>
        </is>
      </c>
      <c r="L50" s="7" t="inlineStr">
        <is>
          <t>QnA-09</t>
        </is>
      </c>
      <c r="M50" s="7" t="inlineStr">
        <is>
          <t>Vung phu Next-day co du toan bo VN hay khong van la OQ-09/QnA-09.</t>
        </is>
      </c>
    </row>
    <row r="51" ht="46" customHeight="1">
      <c r="A51" s="7" t="n">
        <v>49</v>
      </c>
      <c r="B51" s="7" t="inlineStr">
        <is>
          <t>SCR-CRT-03-SC2</t>
        </is>
      </c>
      <c r="C51" s="7" t="inlineStr">
        <is>
          <t>SCR-CRT-03</t>
        </is>
      </c>
      <c r="D51" s="7" t="inlineStr">
        <is>
          <t>CT - Cart</t>
        </is>
      </c>
      <c r="E51" s="7" t="inlineStr">
        <is>
          <t>CT-08</t>
        </is>
      </c>
      <c r="F51" s="7" t="inlineStr">
        <is>
          <t>Boundary</t>
        </is>
      </c>
      <c r="G51" s="7" t="inlineStr">
        <is>
          <t>Don hang bulky (nang &gt;15kg HOAC co san pham gan nhan bulky) day ngay giao tu T+2 sang T+4 va cong them phu phi.</t>
        </is>
      </c>
      <c r="H51" s="7" t="inlineStr">
        <is>
          <t>Gio hang co tong trong luong &gt;15kg (hoac co 1 SKU 'bulky').</t>
        </is>
      </c>
      <c r="I51" s="7" t="inlineStr">
        <is>
          <t>Dang chon ngay giao cho don hang duoc xac dinh la bulky.</t>
        </is>
      </c>
      <c r="J51" s="7" t="inlineStr">
        <is>
          <t>Cac ngay truoc T+4 bi disable (thay vi T+2 cho don thuong); man hinh neu ro SKU nao khien don thanh bulky; phu phi bulky duoc cong THEM tren phi dich vu da chon va KHONG duoc mien boi nguong freeship (BRL-22/23).</t>
        </is>
      </c>
      <c r="K51" s="7" t="inlineStr">
        <is>
          <t>Xac dinh bulky tinh tren TO HOP san pham da chon, khong phai tren tung SKU rieng le.</t>
        </is>
      </c>
      <c r="L51" s="7" t="n"/>
      <c r="M51" s="7" t="n"/>
    </row>
    <row r="52" ht="46" customHeight="1">
      <c r="A52" s="7" t="n">
        <v>50</v>
      </c>
      <c r="B52" s="7" t="inlineStr">
        <is>
          <t>SCR-CRT-03-SC3</t>
        </is>
      </c>
      <c r="C52" s="7" t="inlineStr">
        <is>
          <t>SCR-CRT-03</t>
        </is>
      </c>
      <c r="D52" s="7" t="inlineStr">
        <is>
          <t>CT - Cart</t>
        </is>
      </c>
      <c r="E52" s="7" t="inlineStr">
        <is>
          <t>CT-08</t>
        </is>
      </c>
      <c r="F52" s="7" t="inlineStr">
        <is>
          <t>Edge</t>
        </is>
      </c>
      <c r="G52" s="7" t="inlineStr">
        <is>
          <t>Bo bot san pham 'bulky' khoi gio khien don tro lai T+2 (danh gia lai tu dong).</t>
        </is>
      </c>
      <c r="H52" s="7" t="inlineStr">
        <is>
          <t>Xoa SKU 'bulky' duy nhat khoi gio hang.</t>
        </is>
      </c>
      <c r="I52" s="7" t="inlineStr">
        <is>
          <t>Don dang o trang thai bulky (T+4) do 1 SKU gan nhan bulky.</t>
        </is>
      </c>
      <c r="J52" s="7" t="inlineStr">
        <is>
          <t>Ngay som nhat co the chon quay lai T+2 NGAY sau khi xoa SKU do (quy tac bulky duoc danh gia lai moi khi thay doi lua chon san pham, khong phai 1 lan co dinh).</t>
        </is>
      </c>
      <c r="K52" s="7" t="inlineStr">
        <is>
          <t>Danh gia lai bulky la real-time theo lua chon hien tai.</t>
        </is>
      </c>
      <c r="L52" s="7" t="n"/>
      <c r="M52" s="7" t="n"/>
    </row>
    <row r="53" ht="46" customHeight="1">
      <c r="A53" s="7" t="n">
        <v>51</v>
      </c>
      <c r="B53" s="7" t="inlineStr">
        <is>
          <t>SCR-CRT-04-SC1</t>
        </is>
      </c>
      <c r="C53" s="7" t="inlineStr">
        <is>
          <t>SCR-CRT-04</t>
        </is>
      </c>
      <c r="D53" s="7" t="inlineStr">
        <is>
          <t>CT - Cart</t>
        </is>
      </c>
      <c r="E53" s="7" t="inlineStr">
        <is>
          <t>CT-02, CT-09</t>
        </is>
      </c>
      <c r="F53" s="7" t="inlineStr">
        <is>
          <t>Functional</t>
        </is>
      </c>
      <c r="G53" s="7" t="inlineStr">
        <is>
          <t>Nhap thong tin nguoi nhan hang (Pickup) khac voi chu tai khoan.</t>
        </is>
      </c>
      <c r="H53" s="7" t="inlineStr">
        <is>
          <t>Nhap ten/SDT nguoi nhan khac ten/SDT tai khoan dang dang nhap.</t>
        </is>
      </c>
      <c r="I53" s="7" t="inlineStr">
        <is>
          <t>Dang o tab 'Tu den lay' (Pickup) trong Cart.</t>
        </is>
      </c>
      <c r="J53" s="7" t="inlineStr">
        <is>
          <t>Ten va SDT nguoi den nhan duoc nhap RIENG, doc lap voi ho so tai khoan (BRL-30) - khong bi ghi de hay validate trung khop voi profile.</t>
        </is>
      </c>
      <c r="K53" s="7" t="inlineStr">
        <is>
          <t>Nguoi nhan co the khac hoan toan chu tai khoan.</t>
        </is>
      </c>
      <c r="L53" s="7" t="n"/>
      <c r="M53" s="7" t="n"/>
    </row>
    <row r="54" ht="46" customHeight="1">
      <c r="A54" s="7" t="n">
        <v>52</v>
      </c>
      <c r="B54" s="7" t="inlineStr">
        <is>
          <t>SCR-CRT-04-SC2</t>
        </is>
      </c>
      <c r="C54" s="7" t="inlineStr">
        <is>
          <t>SCR-CRT-04</t>
        </is>
      </c>
      <c r="D54" s="7" t="inlineStr">
        <is>
          <t>CT - Cart</t>
        </is>
      </c>
      <c r="E54" s="7" t="inlineStr">
        <is>
          <t>CT-09</t>
        </is>
      </c>
      <c r="F54" s="7" t="inlineStr">
        <is>
          <t>Functional</t>
        </is>
      </c>
      <c r="G54" s="7" t="inlineStr">
        <is>
          <t>Thanh toan tien mat khi Pickup CHI kha dung cho hang Platinum/Diamond.</t>
        </is>
      </c>
      <c r="H54" s="7" t="inlineStr">
        <is>
          <t>Tai khoan tier Platinum thu chon tien mat; tai khoan tier thuong thu chon tien mat.</t>
        </is>
      </c>
      <c r="I54" s="7" t="inlineStr">
        <is>
          <t>2 tai khoan test: 1 Platinum, 1 tier thuong (vi du Bac/khong tier).</t>
        </is>
      </c>
      <c r="J54" s="7" t="inlineStr">
        <is>
          <t>Voi tai khoan Platinum/Diamond: tuy chon tien mat hien va chon duoc. Voi tai khoan tier thuong: tuy chon tien mat KHONG hien (an hoan toan, khong phai disabled mo) - day la thay doi so voi As-Is (BRL-29).</t>
        </is>
      </c>
      <c r="K54" s="7" t="inlineStr">
        <is>
          <t>Tinh du dieu kien theo tier phai chinh xac, khong lo tuy chon cho tier khong du dieu kien.</t>
        </is>
      </c>
      <c r="L54" s="7" t="n"/>
      <c r="M54" s="7" t="n"/>
    </row>
    <row r="55" ht="46" customHeight="1">
      <c r="A55" s="7" t="n">
        <v>53</v>
      </c>
      <c r="B55" s="7" t="inlineStr">
        <is>
          <t>SCR-CRT-04-SC3</t>
        </is>
      </c>
      <c r="C55" s="7" t="inlineStr">
        <is>
          <t>SCR-CRT-04</t>
        </is>
      </c>
      <c r="D55" s="7" t="inlineStr">
        <is>
          <t>CT - Cart</t>
        </is>
      </c>
      <c r="E55" s="7" t="inlineStr">
        <is>
          <t>CT-10</t>
        </is>
      </c>
      <c r="F55" s="7" t="inlineStr">
        <is>
          <t>Edge</t>
        </is>
      </c>
      <c r="G55" s="7" t="inlineStr">
        <is>
          <t>Kiem tra 2 hanh trinh locker khac nhau: locker gan nha (thuoc Delivery) va locker tai store (thuoc Pickup).</t>
        </is>
      </c>
      <c r="H55" s="7" t="inlineStr">
        <is>
          <t>Chon locker gan nha tu tab Delivery; rieng chon locker tai store tu tab Pickup.</t>
        </is>
      </c>
      <c r="I55" s="7" t="inlineStr">
        <is>
          <t>Dang o Cart, ca 2 tab Delivery va Pickup deu co tuy chon locker.</t>
        </is>
      </c>
      <c r="J55" s="7" t="inlineStr">
        <is>
          <t>Locker gan nha hien thong tin: thoi gian du kien, ten/dia chi locker gan nha khach; locker tai store hien: thoi gian du kien, vi tri locker trong store. 2 luong khong bi lan sang nhau.</t>
        </is>
      </c>
      <c r="K55" s="7" t="inlineStr">
        <is>
          <t>Phan biet dung 2 loai locker theo dung nhanh Delivery/Pickup.</t>
        </is>
      </c>
      <c r="L55" s="7" t="inlineStr">
        <is>
          <t>QnA-23, QnA-31</t>
        </is>
      </c>
      <c r="M55" s="7" t="inlineStr">
        <is>
          <t>OQ-23/QnA-23: quy tac day du (chon lua, thoi gian giu, phi, xu ly khong den nhan) van con mo. QnA-31: Figma da co UI locker kha day du, can xac nhan day co phai ban chinh thuc.</t>
        </is>
      </c>
    </row>
    <row r="56" ht="46" customHeight="1">
      <c r="A56" s="7" t="n">
        <v>54</v>
      </c>
      <c r="B56" s="7" t="inlineStr">
        <is>
          <t>SCR-CRT-05-SC1</t>
        </is>
      </c>
      <c r="C56" s="7" t="inlineStr">
        <is>
          <t>SCR-CRT-05</t>
        </is>
      </c>
      <c r="D56" s="7" t="inlineStr">
        <is>
          <t>CT - Cart</t>
        </is>
      </c>
      <c r="E56" s="7" t="inlineStr">
        <is>
          <t>CT-05</t>
        </is>
      </c>
      <c r="F56" s="7" t="inlineStr">
        <is>
          <t>Functional</t>
        </is>
      </c>
      <c r="G56" s="7" t="inlineStr">
        <is>
          <t>Vuot (swipe) san pham sang trai de xoa - phai qua man hinh xac nhan.</t>
        </is>
      </c>
      <c r="H56" s="7" t="inlineStr">
        <is>
          <t>Vuot trai 1 dong san pham, bam Confirm tren dialog.</t>
        </is>
      </c>
      <c r="I56" s="7" t="inlineStr">
        <is>
          <t>Gio hang co it nhat 1 san pham.</t>
        </is>
      </c>
      <c r="J56" s="7" t="inlineStr">
        <is>
          <t>Vuot trai hien nut Xoa nhung KHONG xoa ngay; bam Xoa mo dialog xac nhan 'Ban chac chan muon xoa san pham nay?' voi No/Confirm; chi Confirm moi thuc su xoa.</t>
        </is>
      </c>
      <c r="K56" s="7" t="inlineStr">
        <is>
          <t>Khong co thao tac xoa tuc thi nao bo qua duoc dialog xac nhan.</t>
        </is>
      </c>
      <c r="L56" s="7" t="n"/>
      <c r="M56" s="7" t="n"/>
    </row>
    <row r="57" ht="46" customHeight="1">
      <c r="A57" s="7" t="n">
        <v>55</v>
      </c>
      <c r="B57" s="7" t="inlineStr">
        <is>
          <t>SCR-CRT-05-SC2</t>
        </is>
      </c>
      <c r="C57" s="7" t="inlineStr">
        <is>
          <t>SCR-CRT-05</t>
        </is>
      </c>
      <c r="D57" s="7" t="inlineStr">
        <is>
          <t>CT - Cart</t>
        </is>
      </c>
      <c r="E57" s="7" t="inlineStr">
        <is>
          <t>CT-05</t>
        </is>
      </c>
      <c r="F57" s="7" t="inlineStr">
        <is>
          <t>Functional</t>
        </is>
      </c>
      <c r="G57" s="7" t="inlineStr">
        <is>
          <t>Giam so luong ve 0 kich hoat CUNG 1 dialog xac nhan xoa nhu swipe.</t>
        </is>
      </c>
      <c r="H57" s="7" t="inlineStr">
        <is>
          <t>Giam so luong san pham tu 1 xuong 0.</t>
        </is>
      </c>
      <c r="I57" s="7" t="inlineStr">
        <is>
          <t>San pham dang co so luong = 1.</t>
        </is>
      </c>
      <c r="J57" s="7" t="inlineStr">
        <is>
          <t>Dialog xac nhan giong het truong hop swipe (cung noi dung, cung No/Confirm); bam No thi so luong duoc KHOI PHUC ve 1 (khong giu o 0).</t>
        </is>
      </c>
      <c r="K57" s="7" t="inlineStr">
        <is>
          <t>2 co che kich hoat (swipe, giam ve 0) phai dan den cung 1 hanh vi xac nhan.</t>
        </is>
      </c>
      <c r="L57" s="7" t="n"/>
      <c r="M57" s="7" t="n"/>
    </row>
    <row r="58" ht="46" customHeight="1">
      <c r="A58" s="7" t="n">
        <v>56</v>
      </c>
      <c r="B58" s="7" t="inlineStr">
        <is>
          <t>SCR-CRT-05-SC3</t>
        </is>
      </c>
      <c r="C58" s="7" t="inlineStr">
        <is>
          <t>SCR-CRT-05</t>
        </is>
      </c>
      <c r="D58" s="7" t="inlineStr">
        <is>
          <t>CT - Cart</t>
        </is>
      </c>
      <c r="E58" s="7" t="inlineStr">
        <is>
          <t>CT-05</t>
        </is>
      </c>
      <c r="F58" s="7" t="inlineStr">
        <is>
          <t>Boundary</t>
        </is>
      </c>
      <c r="G58" s="7" t="inlineStr">
        <is>
          <t>Chon vuot qua 30 san pham cho 1 lan thanh toan bi chan bang loi va khong the Proceed.</t>
        </is>
      </c>
      <c r="H58" s="7" t="inlineStr">
        <is>
          <t>Chon 35 san pham (Chon tat ca), thu bam Thanh toan.</t>
        </is>
      </c>
      <c r="I58" s="7" t="inlineStr">
        <is>
          <t>Gio hang co &gt;30 san pham co the chon.</t>
        </is>
      </c>
      <c r="J58" s="7" t="inlineStr">
        <is>
          <t>Hien loi 'Gio hang da vuot qua gioi han toi da 30 san pham cho 1 don hang' dua khach ve lai buoc chon; bo dem so luong da chon/gioi han hien ro (vi du 35/30); nut Proceed to Checkout bi khoa cho den khi giam ve &lt;=30.</t>
        </is>
      </c>
      <c r="K58" s="7" t="inlineStr">
        <is>
          <t>Gioi han 30 la tham so cau hinh (BRL-31), khong hard-code nhung phai duoc thuc thi dung.</t>
        </is>
      </c>
      <c r="L58" s="7" t="n"/>
      <c r="M58" s="7" t="inlineStr">
        <is>
          <t>Da xac nhan qua man hinh Figma thuc te co dung thong bao loi nay - dung lam test data tham chieu.</t>
        </is>
      </c>
    </row>
    <row r="59" ht="46" customHeight="1">
      <c r="A59" s="7" t="n">
        <v>57</v>
      </c>
      <c r="B59" s="7" t="inlineStr">
        <is>
          <t>SCR-CRT-06-SC1</t>
        </is>
      </c>
      <c r="C59" s="7" t="inlineStr">
        <is>
          <t>SCR-CRT-06</t>
        </is>
      </c>
      <c r="D59" s="7" t="inlineStr">
        <is>
          <t>CT - Cart</t>
        </is>
      </c>
      <c r="E59" s="7" t="inlineStr">
        <is>
          <t>CT-07</t>
        </is>
      </c>
      <c r="F59" s="7" t="inlineStr">
        <is>
          <t>Normal</t>
        </is>
      </c>
      <c r="G59" s="7" t="inlineStr">
        <is>
          <t>Doi store trong Cart KHONG gay anh huong gi (khong san pham/dich vu nao bi anh huong) - doi ngay khong can xac nhan.</t>
        </is>
      </c>
      <c r="H59" s="7" t="inlineStr">
        <is>
          <t>Chon 1 store moi ma toan bo san pham/dich vu/slot van giu nguyen gia tri hop le.</t>
        </is>
      </c>
      <c r="I59" s="7" t="inlineStr">
        <is>
          <t>Danh sach store trong Cart da duoc loc chi con store phuc vu duoc dia chi hien tai.</t>
        </is>
      </c>
      <c r="J59" s="7" t="inlineStr">
        <is>
          <t>Vi khong co anh huong o ca 2 nhom (san pham, dich vu/slot), store DUOC DOI NGAY, khong hien dialog canh bao.</t>
        </is>
      </c>
      <c r="K59" s="7" t="inlineStr">
        <is>
          <t>Chi khi co anh huong moi can xac nhan - truong hop nay khong co anh huong nen doi truc tiep.</t>
        </is>
      </c>
      <c r="L59" s="7" t="n"/>
      <c r="M59" s="7" t="n"/>
    </row>
    <row r="60" ht="46" customHeight="1">
      <c r="A60" s="7" t="n">
        <v>58</v>
      </c>
      <c r="B60" s="7" t="inlineStr">
        <is>
          <t>SCR-CRT-06-SC2</t>
        </is>
      </c>
      <c r="C60" s="7" t="inlineStr">
        <is>
          <t>SCR-CRT-06</t>
        </is>
      </c>
      <c r="D60" s="7" t="inlineStr">
        <is>
          <t>CT - Cart</t>
        </is>
      </c>
      <c r="E60" s="7" t="inlineStr">
        <is>
          <t>CT-07</t>
        </is>
      </c>
      <c r="F60" s="7" t="inlineStr">
        <is>
          <t>Edge</t>
        </is>
      </c>
      <c r="G60" s="7" t="inlineStr">
        <is>
          <t>Doi store gay anh huong ca 2 nhom (gia doi/het hang VA dich vu/slot doi) - hien 1 canh bao gop cho ca 2, Continue ap dung thay doi.</t>
        </is>
      </c>
      <c r="H60" s="7" t="inlineStr">
        <is>
          <t>Chon store moi lam 1 SKU het hang, 1 SKU doi gia, VA doi khu vuc dich vu.</t>
        </is>
      </c>
      <c r="I60" s="7" t="inlineStr">
        <is>
          <t>Store moi anh huong dong thoi san pham va dich vu/slot cua gio hang hien tai.</t>
        </is>
      </c>
      <c r="J60" s="7" t="inlineStr">
        <is>
          <t>Chi hien 1 dialog canh bao GOP liet ke toan bo anh huong (khong tach rieng 2 dialog); bam Continue: san pham khong con ban duoc/het hang chuyen sang nhom rieng, san pham doi gia duoc cap nhat gia moi, dich vu/slot duoc goi y lai theo quy tac chuan (BRL-25...27).</t>
        </is>
      </c>
      <c r="K60" s="7" t="inlineStr">
        <is>
          <t>Canh bao phai gop toan bo anh huong vao 1 lan xac nhan duy nhat.</t>
        </is>
      </c>
      <c r="L60" s="7" t="inlineStr">
        <is>
          <t>QnA-25</t>
        </is>
      </c>
      <c r="M60" s="7" t="inlineStr">
        <is>
          <t>Bo cuc chi tiet cua canh bao khi nhieu nhom anh huong xay ra cung luc van la OQ-25/QnA-25 - day la item cuoi cung con chan bo man hinh Cart.</t>
        </is>
      </c>
    </row>
    <row r="61" ht="46" customHeight="1">
      <c r="A61" s="7" t="n">
        <v>59</v>
      </c>
      <c r="B61" s="7" t="inlineStr">
        <is>
          <t>SCR-CRT-06-SC3</t>
        </is>
      </c>
      <c r="C61" s="7" t="inlineStr">
        <is>
          <t>SCR-CRT-06</t>
        </is>
      </c>
      <c r="D61" s="7" t="inlineStr">
        <is>
          <t>CT - Cart</t>
        </is>
      </c>
      <c r="E61" s="7" t="inlineStr">
        <is>
          <t>CT-07</t>
        </is>
      </c>
      <c r="F61" s="7" t="inlineStr">
        <is>
          <t>Negative</t>
        </is>
      </c>
      <c r="G61" s="7" t="inlineStr">
        <is>
          <t>Bam Cancel tren canh bao doi store giu nguyen store cu va KHONG thay doi gi trong gio hang.</t>
        </is>
      </c>
      <c r="H61" s="7" t="inlineStr">
        <is>
          <t>Bam Cancel tren dialog canh bao gop.</t>
        </is>
      </c>
      <c r="I61" s="7" t="inlineStr">
        <is>
          <t>Dialog canh bao doi store dang hien thi (tu SC2).</t>
        </is>
      </c>
      <c r="J61" s="7" t="inlineStr">
        <is>
          <t>Store cu duoc GIU NGUYEN, toan bo san pham/dich vu/slot trong gio hang KHONG bi thay doi du chi 1 chi tiet nho.</t>
        </is>
      </c>
      <c r="K61" s="7" t="inlineStr">
        <is>
          <t>Cancel phai la roll-back hoan toan, khong ap dung 1 phan thay doi nao.</t>
        </is>
      </c>
      <c r="L61" s="7" t="n"/>
      <c r="M61" s="7" t="n"/>
    </row>
    <row r="62" ht="46" customHeight="1">
      <c r="A62" s="7" t="n">
        <v>60</v>
      </c>
      <c r="B62" s="7" t="inlineStr">
        <is>
          <t>SCR-CRT-07-SC1</t>
        </is>
      </c>
      <c r="C62" s="7" t="inlineStr">
        <is>
          <t>SCR-CRT-07</t>
        </is>
      </c>
      <c r="D62" s="7" t="inlineStr">
        <is>
          <t>CT - Cart</t>
        </is>
      </c>
      <c r="E62" s="7" t="inlineStr">
        <is>
          <t>CT-08</t>
        </is>
      </c>
      <c r="F62" s="7" t="inlineStr">
        <is>
          <t>Functional</t>
        </is>
      </c>
      <c r="G62" s="7" t="inlineStr">
        <is>
          <t>Khach CHUA chu dong doi slot o Homepage: he thong goi y slot theo thu tu som nhat &gt; quen thuoc &gt; tich diem.</t>
        </is>
      </c>
      <c r="H62" s="7" t="inlineStr">
        <is>
          <t>Mo sheet chon slot ma chua tung doi slot o Homepage.</t>
        </is>
      </c>
      <c r="I62" s="7" t="inlineStr">
        <is>
          <t>Khach chua tung chu dong chon slot khac o Homepage cho phien nay.</t>
        </is>
      </c>
      <c r="J62" s="7" t="inlineStr">
        <is>
          <t>Slot SOM NHAT tai store duoc goi y dau tien (BRL-25); cac slot khac sap xep theo thu tu: slot quen thuoc &gt; slot som nhat &gt; slot tich diem (BRL-27).</t>
        </is>
      </c>
      <c r="K62" s="7" t="inlineStr">
        <is>
          <t>Dung thu tu uu tien khi khach chua chu dong doi slot.</t>
        </is>
      </c>
      <c r="L62" s="7" t="n"/>
      <c r="M62" s="7" t="n"/>
    </row>
    <row r="63" ht="46" customHeight="1">
      <c r="A63" s="7" t="n">
        <v>61</v>
      </c>
      <c r="B63" s="7" t="inlineStr">
        <is>
          <t>SCR-CRT-07-SC2</t>
        </is>
      </c>
      <c r="C63" s="7" t="inlineStr">
        <is>
          <t>SCR-CRT-07</t>
        </is>
      </c>
      <c r="D63" s="7" t="inlineStr">
        <is>
          <t>CT - Cart</t>
        </is>
      </c>
      <c r="E63" s="7" t="inlineStr">
        <is>
          <t>CT-08</t>
        </is>
      </c>
      <c r="F63" s="7" t="inlineStr">
        <is>
          <t>Functional</t>
        </is>
      </c>
      <c r="G63" s="7" t="inlineStr">
        <is>
          <t>Khach DA chu dong chon slot o Homepage: slot 'quen thuoc' duoc goi y truoc tien thay vi slot som nhat.</t>
        </is>
      </c>
      <c r="H63" s="7" t="inlineStr">
        <is>
          <t>Mo sheet chon slot sau khi da tung chu dong doi slot tren Homepage.</t>
        </is>
      </c>
      <c r="I63" s="7" t="inlineStr">
        <is>
          <t>Khach da chu dong chon 1 slot khac tren Homepage truoc khi vao Cart.</t>
        </is>
      </c>
      <c r="J63" s="7" t="inlineStr">
        <is>
          <t>Slot 'quen thuoc' (khung gio chiem ty le lon nhat trong 2 thang gan nhat, tinh rieng theo tung dia chi, tren tat ca cac store) duoc goi y TRUOC, sau do moi den slot som nhat (BRL-26/27).</t>
        </is>
      </c>
      <c r="K63" s="7" t="inlineStr">
        <is>
          <t>Thu tu uu tien phai dao nguoc so voi SC1 khi khach da tung chu dong chon.</t>
        </is>
      </c>
      <c r="L63" s="7" t="n"/>
      <c r="M63" s="7" t="n"/>
    </row>
    <row r="64" ht="46" customHeight="1">
      <c r="A64" s="7" t="n">
        <v>62</v>
      </c>
      <c r="B64" s="7" t="inlineStr">
        <is>
          <t>SCR-CHK-01-SC1</t>
        </is>
      </c>
      <c r="C64" s="7" t="inlineStr">
        <is>
          <t>SCR-CHK-01</t>
        </is>
      </c>
      <c r="D64" s="7" t="inlineStr">
        <is>
          <t>CO - Checkout</t>
        </is>
      </c>
      <c r="E64" s="7" t="inlineStr">
        <is>
          <t>CO-01</t>
        </is>
      </c>
      <c r="F64" s="7" t="inlineStr">
        <is>
          <t>Normal</t>
        </is>
      </c>
      <c r="G64" s="7" t="inlineStr">
        <is>
          <t>Toan bo thong tin giao hang va danh sach san pham la READ-ONLY, sua doi phai quay lai Cart.</t>
        </is>
      </c>
      <c r="H64" s="7" t="inlineStr">
        <is>
          <t>Thu cham vao khoi dia chi/store/slot va vao danh sach san pham.</t>
        </is>
      </c>
      <c r="I64" s="7" t="inlineStr">
        <is>
          <t>Vua bam Proceed to Checkout tu Cart voi don hang hop le.</t>
        </is>
      </c>
      <c r="J64" s="7" t="inlineStr">
        <is>
          <t>Khong co dieu khien sua truc tiep nao tren khoi giao hang/danh sach san pham; cham vao 1 phan tu bi khoa se giai thich quy tac va dua ve lai Cart, GIU NGUYEN toan bo lua chon truoc do khi quay lai (BRL-31).</t>
        </is>
      </c>
      <c r="K64" s="7" t="inlineStr">
        <is>
          <t>Order phai that su khong sua duoc tai Checkout (BR-09) - moi thay doi bat buoc quay lai Cart.</t>
        </is>
      </c>
      <c r="L64" s="7" t="n"/>
      <c r="M64" s="7" t="n"/>
    </row>
    <row r="65" ht="46" customHeight="1">
      <c r="A65" s="7" t="n">
        <v>63</v>
      </c>
      <c r="B65" s="7" t="inlineStr">
        <is>
          <t>SCR-CHK-01-SC2</t>
        </is>
      </c>
      <c r="C65" s="7" t="inlineStr">
        <is>
          <t>SCR-CHK-01</t>
        </is>
      </c>
      <c r="D65" s="7" t="inlineStr">
        <is>
          <t>CO - Checkout</t>
        </is>
      </c>
      <c r="E65" s="7" t="inlineStr">
        <is>
          <t>CO-01</t>
        </is>
      </c>
      <c r="F65" s="7" t="inlineStr">
        <is>
          <t>Functional</t>
        </is>
      </c>
      <c r="G65" s="7" t="inlineStr">
        <is>
          <t>Chuyen doi Detail/Compact cho danh sach san pham don hang lon - chi la hien thi, khong doi don hang.</t>
        </is>
      </c>
      <c r="H65" s="7" t="inlineStr">
        <is>
          <t>Bam toggle tu Detail sang Compact roi nguoc lai.</t>
        </is>
      </c>
      <c r="I65" s="7" t="inlineStr">
        <is>
          <t>Don hang co nhieu san pham (vi du &gt;=10 SKU).</t>
        </is>
      </c>
      <c r="J65" s="7" t="inlineStr">
        <is>
          <t>Compact hien dang luoi 1 dong/nhieu san pham cho moi hang (chi anh, so luong); Detail hien day du anh/gia/so luong; chuyen qua lai KHONG lam thay doi noi dung don hang.</t>
        </is>
      </c>
      <c r="K65" s="7" t="inlineStr">
        <is>
          <t>Toggle chi la hien thi, hoan toan khong tac dong den du lieu don hang.</t>
        </is>
      </c>
      <c r="L65" s="7" t="n"/>
      <c r="M65" s="7" t="n"/>
    </row>
    <row r="66" ht="46" customHeight="1">
      <c r="A66" s="7" t="n">
        <v>64</v>
      </c>
      <c r="B66" s="7" t="inlineStr">
        <is>
          <t>SCR-CHK-01-SC3</t>
        </is>
      </c>
      <c r="C66" s="7" t="inlineStr">
        <is>
          <t>SCR-CHK-01</t>
        </is>
      </c>
      <c r="D66" s="7" t="inlineStr">
        <is>
          <t>CO - Checkout</t>
        </is>
      </c>
      <c r="E66" s="7" t="inlineStr">
        <is>
          <t>CO-02</t>
        </is>
      </c>
      <c r="F66" s="7" t="inlineStr">
        <is>
          <t>Functional</t>
        </is>
      </c>
      <c r="G66" s="7" t="inlineStr">
        <is>
          <t>Nhap ghi chu don hang va chon tuy chon thong bao khi het hang.</t>
        </is>
      </c>
      <c r="H66" s="7" t="inlineStr">
        <is>
          <t>Nhap ghi chu tu do, chon 1 tuy chon xu ly khi het hang.</t>
        </is>
      </c>
      <c r="I66" s="7" t="inlineStr">
        <is>
          <t>Dang o SCR-CHK-01.</t>
        </is>
      </c>
      <c r="J66" s="7" t="inlineStr">
        <is>
          <t>Ghi chu tu do o cap DON HANG (khong phai tung san pham); tuy chon uu tien khi het hang (vi du: goi dien xac nhan / tu dong thay the / huy san pham do) duoc luu kem don.</t>
        </is>
      </c>
      <c r="K66" s="7" t="inlineStr">
        <is>
          <t>Ca 2 truong deu la input hop le, khong bat buoc.</t>
        </is>
      </c>
      <c r="L66" s="7" t="n"/>
      <c r="M66" s="7" t="n"/>
    </row>
    <row r="67" ht="46" customHeight="1">
      <c r="A67" s="7" t="n">
        <v>65</v>
      </c>
      <c r="B67" s="7" t="inlineStr">
        <is>
          <t>SCR-CHK-01-SC4</t>
        </is>
      </c>
      <c r="C67" s="7" t="inlineStr">
        <is>
          <t>SCR-CHK-01</t>
        </is>
      </c>
      <c r="D67" s="7" t="inlineStr">
        <is>
          <t>CO - Checkout</t>
        </is>
      </c>
      <c r="E67" s="7" t="inlineStr">
        <is>
          <t>CO-03</t>
        </is>
      </c>
      <c r="F67" s="7" t="inlineStr">
        <is>
          <t>Functional</t>
        </is>
      </c>
      <c r="G67" s="7" t="inlineStr">
        <is>
          <t>Chon dong goi carton - phi ap dung (neu co) chua duoc xac nhan chinh thuc.</t>
        </is>
      </c>
      <c r="H67" s="7" t="inlineStr">
        <is>
          <t>Bat tuy chon dong goi carton.</t>
        </is>
      </c>
      <c r="I67" s="7" t="inlineStr">
        <is>
          <t>Dang o SCR-CHK-01.</t>
        </is>
      </c>
      <c r="J67" s="7" t="inlineStr">
        <is>
          <t>Tuy chon dong goi carton duoc ghi nhan vao don; muc phi tuong ung (neu co) hien trong tom tat thanh toan o SCR-CHK-02 nhung gia tri CHINH XAC dang cho LOTTE MART xac nhan (OQ-16).</t>
        </is>
      </c>
      <c r="K67" s="7" t="inlineStr">
        <is>
          <t>TBD ve gia tri phi cu the - chi xac nhan tuy chon duoc ghi nhan dung, khong assert so tien co dinh.</t>
        </is>
      </c>
      <c r="L67" s="7" t="inlineStr">
        <is>
          <t>QnA-16</t>
        </is>
      </c>
      <c r="M67" s="7" t="n"/>
    </row>
    <row r="68" ht="46" customHeight="1">
      <c r="A68" s="7" t="n">
        <v>66</v>
      </c>
      <c r="B68" s="7" t="inlineStr">
        <is>
          <t>SCR-CHK-02-SC1</t>
        </is>
      </c>
      <c r="C68" s="7" t="inlineStr">
        <is>
          <t>SCR-CHK-02</t>
        </is>
      </c>
      <c r="D68" s="7" t="inlineStr">
        <is>
          <t>CO - Checkout</t>
        </is>
      </c>
      <c r="E68" s="7" t="inlineStr">
        <is>
          <t>CO-04</t>
        </is>
      </c>
      <c r="F68" s="7" t="inlineStr">
        <is>
          <t>Functional</t>
        </is>
      </c>
      <c r="G68" s="7" t="inlineStr">
        <is>
          <t>Nhap ma GotIt/gift card hop le va ap dung vao tong don.</t>
        </is>
      </c>
      <c r="H68" s="7" t="inlineStr">
        <is>
          <t>Nhap ma qua tang hop le (nhap tay hoac quet ma).</t>
        </is>
      </c>
      <c r="I68" s="7" t="inlineStr">
        <is>
          <t>Dang o SCR-CHK-02, don hang chua ap dung gift card.</t>
        </is>
      </c>
      <c r="J68" s="7" t="inlineStr">
        <is>
          <t>Gia tri the duoc TRU vao tong tien phai tra, hien 1 dong rieng trong tom tat thanh toan; nhap tay va quet ma deu cho ket qua giong nhau khi cung 1 ma hop le.</t>
        </is>
      </c>
      <c r="K68" s="7" t="inlineStr">
        <is>
          <t>Ap dung gift card dung, phan anh dung vao tong tien cuoi.</t>
        </is>
      </c>
      <c r="L68" s="7" t="n"/>
      <c r="M68" s="7" t="n"/>
    </row>
    <row r="69" ht="46" customHeight="1">
      <c r="A69" s="7" t="n">
        <v>67</v>
      </c>
      <c r="B69" s="7" t="inlineStr">
        <is>
          <t>SCR-CHK-02-SC2</t>
        </is>
      </c>
      <c r="C69" s="7" t="inlineStr">
        <is>
          <t>SCR-CHK-02</t>
        </is>
      </c>
      <c r="D69" s="7" t="inlineStr">
        <is>
          <t>CO - Checkout</t>
        </is>
      </c>
      <c r="E69" s="7" t="inlineStr">
        <is>
          <t>CO-05</t>
        </is>
      </c>
      <c r="F69" s="7" t="inlineStr">
        <is>
          <t>Functional</t>
        </is>
      </c>
      <c r="G69" s="7" t="inlineStr">
        <is>
          <t>Coupon da ap dung o Cart duoc hien lai o Checkout, tach thanh 2 nhom rieng de xac nhan.</t>
        </is>
      </c>
      <c r="H69" s="7" t="inlineStr">
        <is>
          <t>Xem lai danh sach coupon tai Checkout.</t>
        </is>
      </c>
      <c r="I69" s="7" t="inlineStr">
        <is>
          <t>Da co coupon giao hang VA coupon san pham duoc tu dong ap dung tu Cart.</t>
        </is>
      </c>
      <c r="J69" s="7" t="inlineStr">
        <is>
          <t>2 nhom hien RIENG BIET: nhom coupon giao hang va nhom coupon don/san pham, moi nhom neu ro so tien giam va ly do; day chi la man hinh XAC NHAN lai (khong the go bo coupon tai day).</t>
        </is>
      </c>
      <c r="K69" s="7" t="inlineStr">
        <is>
          <t>Phan nhom dung theo BRL-32, khong tron lan 2 loai coupon.</t>
        </is>
      </c>
      <c r="L69" s="7" t="inlineStr">
        <is>
          <t>QnA-17</t>
        </is>
      </c>
      <c r="M69" s="7" t="inlineStr">
        <is>
          <t>Danh muc day du cac loai khuyen mai can hien thi van la OQ-17/QnA-17.</t>
        </is>
      </c>
    </row>
    <row r="70" ht="46" customHeight="1">
      <c r="A70" s="7" t="n">
        <v>68</v>
      </c>
      <c r="B70" s="7" t="inlineStr">
        <is>
          <t>SCR-CHK-02-SC3</t>
        </is>
      </c>
      <c r="C70" s="7" t="inlineStr">
        <is>
          <t>SCR-CHK-02</t>
        </is>
      </c>
      <c r="D70" s="7" t="inlineStr">
        <is>
          <t>CO - Checkout</t>
        </is>
      </c>
      <c r="E70" s="7" t="inlineStr">
        <is>
          <t>CO-05</t>
        </is>
      </c>
      <c r="F70" s="7" t="inlineStr">
        <is>
          <t>Boundary</t>
        </is>
      </c>
      <c r="G70" s="7" t="inlineStr">
        <is>
          <t>Su dung diem thuong: nhap 1 so tien cu the, hoac ap dung toan bo diem trong 1 lan cham.</t>
        </is>
      </c>
      <c r="H70" s="7" t="inlineStr">
        <is>
          <t>Nhap so diem tuy y; roi thu lai voi nut 'Dung toan bo diem'.</t>
        </is>
      </c>
      <c r="I70" s="7" t="inlineStr">
        <is>
          <t>Tai khoan co du diem thuong kha dung.</t>
        </is>
      </c>
      <c r="J70" s="7" t="inlineStr">
        <is>
          <t>Nhap tay 1 gia tri hop le (&lt;=so diem hien co) duoc chap nhan va tru vao tong tien; nut ap dung toan bo diem trong 1 lan cham ap dung dung toan bo so du hien co, khong can nhap tay.</t>
        </is>
      </c>
      <c r="K70" s="7" t="inlineStr">
        <is>
          <t>Ca 2 cach nhap diem deu phai cho ket qua tru tien chinh xac.</t>
        </is>
      </c>
      <c r="L70" s="7" t="inlineStr">
        <is>
          <t>QnA-20</t>
        </is>
      </c>
      <c r="M70" s="7" t="inlineStr">
        <is>
          <t>Viec co hien thi so diem SE duoc tich sau don hang hay khong van la OQ-20/QnA-20.</t>
        </is>
      </c>
    </row>
    <row r="71" ht="46" customHeight="1">
      <c r="A71" s="7" t="n">
        <v>69</v>
      </c>
      <c r="B71" s="7" t="inlineStr">
        <is>
          <t>SCR-CHK-02-SC4</t>
        </is>
      </c>
      <c r="C71" s="7" t="inlineStr">
        <is>
          <t>SCR-CHK-02</t>
        </is>
      </c>
      <c r="D71" s="7" t="inlineStr">
        <is>
          <t>CO - Checkout</t>
        </is>
      </c>
      <c r="E71" s="7" t="inlineStr">
        <is>
          <t>CO-06</t>
        </is>
      </c>
      <c r="F71" s="7" t="inlineStr">
        <is>
          <t>Functional</t>
        </is>
      </c>
      <c r="G71" s="7" t="inlineStr">
        <is>
          <t>BNPL da chon o Cart duoc mang sang Checkout, moi phuong thuc mang badge khuyen mai rieng.</t>
        </is>
      </c>
      <c r="H71" s="7" t="inlineStr">
        <is>
          <t>Xem danh sach phuong thuc thanh toan tai Checkout.</t>
        </is>
      </c>
      <c r="I71" s="7" t="inlineStr">
        <is>
          <t>Da chon BNPL lam phuong thuc thanh toan trong Cart.</t>
        </is>
      </c>
      <c r="J71" s="7" t="inlineStr">
        <is>
          <t>BNPL da duoc PRE-SELECTED san khi vao Checkout (khong phai chon lai); moi phuong thuc (MoMo/ZaloPay/the/BNPL) co the mang 1 badge khuyen mai rieng cua no (BRL-33).</t>
        </is>
      </c>
      <c r="K71" s="7" t="inlineStr">
        <is>
          <t>Carry-over dung phuong thuc da chon o Cart.</t>
        </is>
      </c>
      <c r="L71" s="7" t="inlineStr">
        <is>
          <t>QnA-35</t>
        </is>
      </c>
      <c r="M71" s="7" t="inlineStr">
        <is>
          <t>Ten thuong mai chinh thuc cua BNPL (vi du 'Lotte Flex' xuat hien tren Figma) chua duoc xac nhan trong SRS - QnA-35.</t>
        </is>
      </c>
    </row>
    <row r="72" ht="46" customHeight="1">
      <c r="A72" s="7" t="n">
        <v>70</v>
      </c>
      <c r="B72" s="7" t="inlineStr">
        <is>
          <t>SCR-CHK-02-SC5</t>
        </is>
      </c>
      <c r="C72" s="7" t="inlineStr">
        <is>
          <t>SCR-CHK-02</t>
        </is>
      </c>
      <c r="D72" s="7" t="inlineStr">
        <is>
          <t>CO - Checkout</t>
        </is>
      </c>
      <c r="E72" s="7" t="inlineStr">
        <is>
          <t>CO-08, CO-10</t>
        </is>
      </c>
      <c r="F72" s="7" t="inlineStr">
        <is>
          <t>Functional</t>
        </is>
      </c>
      <c r="G72" s="7" t="inlineStr">
        <is>
          <t>Tom tat thanh toan cuoi cung liet ke DU tat ca cac dong (ke ca dong = 0) va Dat hang thanh cong.</t>
        </is>
      </c>
      <c r="H72" s="7" t="inlineStr">
        <is>
          <t>Xem tom tat thanh toan roi bam Dat hang.</t>
        </is>
      </c>
      <c r="I72" s="7" t="inlineStr">
        <is>
          <t>Don hang hop le, day du thong tin bat buoc (dia chi/store/slot, thanh toan).</t>
        </is>
      </c>
      <c r="J72" s="7" t="inlineStr">
        <is>
          <t>Tom tat hien du: gia tri don hang, phi nylon, phi giao hang, phu phi bulky (neu co), giam gia san pham, giam gia giao hang, so tien phai tra, diem du kien duoc cong - MOI dong deu hien ke ca khi bang 0 (de doi soat duoc); bam Dat hang commit don thanh cong va ket thuc pham vi tai lieu nay (CO-10).</t>
        </is>
      </c>
      <c r="K72" s="7" t="inlineStr">
        <is>
          <t>Tinh du hang muc, khong an dong nao du gia tri = 0.</t>
        </is>
      </c>
      <c r="L72" s="7" t="n"/>
      <c r="M72" s="7" t="n"/>
    </row>
    <row r="73" ht="46" customHeight="1">
      <c r="A73" s="7" t="n">
        <v>71</v>
      </c>
      <c r="B73" s="7" t="inlineStr">
        <is>
          <t>SCR-CHK-03-SC1</t>
        </is>
      </c>
      <c r="C73" s="7" t="inlineStr">
        <is>
          <t>SCR-CHK-03</t>
        </is>
      </c>
      <c r="D73" s="7" t="inlineStr">
        <is>
          <t>CO - Checkout</t>
        </is>
      </c>
      <c r="E73" s="7" t="inlineStr">
        <is>
          <t>CO-01</t>
        </is>
      </c>
      <c r="F73" s="7" t="inlineStr">
        <is>
          <t>Functional</t>
        </is>
      </c>
      <c r="G73" s="7" t="inlineStr">
        <is>
          <t>Bien the Pickup: khoi thu thap thay the khoi giao hang, khong co phi giao hang.</t>
        </is>
      </c>
      <c r="H73" s="7" t="inlineStr">
        <is>
          <t>Xem SCR-CHK-03 cho 1 don Pickup.</t>
        </is>
      </c>
      <c r="I73" s="7" t="inlineStr">
        <is>
          <t>Don hang duoc tao tu nhanh Pickup trong Cart.</t>
        </is>
      </c>
      <c r="J73" s="7" t="inlineStr">
        <is>
          <t>Khoi 'thu thap' hien: store, dia chi, khoang cach, khung gio den lay (khoa read-only nhu moi truong o khac); KHONG co dong phi giao hang trong tom tat (freeship threshold va coupon giao hang khong ap dung); phu phi bulky (neu co) van ap dung.</t>
        </is>
      </c>
      <c r="K73" s="7" t="inlineStr">
        <is>
          <t>Pickup phai loai bo hoan toan phi giao hang khoi tom tat, khong hien 0d ma la an dong do.</t>
        </is>
      </c>
      <c r="L73" s="7" t="n"/>
      <c r="M73" s="7" t="n"/>
    </row>
    <row r="74" ht="46" customHeight="1">
      <c r="A74" s="7" t="n">
        <v>72</v>
      </c>
      <c r="B74" s="7" t="inlineStr">
        <is>
          <t>SCR-CHK-03-SC2</t>
        </is>
      </c>
      <c r="C74" s="7" t="inlineStr">
        <is>
          <t>SCR-CHK-03</t>
        </is>
      </c>
      <c r="D74" s="7" t="inlineStr">
        <is>
          <t>CO - Checkout</t>
        </is>
      </c>
      <c r="E74" s="7" t="inlineStr">
        <is>
          <t>CO-01, CT-09</t>
        </is>
      </c>
      <c r="F74" s="7" t="inlineStr">
        <is>
          <t>Boundary</t>
        </is>
      </c>
      <c r="G74" s="7" t="inlineStr">
        <is>
          <t>Tuy chon tien mat khi Pickup chi hien voi tai khoan du dieu kien tier (Platinum/Diamond).</t>
        </is>
      </c>
      <c r="H74" s="7" t="inlineStr">
        <is>
          <t>Kiem tra danh sach phuong thuc thanh toan cho 2 tai khoan khac tier.</t>
        </is>
      </c>
      <c r="I74" s="7" t="inlineStr">
        <is>
          <t>Don Pickup, 2 tai khoan test: 1 Platinum, 1 tier thuong.</t>
        </is>
      </c>
      <c r="J74" s="7" t="inlineStr">
        <is>
          <t>Voi tai khoan Platinum: tien mat hien va chon duoc. Voi tai khoan tier thuong: tien mat KHONG hien trong danh sach phuong thuc.</t>
        </is>
      </c>
      <c r="K74" s="7" t="inlineStr">
        <is>
          <t>Dong bo voi hanh vi da kiem tra o SCR-CRT-04-SC2 (Cart) - Checkout phai nhat quan voi Cart.</t>
        </is>
      </c>
      <c r="L74" s="7" t="n"/>
      <c r="M74" s="7" t="n"/>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6"/>
  <sheetViews>
    <sheetView showGridLines="0" workbookViewId="0">
      <pane ySplit="2" topLeftCell="A3" activePane="bottomLeft" state="frozen"/>
      <selection pane="bottomLeft" activeCell="A1" sqref="A1"/>
    </sheetView>
  </sheetViews>
  <sheetFormatPr baseColWidth="8" defaultRowHeight="15"/>
  <cols>
    <col width="22" customWidth="1" min="1" max="1"/>
    <col width="20" customWidth="1" min="2" max="2"/>
    <col width="14" customWidth="1" min="3" max="3"/>
    <col width="20" customWidth="1" min="4" max="4"/>
    <col width="12" customWidth="1" min="5" max="5"/>
    <col width="38" customWidth="1" min="6" max="6"/>
    <col width="30" customWidth="1" min="7" max="7"/>
    <col width="48" customWidth="1" min="8" max="8"/>
    <col width="26" customWidth="1" min="9" max="9"/>
    <col width="48" customWidth="1" min="10" max="10"/>
    <col width="10" customWidth="1" min="11" max="11"/>
    <col width="14" customWidth="1" min="12" max="12"/>
    <col width="12" customWidth="1" min="13" max="13"/>
    <col width="10" customWidth="1" min="14" max="14"/>
    <col width="12" customWidth="1" min="15" max="15"/>
    <col width="12" customWidth="1" min="16" max="16"/>
    <col width="40" customWidth="1" min="17" max="17"/>
    <col width="50" customWidth="1" min="18" max="18"/>
  </cols>
  <sheetData>
    <row r="1">
      <c r="A1" s="1" t="inlineStr">
        <is>
          <t>Simplify Checkout — Functional Detailed Test Cases (rooted in Functional Test Scenarios)</t>
        </is>
      </c>
    </row>
    <row r="2">
      <c r="A2" s="6" t="inlineStr">
        <is>
          <t>Test Case ID</t>
        </is>
      </c>
      <c r="B2" s="6" t="inlineStr">
        <is>
          <t>Parent Scenario ID</t>
        </is>
      </c>
      <c r="C2" s="6" t="inlineStr">
        <is>
          <t>Screen ID</t>
        </is>
      </c>
      <c r="D2" s="6" t="inlineStr">
        <is>
          <t>REQ ID (SRS)</t>
        </is>
      </c>
      <c r="E2" s="6" t="inlineStr">
        <is>
          <t>Test Case Type</t>
        </is>
      </c>
      <c r="F2" s="6" t="inlineStr">
        <is>
          <t>Test Case Title</t>
        </is>
      </c>
      <c r="G2" s="6" t="inlineStr">
        <is>
          <t>Preconditions</t>
        </is>
      </c>
      <c r="H2" s="6" t="inlineStr">
        <is>
          <t>Test Steps</t>
        </is>
      </c>
      <c r="I2" s="6" t="inlineStr">
        <is>
          <t>Test Data</t>
        </is>
      </c>
      <c r="J2" s="6" t="inlineStr">
        <is>
          <t>Expected Result</t>
        </is>
      </c>
      <c r="K2" s="6" t="inlineStr">
        <is>
          <t>Priority</t>
        </is>
      </c>
      <c r="L2" s="6" t="inlineStr">
        <is>
          <t>Actual Result</t>
        </is>
      </c>
      <c r="M2" s="6" t="inlineStr">
        <is>
          <t>Pass/Fail Status</t>
        </is>
      </c>
      <c r="N2" s="6" t="inlineStr">
        <is>
          <t>Tester</t>
        </is>
      </c>
      <c r="O2" s="6" t="inlineStr">
        <is>
          <t>Test Date</t>
        </is>
      </c>
      <c r="P2" s="6" t="inlineStr">
        <is>
          <t>QnA Ref</t>
        </is>
      </c>
      <c r="Q2" s="6" t="inlineStr">
        <is>
          <t>Comments</t>
        </is>
      </c>
      <c r="R2" s="6" t="inlineStr">
        <is>
          <t>Ghi chu Review (QC)</t>
        </is>
      </c>
    </row>
    <row r="3" ht="70" customHeight="1">
      <c r="A3" s="7" t="inlineStr">
        <is>
          <t>SCR-ONB-01-SC1-TC1</t>
        </is>
      </c>
      <c r="B3" s="7" t="inlineStr">
        <is>
          <t>SCR-ONB-01-SC1</t>
        </is>
      </c>
      <c r="C3" s="7" t="inlineStr">
        <is>
          <t>SCR-ONB-01</t>
        </is>
      </c>
      <c r="D3" s="7" t="inlineStr">
        <is>
          <t>ONB-01</t>
        </is>
      </c>
      <c r="E3" s="7" t="inlineStr">
        <is>
          <t>Functional</t>
        </is>
      </c>
      <c r="F3" s="7" t="inlineStr">
        <is>
          <t>Chon tung ngon ngu trong 3 ngon ngu re-render giao dien ngay lap tuc</t>
        </is>
      </c>
      <c r="G3" s="7" t="inlineStr">
        <is>
          <t>App vua duoc cai dat / vua xoa du lieu, dang o man hinh chon ngon ngu dau tien.</t>
        </is>
      </c>
      <c r="H3" s="7" t="inlineStr">
        <is>
          <t>1. Mo app lan dau.
2. Quan sat ngon ngu mac dinh duoc chon san theo locale thiet bi.
3. Cham chon 'English'. Quan sat toan bo nhan tren man hinh doi sang tieng Anh.
4. Cham chon '한국어', quan sat lai doi sang tieng Han.
5. Cham 'Continue'.</t>
        </is>
      </c>
      <c r="I3" s="7" t="inlineStr">
        <is>
          <t>Thiet bi test co locale he thong = vi-VN.</t>
        </is>
      </c>
      <c r="J3" s="7" t="inlineStr">
        <is>
          <t>O buoc 2, ung voi locale vi-VN thi 'Tieng Viet' duoc chon san. O buoc 3-4, toan bo nhan doi ngon ngu ngay khi cham chon, truoc khi bam Continue. Continue luon bam duoc. Sau Continue, chuyen sang SCR-ONB-02.</t>
        </is>
      </c>
      <c r="K3" s="7" t="inlineStr">
        <is>
          <t>High</t>
        </is>
      </c>
      <c r="L3" s="8" t="n"/>
      <c r="M3" s="8" t="inlineStr">
        <is>
          <t>Not Run</t>
        </is>
      </c>
      <c r="N3" s="8" t="n"/>
      <c r="O3" s="8" t="n"/>
      <c r="P3" s="7" t="n"/>
      <c r="Q3" s="7" t="n"/>
      <c r="R3" s="7" t="n"/>
    </row>
    <row r="4" ht="70" customHeight="1">
      <c r="A4" s="7" t="inlineStr">
        <is>
          <t>SCR-ONB-01-SC1-TC2</t>
        </is>
      </c>
      <c r="B4" s="7" t="inlineStr">
        <is>
          <t>SCR-ONB-01-SC1</t>
        </is>
      </c>
      <c r="C4" s="7" t="inlineStr">
        <is>
          <t>SCR-ONB-01</t>
        </is>
      </c>
      <c r="D4" s="7" t="inlineStr">
        <is>
          <t>ONB-01</t>
        </is>
      </c>
      <c r="E4" s="7" t="inlineStr">
        <is>
          <t>Boundary</t>
        </is>
      </c>
      <c r="F4" s="7" t="inlineStr">
        <is>
          <t>Locale thiet bi khong khop VN/EN/KR thi mac dinh Tieng Viet</t>
        </is>
      </c>
      <c r="G4" s="7" t="inlineStr">
        <is>
          <t>App vua duoc cai dat, thiet bi dat locale he thong la mot ngon ngu khac (vi du fr-FR).</t>
        </is>
      </c>
      <c r="H4" s="7" t="inlineStr">
        <is>
          <t>1. Doi ngon ngu he thong thiet bi thanh tieng Phap (fr-FR).
2. Cai lai / xoa data va mo app lan dau.
3. Quan sat lua chon duoc pre-select tren man hinh chon ngon ngu.</t>
        </is>
      </c>
      <c r="I4" s="7" t="inlineStr">
        <is>
          <t>Thiet bi: locale he thong = fr-FR (khong thuoc VN/EN/KR).</t>
        </is>
      </c>
      <c r="J4" s="7" t="inlineStr">
        <is>
          <t>'Tieng Viet' phai duoc pre-select vi day la mac dinh khi locale khong khop ca 3 lua chon (theo ONB-01).</t>
        </is>
      </c>
      <c r="K4" s="7" t="inlineStr">
        <is>
          <t>Medium</t>
        </is>
      </c>
      <c r="L4" s="8" t="n"/>
      <c r="M4" s="8" t="inlineStr">
        <is>
          <t>Not Run</t>
        </is>
      </c>
      <c r="N4" s="8" t="n"/>
      <c r="O4" s="8" t="n"/>
      <c r="P4" s="7" t="n"/>
      <c r="Q4" s="7" t="n"/>
      <c r="R4" s="7" t="n"/>
    </row>
    <row r="5" ht="70" customHeight="1">
      <c r="A5" s="7" t="inlineStr">
        <is>
          <t>SCR-ONB-01-SC2-TC1</t>
        </is>
      </c>
      <c r="B5" s="7" t="inlineStr">
        <is>
          <t>SCR-ONB-01-SC2</t>
        </is>
      </c>
      <c r="C5" s="7" t="inlineStr">
        <is>
          <t>SCR-ONB-01</t>
        </is>
      </c>
      <c r="D5" s="7" t="inlineStr">
        <is>
          <t>ONB-01</t>
        </is>
      </c>
      <c r="E5" s="7" t="inlineStr">
        <is>
          <t>Regression</t>
        </is>
      </c>
      <c r="F5" s="7" t="inlineStr">
        <is>
          <t>Man hinh chon ngon ngu khong hien lai sau lan mo app dau tien, va Settings doi duoc ngon ngu</t>
        </is>
      </c>
      <c r="G5" s="7" t="inlineStr">
        <is>
          <t>Da hoan tat toan bo Onboarding (bao gom chon store) it nhat 1 lan.</t>
        </is>
      </c>
      <c r="H5" s="7" t="inlineStr">
        <is>
          <t>1. Dong hoan toan app va mo lai.
2. Quan sat man hinh dau tien hien ra.
3. Vao Settings &gt; Ngon ngu, doi tu Tieng Viet sang English.
4. Quay lai Homepage, kiem tra nhan giao dien.</t>
        </is>
      </c>
      <c r="I5" s="7" t="inlineStr">
        <is>
          <t>Tai khoan/thiet bi da qua Onboarding truoc do 1 lan.</t>
        </is>
      </c>
      <c r="J5" s="7" t="inlineStr">
        <is>
          <t>Buoc 2: app mo thang vao Homepage (state da luu), KHONG hien lai SCR-ONB-01. Buoc 4: toan bo nhan Homepage doi sang tieng Anh ngay sau khi doi trong Settings.</t>
        </is>
      </c>
      <c r="K5" s="7" t="inlineStr">
        <is>
          <t>Medium</t>
        </is>
      </c>
      <c r="L5" s="8" t="n"/>
      <c r="M5" s="8" t="inlineStr">
        <is>
          <t>Not Run</t>
        </is>
      </c>
      <c r="N5" s="8" t="n"/>
      <c r="O5" s="8" t="n"/>
      <c r="P5" s="7" t="n"/>
      <c r="Q5" s="7" t="n"/>
      <c r="R5" s="7" t="n"/>
    </row>
    <row r="6" ht="70" customHeight="1">
      <c r="A6" s="7" t="inlineStr">
        <is>
          <t>SCR-ONB-02-SC1-TC1</t>
        </is>
      </c>
      <c r="B6" s="7" t="inlineStr">
        <is>
          <t>SCR-ONB-02-SC1</t>
        </is>
      </c>
      <c r="C6" s="7" t="inlineStr">
        <is>
          <t>SCR-ONB-02</t>
        </is>
      </c>
      <c r="D6" s="7" t="inlineStr">
        <is>
          <t>ONB-02, ONB-03, ONB-04</t>
        </is>
      </c>
      <c r="E6" s="7" t="inlineStr">
        <is>
          <t>Functional</t>
        </is>
      </c>
      <c r="F6" s="7" t="inlineStr">
        <is>
          <t>Allow ca 3 quyen he thong dan den store duoc pre-select o buoc sau</t>
        </is>
      </c>
      <c r="G6" s="7" t="inlineStr">
        <is>
          <t>Da chon ngon ngu, dang o dialog quyen dau tien (Activity tracking).</t>
        </is>
      </c>
      <c r="H6" s="7" t="inlineStr">
        <is>
          <t>1. Bam Allow tren dialog Activity tracking.
2. Bam Allow tren dialog Notifications.
3. Bam 'Allow While Using App' tren dialog Location.
4. Quan sat man hinh ke tiep (SCR-ONB-03).</t>
        </is>
      </c>
      <c r="I6" s="7" t="inlineStr">
        <is>
          <t>Thiet bi test co GPS gia lap toa do gan 1 store LOTTE MART cu the (vi du Nam Sai Gon).</t>
        </is>
      </c>
      <c r="J6" s="7" t="inlineStr">
        <is>
          <t>Ca 3 dialog la dialog OS goc. Sau khi Allow ca 3, SCR-ONB-03 hien store gan nhat theo GPS duoc PRE-SELECT va gan nhan 'Nearest' (BRL-02).</t>
        </is>
      </c>
      <c r="K6" s="7" t="inlineStr">
        <is>
          <t>High</t>
        </is>
      </c>
      <c r="L6" s="8" t="n"/>
      <c r="M6" s="8" t="inlineStr">
        <is>
          <t>Not Run</t>
        </is>
      </c>
      <c r="N6" s="8" t="n"/>
      <c r="O6" s="8" t="n"/>
      <c r="P6" s="7" t="n"/>
      <c r="Q6" s="7" t="n"/>
      <c r="R6" s="7" t="n"/>
    </row>
    <row r="7" ht="70" customHeight="1">
      <c r="A7" s="7" t="inlineStr">
        <is>
          <t>SCR-ONB-02-SC2-TC1</t>
        </is>
      </c>
      <c r="B7" s="7" t="inlineStr">
        <is>
          <t>SCR-ONB-02-SC2</t>
        </is>
      </c>
      <c r="C7" s="7" t="inlineStr">
        <is>
          <t>SCR-ONB-02</t>
        </is>
      </c>
      <c r="D7" s="7" t="inlineStr">
        <is>
          <t>ONB-02, ONB-03, ONB-04</t>
        </is>
      </c>
      <c r="E7" s="7" t="inlineStr">
        <is>
          <t>Negative</t>
        </is>
      </c>
      <c r="F7" s="7" t="inlineStr">
        <is>
          <t>Deny ca 3 quyen he thong khong chan hanh trinh nhung bo mat store mac dinh</t>
        </is>
      </c>
      <c r="G7" s="7" t="inlineStr">
        <is>
          <t>Da chon ngon ngu, dang o dialog quyen dau tien.</t>
        </is>
      </c>
      <c r="H7" s="7" t="inlineStr">
        <is>
          <t>1. Bam Don't Allow / Ask App Not to Track tren ca 3 dialog lien tiep.
2. Quan sat man hinh ke tiep (SCR-ONB-03).</t>
        </is>
      </c>
      <c r="I7" s="7" t="inlineStr">
        <is>
          <t>Khong co du lieu vi tri (GPS bi tu choi).</t>
        </is>
      </c>
      <c r="J7" s="7" t="inlineStr">
        <is>
          <t>Khach van chuyen sang duoc SCR-ONB-03 (khong bi chan). SCR-ONB-03 hien State B: khong co store nao pre-select, khong hien khoang cach, banner vang de nghi bat vi tri; nut Continue disabled cho den khi chon store thu cong.</t>
        </is>
      </c>
      <c r="K7" s="7" t="inlineStr">
        <is>
          <t>High</t>
        </is>
      </c>
      <c r="L7" s="8" t="n"/>
      <c r="M7" s="8" t="inlineStr">
        <is>
          <t>Not Run</t>
        </is>
      </c>
      <c r="N7" s="8" t="n"/>
      <c r="O7" s="8" t="n"/>
      <c r="P7" s="7" t="n"/>
      <c r="Q7" s="7" t="n"/>
      <c r="R7" s="7" t="n"/>
    </row>
    <row r="8" ht="70" customHeight="1">
      <c r="A8" s="7" t="inlineStr">
        <is>
          <t>SCR-ONB-03-SC1-TC1</t>
        </is>
      </c>
      <c r="B8" s="7" t="inlineStr">
        <is>
          <t>SCR-ONB-03-SC1</t>
        </is>
      </c>
      <c r="C8" s="7" t="inlineStr">
        <is>
          <t>SCR-ONB-03</t>
        </is>
      </c>
      <c r="D8" s="7" t="inlineStr">
        <is>
          <t>ONB-05</t>
        </is>
      </c>
      <c r="E8" s="7" t="inlineStr">
        <is>
          <t>Functional</t>
        </is>
      </c>
      <c r="F8" s="7" t="inlineStr">
        <is>
          <t>Vi tri Allowed: store gan nhat duoc pre-select, Continue enabled ngay, xac nhan chuyen man</t>
        </is>
      </c>
      <c r="G8" s="7" t="inlineStr">
        <is>
          <t>Quyen vi tri = Allowed, GPS gia lap gan LOTTE Mart Nam Sai Gon (2.1km).</t>
        </is>
      </c>
      <c r="H8" s="7" t="inlineStr">
        <is>
          <t>1. Vao SCR-ONB-03 sau khi Allow vi tri.
2. Quan sat store dau danh sach co nhan 'Nearest' va da duoc chon (dau tick).
3. Kiem tra nut Continue co the bam duoc ma khong can thao tac them.
4. Bam Continue.</t>
        </is>
      </c>
      <c r="I8" s="7" t="inlineStr">
        <is>
          <t>GPS: gia lap toa do cach LOTTE Mart Nam Sai Gon 2.1km.</t>
        </is>
      </c>
      <c r="J8" s="7" t="inlineStr">
        <is>
          <t>LOTTE Mart Nam Sai Gon duoc pre-select, nhan 'Nearest', khoang cach '2.1 km' hien dung; Continue enabled tu dau; bam Continue chuyen sang SCR-ONB-04.</t>
        </is>
      </c>
      <c r="K8" s="7" t="inlineStr">
        <is>
          <t>High</t>
        </is>
      </c>
      <c r="L8" s="8" t="n"/>
      <c r="M8" s="8" t="inlineStr">
        <is>
          <t>Not Run</t>
        </is>
      </c>
      <c r="N8" s="8" t="n"/>
      <c r="O8" s="8" t="n"/>
      <c r="P8" s="7" t="n"/>
      <c r="Q8" s="7" t="n"/>
      <c r="R8" s="7" t="n"/>
    </row>
    <row r="9" ht="70" customHeight="1">
      <c r="A9" s="7" t="inlineStr">
        <is>
          <t>SCR-ONB-03-SC2-TC1</t>
        </is>
      </c>
      <c r="B9" s="7" t="inlineStr">
        <is>
          <t>SCR-ONB-03-SC2</t>
        </is>
      </c>
      <c r="C9" s="7" t="inlineStr">
        <is>
          <t>SCR-ONB-03</t>
        </is>
      </c>
      <c r="D9" s="7" t="inlineStr">
        <is>
          <t>ONB-05</t>
        </is>
      </c>
      <c r="E9" s="7" t="inlineStr">
        <is>
          <t>Boundary</t>
        </is>
      </c>
      <c r="F9" s="7" t="inlineStr">
        <is>
          <t>Vi tri Denied: Continue phai disabled cho den khi chon 1 store (enforcement BRL-01)</t>
        </is>
      </c>
      <c r="G9" s="7" t="inlineStr">
        <is>
          <t>Quyen vi tri = Denied.</t>
        </is>
      </c>
      <c r="H9" s="7" t="inlineStr">
        <is>
          <t>1. Vao SCR-ONB-03 (State B) sau khi Deny vi tri.
2. Kiem tra khong co store nao duoc dau tick san, khong store nao hien khoang cach.
3. Thu bam Continue ma CHUA chon store nao. Xac nhan nut o trang thai disabled.
4. Chon 1 store bat ky trong danh sach (vi du LOTTE Mart Go Vap).
5. Bam lai Continue.</t>
        </is>
      </c>
      <c r="I9" s="7" t="inlineStr">
        <is>
          <t>Khong co du lieu GPS.</t>
        </is>
      </c>
      <c r="J9" s="7" t="inlineStr">
        <is>
          <t>Buoc 3: Continue khong the bam duoc khi chua chon store. Buoc 5: sau khi chon store, Continue chuyen sang SCR-ONB-04 dung store vua chon.</t>
        </is>
      </c>
      <c r="K9" s="7" t="inlineStr">
        <is>
          <t>High</t>
        </is>
      </c>
      <c r="L9" s="8" t="n"/>
      <c r="M9" s="8" t="inlineStr">
        <is>
          <t>Not Run</t>
        </is>
      </c>
      <c r="N9" s="8" t="n"/>
      <c r="O9" s="8" t="n"/>
      <c r="P9" s="7" t="n"/>
      <c r="Q9" s="7" t="n"/>
      <c r="R9" s="7" t="n"/>
    </row>
    <row r="10" ht="70" customHeight="1">
      <c r="A10" s="7" t="inlineStr">
        <is>
          <t>SCR-ONB-03-SC3-TC1</t>
        </is>
      </c>
      <c r="B10" s="7" t="inlineStr">
        <is>
          <t>SCR-ONB-03-SC3</t>
        </is>
      </c>
      <c r="C10" s="7" t="inlineStr">
        <is>
          <t>SCR-ONB-03</t>
        </is>
      </c>
      <c r="D10" s="7" t="inlineStr">
        <is>
          <t>ONB-05</t>
        </is>
      </c>
      <c r="E10" s="7" t="inlineStr">
        <is>
          <t>Functional</t>
        </is>
      </c>
      <c r="F10" s="7" t="inlineStr">
        <is>
          <t>Tim kiem store theo ten/quan loc dung danh sach</t>
        </is>
      </c>
      <c r="G10" s="7" t="inlineStr">
        <is>
          <t>Dang o SCR-ONB-03, danh sach co it nhat 4 store (Nam Sai Gon, Tan Binh, Go Vap, Phu Tho).</t>
        </is>
      </c>
      <c r="H10" s="7" t="inlineStr">
        <is>
          <t>1. Nhap 'Tan Binh' vao o tim kiem.
2. Quan sat danh sach con lai.
3. Xoa tu khoa, nhap 'Q.11'.
4. Quan sat danh sach con lai.</t>
        </is>
      </c>
      <c r="I10" s="7" t="inlineStr">
        <is>
          <t>Tu khoa: 'Tan Binh' va 'Q.11'.</t>
        </is>
      </c>
      <c r="J10" s="7" t="inlineStr">
        <is>
          <t>Buoc 2: chi con 'LOTTE Mart Tan Binh'. Buoc 4: chi con store thuoc Q.11 (LOTTE Mart Phu Tho). Ket qua loc khong lam mat yeu cau bat buoc chon 1 store truoc khi Continue.</t>
        </is>
      </c>
      <c r="K10" s="7" t="inlineStr">
        <is>
          <t>Low</t>
        </is>
      </c>
      <c r="L10" s="8" t="n"/>
      <c r="M10" s="8" t="inlineStr">
        <is>
          <t>Not Run</t>
        </is>
      </c>
      <c r="N10" s="8" t="n"/>
      <c r="O10" s="8" t="n"/>
      <c r="P10" s="7" t="n"/>
      <c r="Q10" s="7" t="n"/>
      <c r="R10" s="9" t="inlineStr">
        <is>
          <t>Moi test luc go dung ten thi loc RA ket qua. Con thieu 1 truong hop: go ten store KHONG TON TAI (vi du go bay chu linh tinh) thi danh sach con lai la gi - man hinh trong tron hay co dong chu 'Khong tim thay'? Nen bo sung them 1 buoc kiem tra cho truong hop nay.</t>
        </is>
      </c>
    </row>
    <row r="11" ht="70" customHeight="1">
      <c r="A11" s="7" t="inlineStr">
        <is>
          <t>SCR-ONB-04-SC1-TC1</t>
        </is>
      </c>
      <c r="B11" s="7" t="inlineStr">
        <is>
          <t>SCR-ONB-04-SC1</t>
        </is>
      </c>
      <c r="C11" s="7" t="inlineStr">
        <is>
          <t>SCR-ONB-04</t>
        </is>
      </c>
      <c r="D11" s="7" t="inlineStr">
        <is>
          <t>ONB-06</t>
        </is>
      </c>
      <c r="E11" s="7" t="inlineStr">
        <is>
          <t>Functional</t>
        </is>
      </c>
      <c r="F11" s="7" t="inlineStr">
        <is>
          <t>Vuot qua 3 man carousel, progress dot cap nhat dung vi tri</t>
        </is>
      </c>
      <c r="G11" s="7" t="inlineStr">
        <is>
          <t>Da hoan tat chon store, dang o man carousel 1/3.</t>
        </is>
      </c>
      <c r="H11" s="7" t="inlineStr">
        <is>
          <t>1. Quan sat 3 cham progress, cham dau tien dang active (keo dai).
2. Vuot trai sang man 2/3, quan sat cham thu 2 active.
3. Vuot trai sang man 3/3, quan sat cham thu 3 active va nut chinh doi thanh 'Start shopping'.
4. Vuot phai quay lai man 2, kiem tra dieu huong nguoc chieu hoat dong.</t>
        </is>
      </c>
      <c r="I11" s="7" t="inlineStr">
        <is>
          <t>N/A (thao tac vuot man hinh).</t>
        </is>
      </c>
      <c r="J11" s="7" t="inlineStr">
        <is>
          <t>Progress dot luon phan anh dung vi tri hien tai; vuot duoc ca 2 chieu; nut chinh chi doi thanh 'Start shopping' o man thu 3.</t>
        </is>
      </c>
      <c r="K11" s="7" t="inlineStr">
        <is>
          <t>Low</t>
        </is>
      </c>
      <c r="L11" s="8" t="n"/>
      <c r="M11" s="8" t="inlineStr">
        <is>
          <t>Not Run</t>
        </is>
      </c>
      <c r="N11" s="8" t="n"/>
      <c r="O11" s="8" t="n"/>
      <c r="P11" s="7" t="inlineStr">
        <is>
          <t>QnA-06</t>
        </is>
      </c>
      <c r="Q11" s="7" t="inlineStr">
        <is>
          <t>Artwork/noi dung cu the cua tung man con cho LOTTE MART xac nhan (QnA-06) nhung khong chan test dieu huong.</t>
        </is>
      </c>
      <c r="R11" s="7" t="n"/>
    </row>
    <row r="12" ht="70" customHeight="1">
      <c r="A12" s="7" t="inlineStr">
        <is>
          <t>SCR-ONB-04-SC2-TC1</t>
        </is>
      </c>
      <c r="B12" s="7" t="inlineStr">
        <is>
          <t>SCR-ONB-04-SC2</t>
        </is>
      </c>
      <c r="C12" s="7" t="inlineStr">
        <is>
          <t>SCR-ONB-04</t>
        </is>
      </c>
      <c r="D12" s="7" t="inlineStr">
        <is>
          <t>ONB-06, ONB-07</t>
        </is>
      </c>
      <c r="E12" s="7" t="inlineStr">
        <is>
          <t>Functional</t>
        </is>
      </c>
      <c r="F12" s="7" t="inlineStr">
        <is>
          <t>Bam Skip tu man carousel dau tien vao thang Homepage dung store da chon</t>
        </is>
      </c>
      <c r="G12" s="7" t="inlineStr">
        <is>
          <t>Da chon store la 'LOTTE Mart Nam Sai Gon' o SCR-ONB-03, dang o man carousel 1/3.</t>
        </is>
      </c>
      <c r="H12" s="7" t="inlineStr">
        <is>
          <t>1. Bam nut 'Skip' o goc man hinh.
2. Quan sat man hinh dich den.
3. Kiem tra ten store hien tren header Homepage.</t>
        </is>
      </c>
      <c r="I12" s="7" t="inlineStr">
        <is>
          <t>Store da chon truoc do: LOTTE Mart Nam Sai Gon.</t>
        </is>
      </c>
      <c r="J12" s="7" t="inlineStr">
        <is>
          <t>He thong bo qua man 2 va 3, vao thang SCR-HOM-01 (Homepage) trang thai Guest; header hien dung 'LOTTE Mart Nam Sai Gon' (BR-03, ONB-07).</t>
        </is>
      </c>
      <c r="K12" s="7" t="inlineStr">
        <is>
          <t>Medium</t>
        </is>
      </c>
      <c r="L12" s="8" t="n"/>
      <c r="M12" s="8" t="inlineStr">
        <is>
          <t>Not Run</t>
        </is>
      </c>
      <c r="N12" s="8" t="n"/>
      <c r="O12" s="8" t="n"/>
      <c r="P12" s="7" t="n"/>
      <c r="Q12" s="7" t="n"/>
      <c r="R12" s="7" t="n"/>
    </row>
    <row r="13" ht="70" customHeight="1">
      <c r="A13" s="7" t="inlineStr">
        <is>
          <t>SCR-HOM-01-SC1-TC1</t>
        </is>
      </c>
      <c r="B13" s="7" t="inlineStr">
        <is>
          <t>SCR-HOM-01-SC1</t>
        </is>
      </c>
      <c r="C13" s="7" t="inlineStr">
        <is>
          <t>SCR-HOM-01</t>
        </is>
      </c>
      <c r="D13" s="7" t="inlineStr">
        <is>
          <t>HP-01, HP-04</t>
        </is>
      </c>
      <c r="E13" s="7" t="inlineStr">
        <is>
          <t>Functional</t>
        </is>
      </c>
      <c r="F13" s="7" t="inlineStr">
        <is>
          <t>Guest xem Homepage khi chua co dia chi - uoc tinh theo store, khong bi chan duyet</t>
        </is>
      </c>
      <c r="G13" s="7" t="inlineStr">
        <is>
          <t>Guest vua vao Homepage lan dau, chua tao dia chi nao.</t>
        </is>
      </c>
      <c r="H13" s="7" t="inlineStr">
        <is>
          <t>1. Quan sat header: ten store, dong dia chi giao hang, uoc tinh giao hang.
2. Cham vao danh muc/san pham bat ky de xac nhan duyet duoc binh thuong.
3. Cham icon Cart de xac nhan van hien thi (chua can kiem tra hanh vi mo gate o day).</t>
        </is>
      </c>
      <c r="I13" s="7" t="inlineStr">
        <is>
          <t>Store da chon: LOTTE Mart Nam Sai Gon.</t>
        </is>
      </c>
      <c r="J13" s="7" t="inlineStr">
        <is>
          <t>Header hien 'Choose delivery address'; uoc tinh giao hang hien Standard + slot som nhat CUA STORE (khong phai theo dia chi vi chua co); danh muc/gia/khuyen mai dung theo store da chon; duyet danh muc khong bi chan boi viec chua dang nhap hay chua co dia chi (BR-04).</t>
        </is>
      </c>
      <c r="K13" s="7" t="inlineStr">
        <is>
          <t>High</t>
        </is>
      </c>
      <c r="L13" s="8" t="n"/>
      <c r="M13" s="8" t="inlineStr">
        <is>
          <t>Not Run</t>
        </is>
      </c>
      <c r="N13" s="8" t="n"/>
      <c r="O13" s="8" t="n"/>
      <c r="P13" s="7" t="n"/>
      <c r="Q13" s="7" t="n"/>
      <c r="R13" s="7" t="n"/>
    </row>
    <row r="14" ht="70" customHeight="1">
      <c r="A14" s="7" t="inlineStr">
        <is>
          <t>SCR-HOM-01-SC2-TC1</t>
        </is>
      </c>
      <c r="B14" s="7" t="inlineStr">
        <is>
          <t>SCR-HOM-01-SC2</t>
        </is>
      </c>
      <c r="C14" s="7" t="inlineStr">
        <is>
          <t>SCR-HOM-01</t>
        </is>
      </c>
      <c r="D14" s="7" t="inlineStr">
        <is>
          <t>HP-01, HP-04</t>
        </is>
      </c>
      <c r="E14" s="7" t="inlineStr">
        <is>
          <t>Functional</t>
        </is>
      </c>
      <c r="F14" s="7" t="inlineStr">
        <is>
          <t>Dia chi trong vung 60-Minute hien banner de xuat nhung Standard van la mac dinh</t>
        </is>
      </c>
      <c r="G14" s="7" t="inlineStr">
        <is>
          <t>Guest da luu 1 dia chi cach store 4km (trong ban kinh 3-5km).</t>
        </is>
      </c>
      <c r="H14" s="7" t="inlineStr">
        <is>
          <t>1. Mo Homepage, quan sat dia chi hien tren header.
2. Quan sat dong uoc tinh giao hang va banner ben duoi.
3. Kiem tra dich vu dang duoc CHON la gi (Standard hay 60-Minute).</t>
        </is>
      </c>
      <c r="I14" s="7" t="inlineStr">
        <is>
          <t>Dia chi test: cach store 4km.</t>
        </is>
      </c>
      <c r="J14" s="7" t="inlineStr">
        <is>
          <t>Header hien dung dia chi da luu; uoc tinh hien 'Standard - hom nay HH:MM-HH:MM' kem banner '60-Minute delivery is available for this address'; dich vu dang CHON van la Standard (banner chi la de xuat, khong tu chuyen).</t>
        </is>
      </c>
      <c r="K14" s="7" t="inlineStr">
        <is>
          <t>Medium</t>
        </is>
      </c>
      <c r="L14" s="8" t="n"/>
      <c r="M14" s="8" t="inlineStr">
        <is>
          <t>Not Run</t>
        </is>
      </c>
      <c r="N14" s="8" t="n"/>
      <c r="O14" s="8" t="n"/>
      <c r="P14" s="7" t="n"/>
      <c r="Q14" s="7" t="n"/>
      <c r="R14" s="7" t="n"/>
    </row>
    <row r="15" ht="70" customHeight="1">
      <c r="A15" s="7" t="inlineStr">
        <is>
          <t>SCR-HOM-01-SC3-TC1</t>
        </is>
      </c>
      <c r="B15" s="7" t="inlineStr">
        <is>
          <t>SCR-HOM-01-SC3</t>
        </is>
      </c>
      <c r="C15" s="7" t="inlineStr">
        <is>
          <t>SCR-HOM-01</t>
        </is>
      </c>
      <c r="D15" s="7" t="inlineStr">
        <is>
          <t>HP-01, BR-06</t>
        </is>
      </c>
      <c r="E15" s="7" t="inlineStr">
        <is>
          <t>Functional</t>
        </is>
      </c>
      <c r="F15" s="7" t="inlineStr">
        <is>
          <t>Gia Guest va gia Member hien dong thoi tren cung 1 SKU khi dang o trang thai Guest</t>
        </is>
      </c>
      <c r="G15" s="7" t="inlineStr">
        <is>
          <t>Dang o Homepage, trang thai Guest, khu 'Best sellers at this store' co it nhat 1 SKU co ca 2 muc gia.</t>
        </is>
      </c>
      <c r="H15" s="7" t="inlineStr">
        <is>
          <t>1. Cuon den khu 'Best sellers at this store'.
2. Quan sat 1 SKU co ca 2 gia.
3. Ghi nhan gia Guest va gia Member hien thi.</t>
        </is>
      </c>
      <c r="I15" s="7" t="inlineStr">
        <is>
          <t>SKU mau: gia Guest 59.000d, gia Member 49.000d.</t>
        </is>
      </c>
      <c r="J15" s="7" t="inlineStr">
        <is>
          <t>Ca 2 gia (59.000d va 49.000d) hien thi DONG THOI tren cung 1 the san pham, khong bi an gia nao.</t>
        </is>
      </c>
      <c r="K15" s="7" t="inlineStr">
        <is>
          <t>Low</t>
        </is>
      </c>
      <c r="L15" s="8" t="n"/>
      <c r="M15" s="8" t="inlineStr">
        <is>
          <t>Not Run</t>
        </is>
      </c>
      <c r="N15" s="8" t="n"/>
      <c r="O15" s="8" t="n"/>
      <c r="P15" s="7" t="n"/>
      <c r="Q15" s="7" t="n"/>
      <c r="R15" s="7" t="n"/>
    </row>
    <row r="16" ht="70" customHeight="1">
      <c r="A16" s="7" t="inlineStr">
        <is>
          <t>SCR-HOM-02-SC1-TC1</t>
        </is>
      </c>
      <c r="B16" s="7" t="inlineStr">
        <is>
          <t>SCR-HOM-02-SC1</t>
        </is>
      </c>
      <c r="C16" s="7" t="inlineStr">
        <is>
          <t>SCR-HOM-02</t>
        </is>
      </c>
      <c r="D16" s="7" t="inlineStr">
        <is>
          <t>HP-02, HP-03</t>
        </is>
      </c>
      <c r="E16" s="7" t="inlineStr">
        <is>
          <t>Functional</t>
        </is>
      </c>
      <c r="F16" s="7" t="inlineStr">
        <is>
          <t>GPS chi pre-fill goi y, Guest phai tu bo sung chi tiet roi moi Save duoc</t>
        </is>
      </c>
      <c r="G16" s="7" t="inlineStr">
        <is>
          <t>Guest chua co dia chi, quyen vi tri da Allow, dang o SCR-HOM-02.</t>
        </is>
      </c>
      <c r="H16" s="7" t="inlineStr">
        <is>
          <t>1. Cham 'Use my location'.
2. Quan sat o dia chi duoc GPS dien san 1 goi y (vi du '123 Nguyen Thi Thap, Tan Phu, Q.7').
3. Bo sung them so nha/tang/block vao o dia chi.
4. Xac nhan form KHONG co truong ten/SDT nguoi nhan (vi la Guest).
5. Bam Save.</t>
        </is>
      </c>
      <c r="I16" s="7" t="inlineStr">
        <is>
          <t>GPS gia lap goi y: '123 Nguyen Thi Thap, Tan Phu, Q.7'.</t>
        </is>
      </c>
      <c r="J16" s="7" t="inlineStr">
        <is>
          <t>Buoc 2: dia chi GPS chi la goi y, chua duoc luu. Buoc 4: form Guest KHONG hien truong ten/SDT nguoi nhan. Buoc 5: Save chi thanh cong SAU KHI khach da xac nhan/bo sung chi tiet (khong tu dong Save ngay khi GPS tra ve toa do).</t>
        </is>
      </c>
      <c r="K16" s="7" t="inlineStr">
        <is>
          <t>High</t>
        </is>
      </c>
      <c r="L16" s="8" t="n"/>
      <c r="M16" s="8" t="inlineStr">
        <is>
          <t>Not Run</t>
        </is>
      </c>
      <c r="N16" s="8" t="n"/>
      <c r="O16" s="8" t="n"/>
      <c r="P16" s="7" t="n"/>
      <c r="Q16" s="7" t="n"/>
      <c r="R16" s="9" t="inlineStr">
        <is>
          <t>Test nay moi lam qua duong 'bam dinh vi roi bo sung dia chi'. Con 1 duong khac chua test: khach TU GO TAY toan bo dia chi (khong bam 'Use my location' luc nao ca) - nen them 1 test rieng cho truong hop nay de chac chan ca 2 cach nhap deu ra ket qua dung.</t>
        </is>
      </c>
    </row>
    <row r="17" ht="70" customHeight="1">
      <c r="A17" s="7" t="inlineStr">
        <is>
          <t>SCR-HOM-02-SC2-TC1</t>
        </is>
      </c>
      <c r="B17" s="7" t="inlineStr">
        <is>
          <t>SCR-HOM-02-SC2</t>
        </is>
      </c>
      <c r="C17" s="7" t="inlineStr">
        <is>
          <t>SCR-HOM-02</t>
        </is>
      </c>
      <c r="D17" s="7" t="inlineStr">
        <is>
          <t>HP-03</t>
        </is>
      </c>
      <c r="E17" s="7" t="inlineStr">
        <is>
          <t>Validation</t>
        </is>
      </c>
      <c r="F17" s="7" t="inlineStr">
        <is>
          <t>Ten/SDT nguoi nhan la bat buoc va duoc mac dinh tu tai khoan khi la Member</t>
        </is>
      </c>
      <c r="G17" s="7" t="inlineStr">
        <is>
          <t>Da dang nhap (Member), dang o SCR-HOM-02 State B tao dia chi moi.</t>
        </is>
      </c>
      <c r="H17" s="7" t="inlineStr">
        <is>
          <t>1. Quan sat truong Ten nguoi nhan / SDT nguoi nhan - kiem tra co duoc dien san tu tai khoan khong.
2. Xoa trong truong Ten nguoi nhan.
3. Bam Save.
4. Dien lai Ten nguoi nhan, bam Save.</t>
        </is>
      </c>
      <c r="I17" s="7" t="inlineStr">
        <is>
          <t>Tai khoan Member: Thai Bao Ngoc / 09xxxxxxxx.</t>
        </is>
      </c>
      <c r="J17" s="7" t="inlineStr">
        <is>
          <t>Buoc 1: ca 2 truong duoc dien san tu tai khoan (co the sua). Buoc 3: Save bi CHAN khi Ten nguoi nhan trong (bao loi bat buoc). Buoc 4: sau khi dien lai, Save thanh cong.</t>
        </is>
      </c>
      <c r="K17" s="7" t="inlineStr">
        <is>
          <t>High</t>
        </is>
      </c>
      <c r="L17" s="8" t="n"/>
      <c r="M17" s="8" t="inlineStr">
        <is>
          <t>Not Run</t>
        </is>
      </c>
      <c r="N17" s="8" t="n"/>
      <c r="O17" s="8" t="n"/>
      <c r="P17" s="7" t="n"/>
      <c r="Q17" s="7" t="n"/>
      <c r="R17" s="7" t="n"/>
    </row>
    <row r="18" ht="70" customHeight="1">
      <c r="A18" s="7" t="inlineStr">
        <is>
          <t>SCR-HOM-02-SC3-TC1</t>
        </is>
      </c>
      <c r="B18" s="7" t="inlineStr">
        <is>
          <t>SCR-HOM-02-SC3</t>
        </is>
      </c>
      <c r="C18" s="7" t="inlineStr">
        <is>
          <t>SCR-HOM-02</t>
        </is>
      </c>
      <c r="D18" s="7" t="inlineStr">
        <is>
          <t>HP-04, HP-05</t>
        </is>
      </c>
      <c r="E18" s="7" t="inlineStr">
        <is>
          <t>Functional</t>
        </is>
      </c>
      <c r="F18" s="7" t="inlineStr">
        <is>
          <t>Luu dia chi ngoai moi vung phuc vu chuyen header sang trang thai 'khong duoc phuc vu' ngay lap tuc</t>
        </is>
      </c>
      <c r="G18" s="7" t="inlineStr">
        <is>
          <t>Dang o SCR-HOM-02, chuan bi nhap 1 dia chi ngoai ban kinh Standard va ngoai moi khu Next-day cua store.</t>
        </is>
      </c>
      <c r="H18" s="7" t="inlineStr">
        <is>
          <t>1. Nhap va Save 1 dia chi nam ngoai moi vung phuc vu cua store hien tai.
2. Quan sat header Homepage ngay sau khi Save.
3. Kiem tra danh muc/duyet va Pickup van hoat dong binh thuong.</t>
        </is>
      </c>
      <c r="I18" s="7" t="inlineStr">
        <is>
          <t>Dia chi mau: ngoai moi vung cau hinh (vi du 1 tinh chua co Next-day).</t>
        </is>
      </c>
      <c r="J18" s="7" t="inlineStr">
        <is>
          <t>Header KHONG hien ngay/gio giao, chi hien thong bao + CTA 'Change address'; duyet danh muc va lua chon Pickup van hoat dong binh thuong (chi Delivery bi anh huong).</t>
        </is>
      </c>
      <c r="K18" s="7" t="inlineStr">
        <is>
          <t>High</t>
        </is>
      </c>
      <c r="L18" s="8" t="n"/>
      <c r="M18" s="8" t="inlineStr">
        <is>
          <t>Not Run</t>
        </is>
      </c>
      <c r="N18" s="8" t="n"/>
      <c r="O18" s="8" t="n"/>
      <c r="P18" s="7" t="n"/>
      <c r="Q18" s="7" t="n"/>
      <c r="R18" s="7" t="n"/>
    </row>
    <row r="19" ht="70" customHeight="1">
      <c r="A19" s="7" t="inlineStr">
        <is>
          <t>SCR-HOM-03-SC1-TC1</t>
        </is>
      </c>
      <c r="B19" s="7" t="inlineStr">
        <is>
          <t>SCR-HOM-03-SC1</t>
        </is>
      </c>
      <c r="C19" s="7" t="inlineStr">
        <is>
          <t>SCR-HOM-03</t>
        </is>
      </c>
      <c r="D19" s="7" t="inlineStr">
        <is>
          <t>HP-09</t>
        </is>
      </c>
      <c r="E19" s="7" t="inlineStr">
        <is>
          <t>Functional</t>
        </is>
      </c>
      <c r="F19" s="7" t="inlineStr">
        <is>
          <t>Doi sang dia chi da luu khac ma cung store van phuc vu duoc - ap dung ngay khong xac nhan</t>
        </is>
      </c>
      <c r="G19" s="7" t="inlineStr">
        <is>
          <t>Tai khoan co 2 dia chi da luu (Home, Office) deu duoc Nam Sai Gon phuc vu.</t>
        </is>
      </c>
      <c r="H19" s="7" t="inlineStr">
        <is>
          <t>1. Mo danh sach dia chi da luu tu header.
2. Chon dia chi 'Office'.
3. Quan sat co dialog xac nhan nao xuat hien khong.
4. Kiem tra store va uoc tinh giao hang sau khi doi.</t>
        </is>
      </c>
      <c r="I19" s="7" t="inlineStr">
        <is>
          <t>Dia chi 'Office': 72 Le Thanh Ton, Q.1 - van do Nam Sai Gon phuc vu.</t>
        </is>
      </c>
      <c r="J19" s="7" t="inlineStr">
        <is>
          <t>Buoc 3: KHONG co dialog xac nhan nao. Buoc 4: store giu nguyen 'Nam Sai Gon', chi dia chi va uoc tinh giao hang duoc lam moi theo dia chi 'Office'.</t>
        </is>
      </c>
      <c r="K19" s="7" t="inlineStr">
        <is>
          <t>Medium</t>
        </is>
      </c>
      <c r="L19" s="8" t="n"/>
      <c r="M19" s="8" t="inlineStr">
        <is>
          <t>Not Run</t>
        </is>
      </c>
      <c r="N19" s="8" t="n"/>
      <c r="O19" s="8" t="n"/>
      <c r="P19" s="7" t="n"/>
      <c r="Q19" s="7" t="n"/>
      <c r="R19" s="7" t="n"/>
    </row>
    <row r="20" ht="70" customHeight="1">
      <c r="A20" s="7" t="inlineStr">
        <is>
          <t>SCR-HOM-03-SC2-TC1</t>
        </is>
      </c>
      <c r="B20" s="7" t="inlineStr">
        <is>
          <t>SCR-HOM-03-SC2</t>
        </is>
      </c>
      <c r="C20" s="7" t="inlineStr">
        <is>
          <t>SCR-HOM-03</t>
        </is>
      </c>
      <c r="D20" s="7" t="inlineStr">
        <is>
          <t>HP-09</t>
        </is>
      </c>
      <c r="E20" s="7" t="inlineStr">
        <is>
          <t>Edge</t>
        </is>
      </c>
      <c r="F20" s="7" t="inlineStr">
        <is>
          <t>Doi sang dia chi khac tinh/thanh tu dong chuyen store phuc vu kem thong bao toast</t>
        </is>
      </c>
      <c r="G20" s="7" t="inlineStr">
        <is>
          <t>Tai khoan co dia chi 'Parents' o Ha Noi, hien dang dung store Nam Sai Gon (TP.HCM).</t>
        </is>
      </c>
      <c r="H20" s="7" t="inlineStr">
        <is>
          <t>1. Mo danh sach dia chi da luu tu header.
2. Chon dia chi 'Parents' (Ha Noi).
3. Quan sat store hien tren header va toast thong bao.
4. Kiem tra uoc tinh giao hang moi.</t>
        </is>
      </c>
      <c r="I20" s="7" t="inlineStr">
        <is>
          <t>Dia chi 'Parents': 45 Nguyen Van Cu, Long Bien, Ha Noi.</t>
        </is>
      </c>
      <c r="J20" s="7" t="inlineStr">
        <is>
          <t>Store TU DONG chuyen sang 'LOTTE Mart Long Bien' KHONG hoi xac nhan; toast hien 'Store changed to LOTTE Mart Long Bien'; uoc tinh giao hang chuyen sang dang Next-day (chon ngay thay vi khung gio) vi day la vung Next-day cua store moi.</t>
        </is>
      </c>
      <c r="K20" s="7" t="inlineStr">
        <is>
          <t>High</t>
        </is>
      </c>
      <c r="L20" s="8" t="n"/>
      <c r="M20" s="8" t="inlineStr">
        <is>
          <t>Not Run</t>
        </is>
      </c>
      <c r="N20" s="8" t="n"/>
      <c r="O20" s="8" t="n"/>
      <c r="P20" s="7" t="inlineStr">
        <is>
          <t>QnA-01</t>
        </is>
      </c>
      <c r="Q20" s="7" t="inlineStr">
        <is>
          <t>Neu dia chi vua chon lai khong con hop le sau khi doi store khac nua, thu tu chon dia chi thay the van la OQ-01/QnA-01.</t>
        </is>
      </c>
      <c r="R20" s="7" t="n"/>
    </row>
    <row r="21" ht="70" customHeight="1">
      <c r="A21" s="7" t="inlineStr">
        <is>
          <t>SCR-HOM-04-SC1-TC1</t>
        </is>
      </c>
      <c r="B21" s="7" t="inlineStr">
        <is>
          <t>SCR-HOM-04-SC1</t>
        </is>
      </c>
      <c r="C21" s="7" t="inlineStr">
        <is>
          <t>SCR-HOM-04</t>
        </is>
      </c>
      <c r="D21" s="7" t="inlineStr">
        <is>
          <t>HP-08</t>
        </is>
      </c>
      <c r="E21" s="7" t="inlineStr">
        <is>
          <t>Functional</t>
        </is>
      </c>
      <c r="F21" s="7" t="inlineStr">
        <is>
          <t>Doi store tu header ap dung ngay lap tuc khong can xac nhan khi dich vu khong doi</t>
        </is>
      </c>
      <c r="G21" s="7" t="inlineStr">
        <is>
          <t>Dia chi hien tai van hop le Standard o ca store cu va store moi.</t>
        </is>
      </c>
      <c r="H21" s="7" t="inlineStr">
        <is>
          <t>1. Mo store sheet tu header, chon 'LOTTE Mart Tan Binh'.
2. Quan sat co dialog xac nhan khong.
3. Kiem tra danh muc/gia tren Homepage sau khi doi.</t>
        </is>
      </c>
      <c r="I21" s="7" t="inlineStr">
        <is>
          <t>Store moi: LOTTE Mart Tan Binh (Standard van kha dung cho dia chi hien tai).</t>
        </is>
      </c>
      <c r="J21" s="7" t="inlineStr">
        <is>
          <t>KHONG co dialog xac nhan; store doi ngay; danh muc/gia/ton kho re-render theo dung 'LOTTE Mart Tan Binh'.</t>
        </is>
      </c>
      <c r="K21" s="7" t="inlineStr">
        <is>
          <t>High</t>
        </is>
      </c>
      <c r="L21" s="8" t="n"/>
      <c r="M21" s="8" t="inlineStr">
        <is>
          <t>Not Run</t>
        </is>
      </c>
      <c r="N21" s="8" t="n"/>
      <c r="O21" s="8" t="n"/>
      <c r="P21" s="7" t="n"/>
      <c r="Q21" s="7" t="n"/>
      <c r="R21" s="7" t="n"/>
    </row>
    <row r="22" ht="70" customHeight="1">
      <c r="A22" s="7" t="inlineStr">
        <is>
          <t>SCR-HOM-04-SC2-TC1</t>
        </is>
      </c>
      <c r="B22" s="7" t="inlineStr">
        <is>
          <t>SCR-HOM-04-SC2</t>
        </is>
      </c>
      <c r="C22" s="7" t="inlineStr">
        <is>
          <t>SCR-HOM-04</t>
        </is>
      </c>
      <c r="D22" s="7" t="inlineStr">
        <is>
          <t>HP-08</t>
        </is>
      </c>
      <c r="E22" s="7" t="inlineStr">
        <is>
          <t>Edge</t>
        </is>
      </c>
      <c r="F22" s="7" t="inlineStr">
        <is>
          <t>Doi store lam mat 60-Minute phai hien thong bao fallback dich vu ro rang, khong am tham doi</t>
        </is>
      </c>
      <c r="G22" s="7" t="inlineStr">
        <is>
          <t>Dia chi hien tai dang o vung 60-Minute cua store cu (Nam Sai Gon).</t>
        </is>
      </c>
      <c r="H22" s="7" t="inlineStr">
        <is>
          <t>1. Mo store sheet, chon store ma dia chi hien tai chi con nam trong Standard radius (mat 60-Minute).
2. Quan sat thong bao xuat hien ngay sau khi doi.
3. Kiem tra dich vu dang hien tren header.</t>
        </is>
      </c>
      <c r="I22" s="7" t="inlineStr">
        <is>
          <t>Store moi: dia chi hien tai chi con o Standard radius (khong con 60-Minute).</t>
        </is>
      </c>
      <c r="J22" s="7" t="inlineStr">
        <is>
          <t>Thong bao ro rang hien ngay ('Store changed. 60-Minute is not available for this address at [store]'); header chuyen sang chi con Standard - khong duoc am tham rot dich vu ma khong bao.</t>
        </is>
      </c>
      <c r="K22" s="7" t="inlineStr">
        <is>
          <t>High</t>
        </is>
      </c>
      <c r="L22" s="8" t="n"/>
      <c r="M22" s="8" t="inlineStr">
        <is>
          <t>Not Run</t>
        </is>
      </c>
      <c r="N22" s="8" t="n"/>
      <c r="O22" s="8" t="n"/>
      <c r="P22" s="7" t="inlineStr">
        <is>
          <t>QnA-01</t>
        </is>
      </c>
      <c r="Q22" s="7" t="n"/>
      <c r="R22" s="7" t="n"/>
    </row>
    <row r="23" ht="70" customHeight="1">
      <c r="A23" s="7" t="inlineStr">
        <is>
          <t>SCR-HOM-04-SC3-TC1</t>
        </is>
      </c>
      <c r="B23" s="7" t="inlineStr">
        <is>
          <t>SCR-HOM-04-SC3</t>
        </is>
      </c>
      <c r="C23" s="7" t="inlineStr">
        <is>
          <t>SCR-HOM-04</t>
        </is>
      </c>
      <c r="D23" s="7" t="inlineStr">
        <is>
          <t>HP-08</t>
        </is>
      </c>
      <c r="E23" s="7" t="inlineStr">
        <is>
          <t>Edge</t>
        </is>
      </c>
      <c r="F23" s="7" t="inlineStr">
        <is>
          <t>Store khong the giao den dia chi hien tai van chon duoc, chi rieng Delivery bi anh huong</t>
        </is>
      </c>
      <c r="G23" s="7" t="inlineStr">
        <is>
          <t>Dia chi hien tai o TP.HCM, danh sach store co 'LOTTE Mart Long Bien' (Ha Noi, khong phuc vu duoc dia chi nay).</t>
        </is>
      </c>
      <c r="H23" s="7" t="inlineStr">
        <is>
          <t>1. Mo store sheet, quan sat dong 'LOTTE Mart Long Bien' - kiem tra co bi khoa/an khong.
2. Chon 'LOTTE Mart Long Bien'.
3. Kiem tra trang thai Delivery va Pickup sau khi chon.</t>
        </is>
      </c>
      <c r="I23" s="7" t="inlineStr">
        <is>
          <t>Store: LOTTE Mart Long Bien, dia chi hien tai: TP.HCM.</t>
        </is>
      </c>
      <c r="J23" s="7" t="inlineStr">
        <is>
          <t>Buoc 1: dong store van hien va CHON DUOC (khong bi khoa), chi co ghi chu 'Does not serve this address'. Buoc 3: Delivery chuyen sang trang thai 'not served' cho dia chi nay, nhung duyet danh muc va Pickup tai store do van hoat dong binh thuong.</t>
        </is>
      </c>
      <c r="K23" s="7" t="inlineStr">
        <is>
          <t>Medium</t>
        </is>
      </c>
      <c r="L23" s="8" t="n"/>
      <c r="M23" s="8" t="inlineStr">
        <is>
          <t>Not Run</t>
        </is>
      </c>
      <c r="N23" s="8" t="n"/>
      <c r="O23" s="8" t="n"/>
      <c r="P23" s="7" t="n"/>
      <c r="Q23" s="7" t="n"/>
      <c r="R23" s="7" t="n"/>
    </row>
    <row r="24" ht="70" customHeight="1">
      <c r="A24" s="7" t="inlineStr">
        <is>
          <t>SCR-HOM-05-SC1-TC1</t>
        </is>
      </c>
      <c r="B24" s="7" t="inlineStr">
        <is>
          <t>SCR-HOM-05-SC1</t>
        </is>
      </c>
      <c r="C24" s="7" t="inlineStr">
        <is>
          <t>SCR-HOM-05</t>
        </is>
      </c>
      <c r="D24" s="7" t="inlineStr">
        <is>
          <t>HP-04</t>
        </is>
      </c>
      <c r="E24" s="7" t="inlineStr">
        <is>
          <t>Boundary</t>
        </is>
      </c>
      <c r="F24" s="7" t="inlineStr">
        <is>
          <t>4 trang thai uoc tinh giao hang loai tru nhau dung theo tung nguong khoang cach</t>
        </is>
      </c>
      <c r="G24" s="7" t="inlineStr">
        <is>
          <t>4 dia chi mau da chuan bi san khop dung 4 khoang: 4km, 12km, thuoc Next-day, ngoai moi vung.</t>
        </is>
      </c>
      <c r="H24" s="7" t="inlineStr">
        <is>
          <t>1. Luu dia chi 'A' (4km) - quan sat uoc tinh.
2. Doi sang dia chi 'B' (12km) - quan sat uoc tinh.
3. Doi sang dia chi 'C' (thuoc khu Next-day) - quan sat uoc tinh.
4. Doi sang dia chi 'D' (ngoai moi vung) - quan sat uoc tinh.</t>
        </is>
      </c>
      <c r="I24" s="7" t="inlineStr">
        <is>
          <t>Dia chi A: 4km. B: 12km. C: khu Next-day da cau hinh. D: ngoai moi vung.</t>
        </is>
      </c>
      <c r="J24" s="7" t="inlineStr">
        <is>
          <t>A: hien 60-Minute + Standard (Standard la mac dinh). B: chi Standard, khong co affordance 60-Minute. C: chi hien ngay giao (khong khung gio). D: khong ngay/gio, chi thong bao 'khong duoc phuc vu' + CTA doi dia chi. 4 trang thai khong chong lan.</t>
        </is>
      </c>
      <c r="K24" s="7" t="inlineStr">
        <is>
          <t>High</t>
        </is>
      </c>
      <c r="L24" s="8" t="n"/>
      <c r="M24" s="8" t="inlineStr">
        <is>
          <t>Not Run</t>
        </is>
      </c>
      <c r="N24" s="8" t="n"/>
      <c r="O24" s="8" t="n"/>
      <c r="P24" s="7" t="n"/>
      <c r="Q24" s="7" t="n"/>
      <c r="R24" s="7" t="n"/>
    </row>
    <row r="25" ht="70" customHeight="1">
      <c r="A25" s="7" t="inlineStr">
        <is>
          <t>SCR-HOM-06-SC1-TC1</t>
        </is>
      </c>
      <c r="B25" s="7" t="inlineStr">
        <is>
          <t>SCR-HOM-06-SC1</t>
        </is>
      </c>
      <c r="C25" s="7" t="inlineStr">
        <is>
          <t>SCR-HOM-06</t>
        </is>
      </c>
      <c r="D25" s="7" t="inlineStr">
        <is>
          <t>HP-01, BR-06</t>
        </is>
      </c>
      <c r="E25" s="7" t="inlineStr">
        <is>
          <t>Functional</t>
        </is>
      </c>
      <c r="F25" s="7" t="inlineStr">
        <is>
          <t>Dang nhap thanh cong doi thu tu uu tien gia hien thi tu Guest sang Member</t>
        </is>
      </c>
      <c r="G25" s="7" t="inlineStr">
        <is>
          <t>Truoc khi dang nhap: dang xem 1 SKU co ca gia Guest va Member o trang thai Guest.</t>
        </is>
      </c>
      <c r="H25" s="7" t="inlineStr">
        <is>
          <t>1. Ghi nhan thu tu hien thi gia (Guest truoc, Member sau) khi con la Guest.
2. Dang nhap thanh cong bang tai khoan Member co tier/diem/coupon.
3. Quan sat lai the SKU do va strip thong tin Member tren header.</t>
        </is>
      </c>
      <c r="I25" s="7" t="inlineStr">
        <is>
          <t>Tai khoan Member: co tier Bac, 500 diem, 2 coupon kha dung.</t>
        </is>
      </c>
      <c r="J25" s="7" t="inlineStr">
        <is>
          <t>Sau dang nhap: strip Member (ten, tier, diem, coupon) xuat hien tren Homepage; gia Member tro thanh gia CHINH (noi bat hon), gia Guest bi lam mo/thu nho - dao nguoc thu tu so voi buoc 1.</t>
        </is>
      </c>
      <c r="K25" s="7" t="inlineStr">
        <is>
          <t>Medium</t>
        </is>
      </c>
      <c r="L25" s="8" t="n"/>
      <c r="M25" s="8" t="inlineStr">
        <is>
          <t>Not Run</t>
        </is>
      </c>
      <c r="N25" s="8" t="n"/>
      <c r="O25" s="8" t="n"/>
      <c r="P25" s="7" t="n"/>
      <c r="Q25" s="7" t="n"/>
      <c r="R25" s="7" t="n"/>
    </row>
    <row r="26" ht="70" customHeight="1">
      <c r="A26" s="7" t="inlineStr">
        <is>
          <t>SCR-HOM-06-SC2-TC1</t>
        </is>
      </c>
      <c r="B26" s="7" t="inlineStr">
        <is>
          <t>SCR-HOM-06-SC2</t>
        </is>
      </c>
      <c r="C26" s="7" t="inlineStr">
        <is>
          <t>SCR-HOM-06</t>
        </is>
      </c>
      <c r="D26" s="7" t="inlineStr">
        <is>
          <t>HP-10, NFR-03</t>
        </is>
      </c>
      <c r="E26" s="7" t="inlineStr">
        <is>
          <t>Functional</t>
        </is>
      </c>
      <c r="F26" s="7" t="inlineStr">
        <is>
          <t>Dang xuat giu nguyen store, xoa dia chi, Cart icon van hien thi</t>
        </is>
      </c>
      <c r="G26" s="7" t="inlineStr">
        <is>
          <t>Dang dang nhap, store = Nam Sai Gon, dia chi da luu = '123 Nguyen Thi Thap, Q.7'.</t>
        </is>
      </c>
      <c r="H26" s="7" t="inlineStr">
        <is>
          <t>1. Vao Account, bam Logout.
2. Xac nhan trong dialog canh bao logout.
3. Quan sat header Homepage sau khi logout.</t>
        </is>
      </c>
      <c r="I26" s="7" t="inlineStr">
        <is>
          <t>Truoc logout: store Nam Sai Gon, dia chi da chon.</t>
        </is>
      </c>
      <c r="J26" s="7" t="inlineStr">
        <is>
          <t>Dialog xac nhan neu ro dieu gi duoc giu (store) va dieu gi bi xoa (dia chi) TRUOC khi khach xac nhan. Sau khi xac nhan: quay ve SCR-HOM-01 State A - store VAN LA 'Nam Sai Gon' (giu nguyen), dia chi bi XOA (hien lai 'Choose delivery address'), Cart icon van hien thi binh thuong.</t>
        </is>
      </c>
      <c r="K26" s="7" t="inlineStr">
        <is>
          <t>High</t>
        </is>
      </c>
      <c r="L26" s="8" t="n"/>
      <c r="M26" s="8" t="inlineStr">
        <is>
          <t>Not Run</t>
        </is>
      </c>
      <c r="N26" s="8" t="n"/>
      <c r="O26" s="8" t="n"/>
      <c r="P26" s="7" t="inlineStr">
        <is>
          <t>QnA-26</t>
        </is>
      </c>
      <c r="Q26" s="7" t="inlineStr">
        <is>
          <t>Dia chi nao active khi dang nhap lai van la OQ-26/QnA-26.</t>
        </is>
      </c>
      <c r="R26" s="7" t="n"/>
    </row>
    <row r="27" ht="70" customHeight="1">
      <c r="A27" s="7" t="inlineStr">
        <is>
          <t>SCR-AUT-01-SC1-TC1</t>
        </is>
      </c>
      <c r="B27" s="7" t="inlineStr">
        <is>
          <t>SCR-AUT-01-SC1</t>
        </is>
      </c>
      <c r="C27" s="7" t="inlineStr">
        <is>
          <t>SCR-AUT-01</t>
        </is>
      </c>
      <c r="D27" s="7" t="inlineStr">
        <is>
          <t>HP-06</t>
        </is>
      </c>
      <c r="E27" s="7" t="inlineStr">
        <is>
          <t>Functional</t>
        </is>
      </c>
      <c r="F27" s="7" t="inlineStr">
        <is>
          <t>Add to Cart bi chan boi login gate, dang nhap xong san pham duoc tu dong them</t>
        </is>
      </c>
      <c r="G27" s="7" t="inlineStr">
        <is>
          <t>Guest chua dang nhap, dang xem SKU-A co the them vao gio.</t>
        </is>
      </c>
      <c r="H27" s="7" t="inlineStr">
        <is>
          <t>1. Bam 'Add to Cart' tren SKU-A.
2. Quan sat bottom sheet dang nhap/dang ky mo ra (khong phai full-screen).
3. Chon 'Sign in', hoan tat dang nhap thanh cong (SDT+PIN hop le).
4. Kiem tra gio hang va toast thong bao.</t>
        </is>
      </c>
      <c r="I27" s="7" t="inlineStr">
        <is>
          <t>SKU-A: con hang. Tai khoan Member test co san.</t>
        </is>
      </c>
      <c r="J27" s="7" t="inlineStr">
        <is>
          <t>Buoc 2: sheet mo dung ngay khi bam Add to Cart (chan truoc khi them); tieu de sheet neu ro dang gate cho hanh dong 'them vao gio'. Buoc 4: SKU-A DA duoc tu dong them vao gio (khong can bam Add to Cart lai), co toast xac nhan; neu Guest da co dia chi cuc bo, dia chi do da duoc dong bo len tai khoan.</t>
        </is>
      </c>
      <c r="K27" s="7" t="inlineStr">
        <is>
          <t>High</t>
        </is>
      </c>
      <c r="L27" s="8" t="n"/>
      <c r="M27" s="8" t="inlineStr">
        <is>
          <t>Not Run</t>
        </is>
      </c>
      <c r="N27" s="8" t="n"/>
      <c r="O27" s="8" t="n"/>
      <c r="P27" s="7" t="n"/>
      <c r="Q27" s="7" t="n"/>
      <c r="R27" s="7" t="n"/>
    </row>
    <row r="28" ht="70" customHeight="1">
      <c r="A28" s="7" t="inlineStr">
        <is>
          <t>SCR-AUT-01-SC2-TC1</t>
        </is>
      </c>
      <c r="B28" s="7" t="inlineStr">
        <is>
          <t>SCR-AUT-01-SC2</t>
        </is>
      </c>
      <c r="C28" s="7" t="inlineStr">
        <is>
          <t>SCR-AUT-01</t>
        </is>
      </c>
      <c r="D28" s="7" t="inlineStr">
        <is>
          <t>HP-07</t>
        </is>
      </c>
      <c r="E28" s="7" t="inlineStr">
        <is>
          <t>Functional</t>
        </is>
      </c>
      <c r="F28" s="7" t="inlineStr">
        <is>
          <t>Bam icon Cart bi chan boi login gate, dang nhap xong Cart mo truc tiep</t>
        </is>
      </c>
      <c r="G28" s="7" t="inlineStr">
        <is>
          <t>Guest chua dang nhap, da chon dia chi/dich vu/khung gio tren Homepage.</t>
        </is>
      </c>
      <c r="H28" s="7" t="inlineStr">
        <is>
          <t>1. Bam icon Cart o tab bar.
2. Quan sat bottom sheet dang nhap/dang ky voi noi dung rieng cho ngu canh mo Cart.
3. Dang nhap thanh cong.
4. Quan sat man hinh ke tiep va cac gia tri dia chi/dich vu/khung gio trong Cart.</t>
        </is>
      </c>
      <c r="I28" s="7" t="inlineStr">
        <is>
          <t>Dia chi/dich vu/khung gio da chon tren Homepage truoc khi bam icon Cart.</t>
        </is>
      </c>
      <c r="J28" s="7" t="inlineStr">
        <is>
          <t>Buoc 2: icon Cart luon hien thi va tap duoc (khong bi an/disable - BRL-06), mo dung gate voi copy rieng cho 'mo Cart' (khac copy cua Add to Cart). Buoc 4: Cart MO TRUC TIEP (khong phai them san pham); dia chi/dich vu/khung gio tu Homepage duoc mang nguyen vao Cart.</t>
        </is>
      </c>
      <c r="K28" s="7" t="inlineStr">
        <is>
          <t>High</t>
        </is>
      </c>
      <c r="L28" s="8" t="n"/>
      <c r="M28" s="8" t="inlineStr">
        <is>
          <t>Not Run</t>
        </is>
      </c>
      <c r="N28" s="8" t="n"/>
      <c r="O28" s="8" t="n"/>
      <c r="P28" s="7" t="n"/>
      <c r="Q28" s="7" t="n"/>
      <c r="R28" s="7" t="n"/>
    </row>
    <row r="29" ht="70" customHeight="1">
      <c r="A29" s="7" t="inlineStr">
        <is>
          <t>SCR-AUT-01-SC3-TC1</t>
        </is>
      </c>
      <c r="B29" s="7" t="inlineStr">
        <is>
          <t>SCR-AUT-01-SC3</t>
        </is>
      </c>
      <c r="C29" s="7" t="inlineStr">
        <is>
          <t>SCR-AUT-01</t>
        </is>
      </c>
      <c r="D29" s="7" t="inlineStr">
        <is>
          <t>HP-06, HP-07</t>
        </is>
      </c>
      <c r="E29" s="7" t="inlineStr">
        <is>
          <t>Negative</t>
        </is>
      </c>
      <c r="F29" s="7" t="inlineStr">
        <is>
          <t>Huy (Cancel) sheet dang nhap tu ca 2 loi vao khong lam mat ngu canh dang duyet</t>
        </is>
      </c>
      <c r="G29" s="7" t="inlineStr">
        <is>
          <t>Guest chua dang nhap.</t>
        </is>
      </c>
      <c r="H29" s="7" t="inlineStr">
        <is>
          <t>1. Bam Add to Cart tren SKU-B, khi sheet dang nhap mo, bam Cancel/vuot dong sheet.
2. Kiem tra gio hang va man hinh hien tai.
3. Bam icon Cart, khi sheet dang nhap mo, bam Cancel.
4. Kiem tra Cart va man hinh hien tai.</t>
        </is>
      </c>
      <c r="I29" s="7" t="inlineStr">
        <is>
          <t>SKU-B: con hang, chua co trong gio.</t>
        </is>
      </c>
      <c r="J29" s="7" t="inlineStr">
        <is>
          <t>Buoc 2: quay ve dung trang san pham/Homepage nhu truoc do, SKU-B KHONG duoc them vao gio. Buoc 4: quay ve Homepage, Cart KHONG duoc mo. Ca 2 truong hop deu khong mat du lieu/ngu canh dang duyet (BRL-08).</t>
        </is>
      </c>
      <c r="K29" s="7" t="inlineStr">
        <is>
          <t>High</t>
        </is>
      </c>
      <c r="L29" s="8" t="n"/>
      <c r="M29" s="8" t="inlineStr">
        <is>
          <t>Not Run</t>
        </is>
      </c>
      <c r="N29" s="8" t="n"/>
      <c r="O29" s="8" t="n"/>
      <c r="P29" s="7" t="n"/>
      <c r="Q29" s="7" t="n"/>
      <c r="R29" s="7" t="n"/>
    </row>
    <row r="30" ht="70" customHeight="1">
      <c r="A30" s="7" t="inlineStr">
        <is>
          <t>SCR-AUT-02-SC1-TC1</t>
        </is>
      </c>
      <c r="B30" s="7" t="inlineStr">
        <is>
          <t>SCR-AUT-02-SC1</t>
        </is>
      </c>
      <c r="C30" s="7" t="inlineStr">
        <is>
          <t>SCR-AUT-02</t>
        </is>
      </c>
      <c r="D30" s="7" t="inlineStr">
        <is>
          <t>SU-01, SU-02, SU-03</t>
        </is>
      </c>
      <c r="E30" s="7" t="inlineStr">
        <is>
          <t>Functional</t>
        </is>
      </c>
      <c r="F30" s="7" t="inlineStr">
        <is>
          <t>Dang ky bang SDT hop le, kenh Zalo mac dinh, OTP dung dan den man tao PIN</t>
        </is>
      </c>
      <c r="G30" s="7" t="inlineStr">
        <is>
          <t>Dang o man 'Chon Dang ky' tu login gate.</t>
        </is>
      </c>
      <c r="H30" s="7" t="inlineStr">
        <is>
          <t>1. Nhap SDT dung dinh dang di dong VN (vi du 09xxxxxxxx).
2. Quan sat kenh OTP mac dinh la Zalo, co nhan 'Recommended'.
3. Bam gui OTP.
4. Nhap dung ma OTP nhan duoc.
5. Quan sat man ke tiep.</t>
        </is>
      </c>
      <c r="I30" s="7" t="inlineStr">
        <is>
          <t>SDT test: 0912345678 (chua dang ky). OTP hop le tu moi truong test.</t>
        </is>
      </c>
      <c r="J30" s="7" t="inlineStr">
        <is>
          <t>Zalo la kenh mac dinh va da duoc chon san; sau OTP dung, chuyen sang SCR-AUT-03 (Tao PIN) ma khong loi.</t>
        </is>
      </c>
      <c r="K30" s="7" t="inlineStr">
        <is>
          <t>High</t>
        </is>
      </c>
      <c r="L30" s="8" t="n"/>
      <c r="M30" s="8" t="inlineStr">
        <is>
          <t>Not Run</t>
        </is>
      </c>
      <c r="N30" s="8" t="n"/>
      <c r="O30" s="8" t="n"/>
      <c r="P30" s="7" t="n"/>
      <c r="Q30" s="7" t="n"/>
      <c r="R30" s="9" t="inlineStr">
        <is>
          <t>Test nay moi test truong hop go DUNG ma OTP. Con thieu 1 test rat co ban: go SAI ma OTP (chi sai 1 lan thoi, chua den muc bi khoa) - xem thong bao loi hien ra co de hieu khong, va cho go lai ngay duoc khong. Nen bo sung.</t>
        </is>
      </c>
    </row>
    <row r="31" ht="70" customHeight="1">
      <c r="A31" s="7" t="inlineStr">
        <is>
          <t>SCR-AUT-02-SC1-TC2</t>
        </is>
      </c>
      <c r="B31" s="7" t="inlineStr">
        <is>
          <t>SCR-AUT-02-SC1</t>
        </is>
      </c>
      <c r="C31" s="7" t="inlineStr">
        <is>
          <t>SCR-AUT-02</t>
        </is>
      </c>
      <c r="D31" s="7" t="inlineStr">
        <is>
          <t>SU-03</t>
        </is>
      </c>
      <c r="E31" s="7" t="inlineStr">
        <is>
          <t>Boundary</t>
        </is>
      </c>
      <c r="F31" s="7" t="inlineStr">
        <is>
          <t>Nut Resend bi disable trong thoi gian dem nguoc ngay sau khi gui OTP</t>
        </is>
      </c>
      <c r="G31" s="7" t="inlineStr">
        <is>
          <t>Vua bam gui OTP lan dau.</t>
        </is>
      </c>
      <c r="H31" s="7" t="inlineStr">
        <is>
          <t>1. Bam gui OTP.
2. Ngay lap tuc kiem tra trang thai nut Resend.
3. Cho het thoi gian dem nguoc hien thi tren man hinh.
4. Kiem tra lai trang thai nut Resend.</t>
        </is>
      </c>
      <c r="I31" s="7" t="inlineStr">
        <is>
          <t>N/A.</t>
        </is>
      </c>
      <c r="J31" s="7" t="inlineStr">
        <is>
          <t>Buoc 2: Resend o trang thai disabled kem dong ho dem nguoc. Buoc 4: sau khi dem nguoc ve 0, Resend chuyen sang enabled (BRL-15).</t>
        </is>
      </c>
      <c r="K31" s="7" t="inlineStr">
        <is>
          <t>Medium</t>
        </is>
      </c>
      <c r="L31" s="8" t="n"/>
      <c r="M31" s="8" t="inlineStr">
        <is>
          <t>Not Run</t>
        </is>
      </c>
      <c r="N31" s="8" t="n"/>
      <c r="O31" s="8" t="n"/>
      <c r="P31" s="7" t="n"/>
      <c r="Q31" s="7" t="n"/>
      <c r="R31" s="7" t="n"/>
    </row>
    <row r="32" ht="70" customHeight="1">
      <c r="A32" s="7" t="inlineStr">
        <is>
          <t>SCR-AUT-02-SC2-TC1</t>
        </is>
      </c>
      <c r="B32" s="7" t="inlineStr">
        <is>
          <t>SCR-AUT-02-SC2</t>
        </is>
      </c>
      <c r="C32" s="7" t="inlineStr">
        <is>
          <t>SCR-AUT-02</t>
        </is>
      </c>
      <c r="D32" s="7" t="inlineStr">
        <is>
          <t>SU-03</t>
        </is>
      </c>
      <c r="E32" s="7" t="inlineStr">
        <is>
          <t>Negative</t>
        </is>
      </c>
      <c r="F32" s="7" t="inlineStr">
        <is>
          <t>Khong tu dong fallback sang SMS khi Zalo that bai - phai doi kenh thu cong</t>
        </is>
      </c>
      <c r="G32" s="7" t="inlineStr">
        <is>
          <t>Da gui OTP qua Zalo, kenh Zalo duoc gia lap that bai giao (khong nhan duoc tin).</t>
        </is>
      </c>
      <c r="H32" s="7" t="inlineStr">
        <is>
          <t>1. Gui OTP qua Zalo (gia lap khong nhan duoc).
2. Cho het dem nguoc Resend.
3. Kiem tra he thong CO tu dong chuyen sang SMS hay khong (ky vong: khong).
4. Chu dong bam 'doi kenh' chon SMS.
5. Kiem tra OTP moi duoc gui qua SMS.</t>
        </is>
      </c>
      <c r="I32" s="7" t="inlineStr">
        <is>
          <t>SDT test, kenh Zalo gia lap loi.</t>
        </is>
      </c>
      <c r="J32" s="7" t="inlineStr">
        <is>
          <t>Buoc 3: he thong KHONG tu dong gui lai qua SMS. Buoc 5: chi sau khi khach chu dong doi kenh, OTP moi duoc gui qua SMS.</t>
        </is>
      </c>
      <c r="K32" s="7" t="inlineStr">
        <is>
          <t>High</t>
        </is>
      </c>
      <c r="L32" s="8" t="n"/>
      <c r="M32" s="8" t="inlineStr">
        <is>
          <t>Not Run</t>
        </is>
      </c>
      <c r="N32" s="8" t="n"/>
      <c r="O32" s="8" t="n"/>
      <c r="P32" s="7" t="inlineStr">
        <is>
          <t>QnA-08</t>
        </is>
      </c>
      <c r="Q32" s="7" t="inlineStr">
        <is>
          <t>Can Dev xac nhan ky thuat that su khong co auto-fallback (OQ-08/QnA-08) - test nay dung de xac minh hanh vi truoc khi dong OQ-08.</t>
        </is>
      </c>
      <c r="R32" s="7" t="n"/>
    </row>
    <row r="33" ht="70" customHeight="1">
      <c r="A33" s="7" t="inlineStr">
        <is>
          <t>SCR-AUT-02-SC3-TC1</t>
        </is>
      </c>
      <c r="B33" s="7" t="inlineStr">
        <is>
          <t>SCR-AUT-02-SC3</t>
        </is>
      </c>
      <c r="C33" s="7" t="inlineStr">
        <is>
          <t>SCR-AUT-02</t>
        </is>
      </c>
      <c r="D33" s="7" t="inlineStr">
        <is>
          <t>SU-09</t>
        </is>
      </c>
      <c r="E33" s="7" t="inlineStr">
        <is>
          <t>Negative</t>
        </is>
      </c>
      <c r="F33" s="7" t="inlineStr">
        <is>
          <t>Dang ky voi SDT da ton tai bao loi va CTA chuyen sang Sign in</t>
        </is>
      </c>
      <c r="G33" s="7" t="inlineStr">
        <is>
          <t>Co san 1 tai khoan Member voi SDT 0987654321.</t>
        </is>
      </c>
      <c r="H33" s="7" t="inlineStr">
        <is>
          <t>1. O man nhap SDT cua Signup, nhap '0987654321'.
2. Bam Tiep tuc / gui OTP.
3. Quan sat thong bao loi va o nhap SDT.
4. Quan sat CTA chinh.</t>
        </is>
      </c>
      <c r="I33" s="7" t="inlineStr">
        <is>
          <t>SDT da dang ky: 0987654321.</t>
        </is>
      </c>
      <c r="J33" s="7" t="inlineStr">
        <is>
          <t>Bao loi 'so dien thoai da duoc dang ky'; o SDT VAN giu nguyen gia tri vua nhap; CTA chinh doi thanh 'Dang nhap' voi SDT da dien san.</t>
        </is>
      </c>
      <c r="K33" s="7" t="inlineStr">
        <is>
          <t>High</t>
        </is>
      </c>
      <c r="L33" s="8" t="n"/>
      <c r="M33" s="8" t="inlineStr">
        <is>
          <t>Not Run</t>
        </is>
      </c>
      <c r="N33" s="8" t="n"/>
      <c r="O33" s="8" t="n"/>
      <c r="P33" s="7" t="n"/>
      <c r="Q33" s="7" t="n"/>
      <c r="R33" s="9" t="inlineStr">
        <is>
          <t>Test nay dang test so dien thoai DA CO tai khoan roi. Con thieu 1 test don gian hon: go so dien thoai SAI DINH DANG (vi du go thieu so, hoac go chu xen vao) ngay tu dau - xem he thong co chan va bao loi ro rang khong. Nen bo sung.</t>
        </is>
      </c>
    </row>
    <row r="34" ht="70" customHeight="1">
      <c r="A34" s="7" t="inlineStr">
        <is>
          <t>SCR-AUT-03-SC1-TC1</t>
        </is>
      </c>
      <c r="B34" s="7" t="inlineStr">
        <is>
          <t>SCR-AUT-03-SC1</t>
        </is>
      </c>
      <c r="C34" s="7" t="inlineStr">
        <is>
          <t>SCR-AUT-03</t>
        </is>
      </c>
      <c r="D34" s="7" t="inlineStr">
        <is>
          <t>SU-04</t>
        </is>
      </c>
      <c r="E34" s="7" t="inlineStr">
        <is>
          <t>Functional</t>
        </is>
      </c>
      <c r="F34" s="7" t="inlineStr">
        <is>
          <t>Tao PIN 6 so va xac nhan khop chuyen sang man Ho so</t>
        </is>
      </c>
      <c r="G34" s="7" t="inlineStr">
        <is>
          <t>Vua xac thuc OTP thanh cong.</t>
        </is>
      </c>
      <c r="H34" s="7" t="inlineStr">
        <is>
          <t>1. Nhap PIN '123456' bang ban phim so cua app.
2. Nhap lai '123456' o o xac nhan.
3. Quan sat man ke tiep.</t>
        </is>
      </c>
      <c r="I34" s="7" t="inlineStr">
        <is>
          <t>PIN test: 123456.</t>
        </is>
      </c>
      <c r="J34" s="7" t="inlineStr">
        <is>
          <t>Sau khi 2 lan nhap khop, chuyen sang SCR-AUT-04 (Ho so). Ban phim la ban phim rieng cua app, khong phai ban phim he thong (tranh predictive text/clipboard).</t>
        </is>
      </c>
      <c r="K34" s="7" t="inlineStr">
        <is>
          <t>High</t>
        </is>
      </c>
      <c r="L34" s="8" t="n"/>
      <c r="M34" s="8" t="inlineStr">
        <is>
          <t>Not Run</t>
        </is>
      </c>
      <c r="N34" s="8" t="n"/>
      <c r="O34" s="8" t="n"/>
      <c r="P34" s="7" t="n"/>
      <c r="Q34" s="7" t="n"/>
      <c r="R34" s="7" t="n"/>
    </row>
    <row r="35" ht="70" customHeight="1">
      <c r="A35" s="7" t="inlineStr">
        <is>
          <t>SCR-AUT-03-SC2-TC1</t>
        </is>
      </c>
      <c r="B35" s="7" t="inlineStr">
        <is>
          <t>SCR-AUT-03-SC2</t>
        </is>
      </c>
      <c r="C35" s="7" t="inlineStr">
        <is>
          <t>SCR-AUT-03</t>
        </is>
      </c>
      <c r="D35" s="7" t="inlineStr">
        <is>
          <t>SU-04</t>
        </is>
      </c>
      <c r="E35" s="7" t="inlineStr">
        <is>
          <t>Negative</t>
        </is>
      </c>
      <c r="F35" s="7" t="inlineStr">
        <is>
          <t>PIN xac nhan khong khop chi xoa o xac nhan, giu nguyen o dau</t>
        </is>
      </c>
      <c r="G35" s="7" t="inlineStr">
        <is>
          <t>Da nhap PIN lan dau la '123456'.</t>
        </is>
      </c>
      <c r="H35" s="7" t="inlineStr">
        <is>
          <t>1. O buoc xac nhan, nhap '654321' (khac PIN lan dau).
2. Quan sat thong bao va trang thai 2 o nhap.
3. Nhap lai dung '123456' o xac nhan.</t>
        </is>
      </c>
      <c r="I35" s="7" t="inlineStr">
        <is>
          <t>PIN lan 1: 123456. PIN xac nhan sai: 654321.</t>
        </is>
      </c>
      <c r="J35" s="7" t="inlineStr">
        <is>
          <t>Buoc 2: bao 'khong khop', CHI o xac nhan bi xoa/reset, o PIN lan dau van giu nguyen '123456' (khong bat khach nhap lai tu dau). Buoc 3: nhap dung thi tiep tuc duoc sang Ho so.</t>
        </is>
      </c>
      <c r="K35" s="7" t="inlineStr">
        <is>
          <t>Medium</t>
        </is>
      </c>
      <c r="L35" s="8" t="n"/>
      <c r="M35" s="8" t="inlineStr">
        <is>
          <t>Not Run</t>
        </is>
      </c>
      <c r="N35" s="8" t="n"/>
      <c r="O35" s="8" t="n"/>
      <c r="P35" s="7" t="inlineStr">
        <is>
          <t>QnA-03</t>
        </is>
      </c>
      <c r="Q35" s="7" t="inlineStr">
        <is>
          <t>Gioi han so lan thu sai lien tiep truoc khi khoa/restart van cho Security/Dev (OQ-03/QnA-03).</t>
        </is>
      </c>
      <c r="R35" s="7" t="n"/>
    </row>
    <row r="36" ht="70" customHeight="1">
      <c r="A36" s="7" t="inlineStr">
        <is>
          <t>SCR-AUT-04-SC1-TC1</t>
        </is>
      </c>
      <c r="B36" s="7" t="inlineStr">
        <is>
          <t>SCR-AUT-04-SC1</t>
        </is>
      </c>
      <c r="C36" s="7" t="inlineStr">
        <is>
          <t>SCR-AUT-04</t>
        </is>
      </c>
      <c r="D36" s="7" t="inlineStr">
        <is>
          <t>SU-05</t>
        </is>
      </c>
      <c r="E36" s="7" t="inlineStr">
        <is>
          <t>Validation</t>
        </is>
      </c>
      <c r="F36" s="7" t="inlineStr">
        <is>
          <t>Khong tick Dieu khoan &amp; Chinh sach thi khong tao duoc tai khoan</t>
        </is>
      </c>
      <c r="G36" s="7" t="inlineStr">
        <is>
          <t>Da dien day du Ten/Gioi tinh/Ngay sinh/Quoc tich/Store dang ky, CHUA tick Dieu khoan.</t>
        </is>
      </c>
      <c r="H36" s="7" t="inlineStr">
        <is>
          <t>1. Dien du cac truong bat buoc con lai.
2. KHONG tick checkbox 'Dieu khoan su dung &amp; Chinh sach bao mat'.
3. Bam 'Tao tai khoan'.
4. Tick checkbox Dieu khoan.
5. Bam lai 'Tao tai khoan'.</t>
        </is>
      </c>
      <c r="I36" s="7" t="inlineStr">
        <is>
          <t>Ho so mau: Nguyen Van A, Nu, 01/01/1995, Viet Nam, LOTTE Mart Nam Sai Gon.</t>
        </is>
      </c>
      <c r="J36" s="7" t="inlineStr">
        <is>
          <t>Buoc 3: bi chan (nut disabled hoac hien loi yeu cau tick Dieu khoan), tai khoan CHUA duoc tao. Buoc 5: sau khi tick, tao tai khoan thanh cong.</t>
        </is>
      </c>
      <c r="K36" s="7" t="inlineStr">
        <is>
          <t>High</t>
        </is>
      </c>
      <c r="L36" s="8" t="n"/>
      <c r="M36" s="8" t="inlineStr">
        <is>
          <t>Not Run</t>
        </is>
      </c>
      <c r="N36" s="8" t="n"/>
      <c r="O36" s="8" t="n"/>
      <c r="P36" s="7" t="n"/>
      <c r="Q36" s="7" t="n"/>
      <c r="R36" s="7" t="n"/>
    </row>
    <row r="37" ht="70" customHeight="1">
      <c r="A37" s="7" t="inlineStr">
        <is>
          <t>SCR-AUT-04-SC2-TC1</t>
        </is>
      </c>
      <c r="B37" s="7" t="inlineStr">
        <is>
          <t>SCR-AUT-04-SC2</t>
        </is>
      </c>
      <c r="C37" s="7" t="inlineStr">
        <is>
          <t>SCR-AUT-04</t>
        </is>
      </c>
      <c r="D37" s="7" t="inlineStr">
        <is>
          <t>SU-05</t>
        </is>
      </c>
      <c r="E37" s="7" t="inlineStr">
        <is>
          <t>Functional</t>
        </is>
      </c>
      <c r="F37" s="7" t="inlineStr">
        <is>
          <t>Gia tri mac dinh cua Gioi tinh va Store dang ky dung nhu da chot</t>
        </is>
      </c>
      <c r="G37" s="7" t="inlineStr">
        <is>
          <t>Da chon store 'LOTTE Mart Nam Sai Gon' o Onboarding.</t>
        </is>
      </c>
      <c r="H37" s="7" t="inlineStr">
        <is>
          <t>1. Vao man Ho so, KHONG thao tac gi voi truong Gioi tinh va Store dang ky.
2. Quan sat gia tri hien co san.
3. Doi Gioi tinh sang 'Anh' bang 1 lan cham, xac nhan doi duoc.</t>
        </is>
      </c>
      <c r="I37" s="7" t="inlineStr">
        <is>
          <t>Store da chon truoc do: LOTTE Mart Nam Sai Gon.</t>
        </is>
      </c>
      <c r="J37" s="7" t="inlineStr">
        <is>
          <t>Gioi tinh mac dinh = 'Chi' (QnA-02, da chot giu nguyen); Store dang ky mac dinh = 'LOTTE Mart Nam Sai Gon' nhung van sua duoc; doi Gioi tinh chi can 1 thao tac.</t>
        </is>
      </c>
      <c r="K37" s="7" t="inlineStr">
        <is>
          <t>Medium</t>
        </is>
      </c>
      <c r="L37" s="8" t="n"/>
      <c r="M37" s="8" t="inlineStr">
        <is>
          <t>Not Run</t>
        </is>
      </c>
      <c r="N37" s="8" t="n"/>
      <c r="O37" s="8" t="n"/>
      <c r="P37" s="7" t="inlineStr">
        <is>
          <t>QnA-02</t>
        </is>
      </c>
      <c r="Q37" s="7" t="n"/>
      <c r="R37" s="7" t="n"/>
    </row>
    <row r="38" ht="70" customHeight="1">
      <c r="A38" s="7" t="inlineStr">
        <is>
          <t>SCR-AUT-04-SC3-TC1</t>
        </is>
      </c>
      <c r="B38" s="7" t="inlineStr">
        <is>
          <t>SCR-AUT-04-SC3</t>
        </is>
      </c>
      <c r="C38" s="7" t="inlineStr">
        <is>
          <t>SCR-AUT-04</t>
        </is>
      </c>
      <c r="D38" s="7" t="inlineStr">
        <is>
          <t>SU-06, SU-08</t>
        </is>
      </c>
      <c r="E38" s="7" t="inlineStr">
        <is>
          <t>Functional</t>
        </is>
      </c>
      <c r="F38" s="7" t="inlineStr">
        <is>
          <t>Tao tai khoan tu dong dang nhap va resume dung san pham da Add to Cart truoc do</t>
        </is>
      </c>
      <c r="G38" s="7" t="inlineStr">
        <is>
          <t>Guest bam Add to Cart tren SKU-A, bi chan boi login gate, chon Register va hoan tat OTP+PIN.</t>
        </is>
      </c>
      <c r="H38" s="7" t="inlineStr">
        <is>
          <t>1. Tu login gate (trigger: Add to Cart tren SKU-A), hoan tat cac buoc SDT/OTP/PIN.
2. Dien Ho so hop le, tick Dieu khoan, bam Tao tai khoan.
3. Kiem tra trang thai dang nhap.
4. Kiem tra gio hang co SKU-A hay khong.
5. Neu truoc do Guest da tao 1 dia chi cuc bo, kiem tra dia chi da xuat hien trong tai khoan.</t>
        </is>
      </c>
      <c r="I38" s="7" t="inlineStr">
        <is>
          <t>SKU-A: bat ky san pham con hang. Dia chi Guest cuc bo da tao truoc khi dang ky (neu co).</t>
        </is>
      </c>
      <c r="J38" s="7" t="inlineStr">
        <is>
          <t>Buoc 3: da o trang thai dang nhap ngay sau Submit (khong co man dang nhap rieng). Buoc 4: SKU-A da co san trong gio hang ma khong can bam Add to Cart lai. Buoc 5: dia chi cuc bo da duoc dong bo len tai khoan va danh dau active.</t>
        </is>
      </c>
      <c r="K38" s="7" t="inlineStr">
        <is>
          <t>High</t>
        </is>
      </c>
      <c r="L38" s="8" t="n"/>
      <c r="M38" s="8" t="inlineStr">
        <is>
          <t>Not Run</t>
        </is>
      </c>
      <c r="N38" s="8" t="n"/>
      <c r="O38" s="8" t="n"/>
      <c r="P38" s="7" t="n"/>
      <c r="Q38" s="7" t="n"/>
      <c r="R38" s="7" t="n"/>
    </row>
    <row r="39" ht="70" customHeight="1">
      <c r="A39" s="7" t="inlineStr">
        <is>
          <t>SCR-AUT-04-SC4-TC1</t>
        </is>
      </c>
      <c r="B39" s="7" t="inlineStr">
        <is>
          <t>SCR-AUT-04-SC4</t>
        </is>
      </c>
      <c r="C39" s="7" t="inlineStr">
        <is>
          <t>SCR-AUT-04</t>
        </is>
      </c>
      <c r="D39" s="7" t="inlineStr">
        <is>
          <t>SU-07</t>
        </is>
      </c>
      <c r="E39" s="7" t="inlineStr">
        <is>
          <t>Functional</t>
        </is>
      </c>
      <c r="F39" s="7" t="inlineStr">
        <is>
          <t>Tu choi loi moi sinh trac hoc khong anh huong den viec resume thao tac</t>
        </is>
      </c>
      <c r="G39" s="7" t="inlineStr">
        <is>
          <t>Vua tao tai khoan thanh cong, dang o loi moi Face ID/van tay.</t>
        </is>
      </c>
      <c r="H39" s="7" t="inlineStr">
        <is>
          <t>1. Quan sat loi moi bat sinh trac hoc xuat hien SAU khi tai khoan da duoc tao.
2. Bam 'Bo qua' / 'Khong, cam on'.
3. Kiem tra thao tac resume (vi du them san pham vao gio) van dien ra binh thuong.</t>
        </is>
      </c>
      <c r="I39" s="7" t="inlineStr">
        <is>
          <t>N/A.</t>
        </is>
      </c>
      <c r="J39" s="7" t="inlineStr">
        <is>
          <t>Loi moi chi xuat hien sau khi tao tai khoan (khong chan buoc tao tai khoan). Tu choi khong lam mat PIN hay chan resume; PIN van la phuong thuc dang nhap chinh cho lan sau.</t>
        </is>
      </c>
      <c r="K39" s="7" t="inlineStr">
        <is>
          <t>Low</t>
        </is>
      </c>
      <c r="L39" s="8" t="n"/>
      <c r="M39" s="8" t="inlineStr">
        <is>
          <t>Not Run</t>
        </is>
      </c>
      <c r="N39" s="8" t="n"/>
      <c r="O39" s="8" t="n"/>
      <c r="P39" s="7" t="n"/>
      <c r="Q39" s="7" t="n"/>
      <c r="R39" s="7" t="n"/>
    </row>
    <row r="40" ht="70" customHeight="1">
      <c r="A40" s="7" t="inlineStr">
        <is>
          <t>SCR-AUT-05-SC1-TC1</t>
        </is>
      </c>
      <c r="B40" s="7" t="inlineStr">
        <is>
          <t>SCR-AUT-05-SC1</t>
        </is>
      </c>
      <c r="C40" s="7" t="inlineStr">
        <is>
          <t>SCR-AUT-05</t>
        </is>
      </c>
      <c r="D40" s="7" t="inlineStr">
        <is>
          <t>LI-02</t>
        </is>
      </c>
      <c r="E40" s="7" t="inlineStr">
        <is>
          <t>Functional</t>
        </is>
      </c>
      <c r="F40" s="7" t="inlineStr">
        <is>
          <t>Dang nhap bang Face ID/van tay khi da bat tren thiet bi</t>
        </is>
      </c>
      <c r="G40" s="7" t="inlineStr">
        <is>
          <t>Tai khoan test da bat Face ID/van tay tren thiet bi dang test.</t>
        </is>
      </c>
      <c r="H40" s="7" t="inlineStr">
        <is>
          <t>1. Mo man dang nhap ('Existing customer - Sign in').
2. He thong tu dong kich hoat prompt Face ID/van tay.
3. Xac thuc sinh trac hoc thanh cong.
4. Quan sat ket qua.</t>
        </is>
      </c>
      <c r="I40" s="7" t="inlineStr">
        <is>
          <t>Tai khoan test da lien ket bio ticket voi thiet bi.</t>
        </is>
      </c>
      <c r="J40" s="7" t="inlineStr">
        <is>
          <t>Prompt sinh trac hoc duoc goi TU DONG (khong can nhap SDT truoc); xac thuc thanh cong dang nhap ngay va resume dung thao tac da kich hoat gate (LI-03).</t>
        </is>
      </c>
      <c r="K40" s="7" t="inlineStr">
        <is>
          <t>High</t>
        </is>
      </c>
      <c r="L40" s="8" t="n"/>
      <c r="M40" s="8" t="inlineStr">
        <is>
          <t>Not Run</t>
        </is>
      </c>
      <c r="N40" s="8" t="n"/>
      <c r="O40" s="8" t="n"/>
      <c r="P40" s="7" t="n"/>
      <c r="Q40" s="7" t="n"/>
      <c r="R40" s="7" t="n"/>
    </row>
    <row r="41" ht="70" customHeight="1">
      <c r="A41" s="7" t="inlineStr">
        <is>
          <t>SCR-AUT-05-SC2-TC1</t>
        </is>
      </c>
      <c r="B41" s="7" t="inlineStr">
        <is>
          <t>SCR-AUT-05-SC2</t>
        </is>
      </c>
      <c r="C41" s="7" t="inlineStr">
        <is>
          <t>SCR-AUT-05</t>
        </is>
      </c>
      <c r="D41" s="7" t="inlineStr">
        <is>
          <t>LI-01, LI-02</t>
        </is>
      </c>
      <c r="E41" s="7" t="inlineStr">
        <is>
          <t>Functional</t>
        </is>
      </c>
      <c r="F41" s="7" t="inlineStr">
        <is>
          <t>Dang nhap bang SDT + PIN khi khong co sinh trac hoc</t>
        </is>
      </c>
      <c r="G41" s="7" t="inlineStr">
        <is>
          <t>Thiet bi test khong bat sinh trac hoc.</t>
        </is>
      </c>
      <c r="H41" s="7" t="inlineStr">
        <is>
          <t>1. Nhap SDT da dang ky.
2. He thong chuyen thang sang nhap PIN (khong hien prompt sinh trac hoc).
3. Nhap dung PIN 6 so.
4. Quan sat ket qua.</t>
        </is>
      </c>
      <c r="I41" s="7" t="inlineStr">
        <is>
          <t>SDT: 0912345678 (da dang ky). PIN dung: 123456.</t>
        </is>
      </c>
      <c r="J41" s="7" t="inlineStr">
        <is>
          <t>Khong co prompt sinh trac hoc khi thiet bi chua bat; nhap dung PIN dang nhap thanh cong va resume thao tac ban dau.</t>
        </is>
      </c>
      <c r="K41" s="7" t="inlineStr">
        <is>
          <t>High</t>
        </is>
      </c>
      <c r="L41" s="8" t="n"/>
      <c r="M41" s="8" t="inlineStr">
        <is>
          <t>Not Run</t>
        </is>
      </c>
      <c r="N41" s="8" t="n"/>
      <c r="O41" s="8" t="n"/>
      <c r="P41" s="7" t="n"/>
      <c r="Q41" s="7" t="n"/>
      <c r="R41" s="7" t="n"/>
    </row>
    <row r="42" ht="70" customHeight="1">
      <c r="A42" s="7" t="inlineStr">
        <is>
          <t>SCR-AUT-05-SC3-TC1</t>
        </is>
      </c>
      <c r="B42" s="7" t="inlineStr">
        <is>
          <t>SCR-AUT-05-SC3</t>
        </is>
      </c>
      <c r="C42" s="7" t="inlineStr">
        <is>
          <t>SCR-AUT-05</t>
        </is>
      </c>
      <c r="D42" s="7" t="inlineStr">
        <is>
          <t>LI-04</t>
        </is>
      </c>
      <c r="E42" s="7" t="inlineStr">
        <is>
          <t>Negative</t>
        </is>
      </c>
      <c r="F42" s="7" t="inlineStr">
        <is>
          <t>Dang nhap voi SDT chua dang ky bao loi va chuyen CTA sang Dang ky</t>
        </is>
      </c>
      <c r="G42" s="7" t="inlineStr">
        <is>
          <t>Dang o man nhap SDT dang nhap.</t>
        </is>
      </c>
      <c r="H42" s="7" t="inlineStr">
        <is>
          <t>1. Nhap 1 SDT chua tung dang ky (vi du 0900000000).
2. Bam Tiep tuc.
3. Quan sat thong bao va o nhap SDT.
4. Quan sat CTA chinh.</t>
        </is>
      </c>
      <c r="I42" s="7" t="inlineStr">
        <is>
          <t>SDT chua dang ky: 0900000000.</t>
        </is>
      </c>
      <c r="J42" s="7" t="inlineStr">
        <is>
          <t>Bao loi 'so chua duoc dang ky'; o SDT giu nguyen gia tri; CTA chinh doi thanh 'Dang ky' voi SDT da dien san.</t>
        </is>
      </c>
      <c r="K42" s="7" t="inlineStr">
        <is>
          <t>High</t>
        </is>
      </c>
      <c r="L42" s="8" t="n"/>
      <c r="M42" s="8" t="inlineStr">
        <is>
          <t>Not Run</t>
        </is>
      </c>
      <c r="N42" s="8" t="n"/>
      <c r="O42" s="8" t="n"/>
      <c r="P42" s="7" t="n"/>
      <c r="Q42" s="7" t="n"/>
      <c r="R42" s="9" t="inlineStr">
        <is>
          <t>Giong ben Dang ky, o Dang nhap cung nen co them 1 test go so dien thoai SAI DINH DANG (khong phai la 'chua dang ky', ma la go sai kieu so tu dau).</t>
        </is>
      </c>
    </row>
    <row r="43" ht="70" customHeight="1">
      <c r="A43" s="7" t="inlineStr">
        <is>
          <t>SCR-AUT-05-SC4-TC1</t>
        </is>
      </c>
      <c r="B43" s="7" t="inlineStr">
        <is>
          <t>SCR-AUT-05-SC4</t>
        </is>
      </c>
      <c r="C43" s="7" t="inlineStr">
        <is>
          <t>SCR-AUT-05</t>
        </is>
      </c>
      <c r="D43" s="7" t="inlineStr">
        <is>
          <t>LI-06</t>
        </is>
      </c>
      <c r="E43" s="7" t="inlineStr">
        <is>
          <t>Boundary</t>
        </is>
      </c>
      <c r="F43" s="7" t="inlineStr">
        <is>
          <t>Vuot qua gioi han nhap sai PIN buoc phai xac thuc lai bang OTP</t>
        </is>
      </c>
      <c r="G43" s="7" t="inlineStr">
        <is>
          <t>Tai khoan test, PIN dung la 123456.</t>
        </is>
      </c>
      <c r="H43" s="7" t="inlineStr">
        <is>
          <t>1. Nhap sai PIN (vi du 111111) lien tiep du so lan gioi han (theo cau hinh cuoi cung tu Security/Dev, hien tam dung N=5 lam gia tri placeholder).
2. Quan sat trang thai sau lan thu cuoi vuot nguong.
3. Xac nhan he thong yeu cau xac thuc lai bang OTP truoc khi cho nhap PIN tiep.</t>
        </is>
      </c>
      <c r="I43" s="7" t="inlineStr">
        <is>
          <t>PIN dung: 123456. PIN sai dung de test: 111111. N (so lan toi da) = gia tri cau hinh chinh thuc tu OQ-03 - CAP NHAT LAI khi co xac nhan.</t>
        </is>
      </c>
      <c r="J43" s="7" t="inlineStr">
        <is>
          <t>Sau khi vuot qua N lan sai, he thong khoa tam thoi va bat buoc OTP truoc khi cho thu PIN lai; thong bao ly do khoa ro rang cho khach.</t>
        </is>
      </c>
      <c r="K43" s="7" t="inlineStr">
        <is>
          <t>High</t>
        </is>
      </c>
      <c r="L43" s="8" t="n"/>
      <c r="M43" s="8" t="inlineStr">
        <is>
          <t>Not Run</t>
        </is>
      </c>
      <c r="N43" s="8" t="n"/>
      <c r="O43" s="8" t="n"/>
      <c r="P43" s="7" t="inlineStr">
        <is>
          <t>QnA-03</t>
        </is>
      </c>
      <c r="Q43" s="7" t="inlineStr">
        <is>
          <t>Gia tri N va thoi gian khoa la placeholder, PHAI cap nhat lai test case nay ngay khi OQ-03/QnA-03 duoc BA/Security xac nhan chinh thuc.</t>
        </is>
      </c>
      <c r="R43" s="9" t="inlineStr">
        <is>
          <t>Con so N=5 dang la con so tam de viet test cho co, CHUA phai con so chinh thuc (van cho cau tra loi QnA-03). Khi thuc thi that, nho doi lai dung con so BA/Security xac nhan, dung lay N=5 lam chuan.</t>
        </is>
      </c>
    </row>
    <row r="44" ht="70" customHeight="1">
      <c r="A44" s="7" t="inlineStr">
        <is>
          <t>SCR-AUT-06-SC1-TC1</t>
        </is>
      </c>
      <c r="B44" s="7" t="inlineStr">
        <is>
          <t>SCR-AUT-06-SC1</t>
        </is>
      </c>
      <c r="C44" s="7" t="inlineStr">
        <is>
          <t>SCR-AUT-06</t>
        </is>
      </c>
      <c r="D44" s="7" t="inlineStr">
        <is>
          <t>LI-05</t>
        </is>
      </c>
      <c r="E44" s="7" t="inlineStr">
        <is>
          <t>Functional</t>
        </is>
      </c>
      <c r="F44" s="7" t="inlineStr">
        <is>
          <t>Quen PIN - xac thuc OTP truoc khi cho dat PIN moi</t>
        </is>
      </c>
      <c r="G44" s="7" t="inlineStr">
        <is>
          <t>Dang o man dang nhap, bam 'Quen PIN'.</t>
        </is>
      </c>
      <c r="H44" s="7" t="inlineStr">
        <is>
          <t>1. Bam 'Quen PIN'.
2. Quan sat SDT hien thi dang che (an mot phan so).
3. Chon kenh OTP, nhap dung ma OTP.
4. Nhap PIN moi 2 lan khop nhau (khac PIN cu).
5. Bam Save.</t>
        </is>
      </c>
      <c r="I44" s="7" t="inlineStr">
        <is>
          <t>PIN cu: 123456. PIN moi: 246810.</t>
        </is>
      </c>
      <c r="J44" s="7" t="inlineStr">
        <is>
          <t>SDT duoc mask, khong the sua truc tiep tai day. Chi sau khi OTP dung moi cho nhap PIN moi. Sau Save, PIN cu ('123456') ngung hoat dong ngay, PIN moi ('246810') co hieu luc.</t>
        </is>
      </c>
      <c r="K44" s="7" t="inlineStr">
        <is>
          <t>High</t>
        </is>
      </c>
      <c r="L44" s="8" t="n"/>
      <c r="M44" s="8" t="inlineStr">
        <is>
          <t>Not Run</t>
        </is>
      </c>
      <c r="N44" s="8" t="n"/>
      <c r="O44" s="8" t="n"/>
      <c r="P44" s="7" t="n"/>
      <c r="Q44" s="7" t="n"/>
      <c r="R44" s="7" t="n"/>
    </row>
    <row r="45" ht="70" customHeight="1">
      <c r="A45" s="7" t="inlineStr">
        <is>
          <t>SCR-AUT-06-SC2-TC1</t>
        </is>
      </c>
      <c r="B45" s="7" t="inlineStr">
        <is>
          <t>SCR-AUT-06-SC2</t>
        </is>
      </c>
      <c r="C45" s="7" t="inlineStr">
        <is>
          <t>SCR-AUT-06</t>
        </is>
      </c>
      <c r="D45" s="7" t="inlineStr">
        <is>
          <t>LI-03, LI-05</t>
        </is>
      </c>
      <c r="E45" s="7" t="inlineStr">
        <is>
          <t>Functional</t>
        </is>
      </c>
      <c r="F45" s="7" t="inlineStr">
        <is>
          <t>Sau dat lai PIN, tu dong dang nhap, resume thao tac va khong anh huong bio ticket</t>
        </is>
      </c>
      <c r="G45" s="7" t="inlineStr">
        <is>
          <t>Da hoan tat dat PIN moi thanh cong; tai khoan da tung bat Face ID truoc do.</t>
        </is>
      </c>
      <c r="H45" s="7" t="inlineStr">
        <is>
          <t>1. Quan sat trang thai dang nhap ngay sau khi Save PIN moi.
2. Kiem tra thao tac resume (vi du mo Cart) co duoc thuc hien tu dong khong.
3. Dang xuat, dang nhap lai bang Face ID de kiem tra bio ticket con hieu luc.</t>
        </is>
      </c>
      <c r="I45" s="7" t="inlineStr">
        <is>
          <t>Tai khoan da bat Face ID truoc khi reset PIN.</t>
        </is>
      </c>
      <c r="J45" s="7" t="inlineStr">
        <is>
          <t>Buoc 1: da dang nhap ngay khong can them buoc nao. Buoc 2: thao tac goc (mo Cart) duoc thuc hien tu dong. Buoc 3: Face ID van dang nhap thanh cong - reset PIN KHONG thu hoi bio ticket.</t>
        </is>
      </c>
      <c r="K45" s="7" t="inlineStr">
        <is>
          <t>Medium</t>
        </is>
      </c>
      <c r="L45" s="8" t="n"/>
      <c r="M45" s="8" t="inlineStr">
        <is>
          <t>Not Run</t>
        </is>
      </c>
      <c r="N45" s="8" t="n"/>
      <c r="O45" s="8" t="n"/>
      <c r="P45" s="7" t="n"/>
      <c r="Q45" s="7" t="n"/>
      <c r="R45" s="7" t="n"/>
    </row>
    <row r="46" ht="70" customHeight="1">
      <c r="A46" s="7" t="inlineStr">
        <is>
          <t>SCR-CRT-01-SC1-TC1</t>
        </is>
      </c>
      <c r="B46" s="7" t="inlineStr">
        <is>
          <t>SCR-CRT-01-SC1</t>
        </is>
      </c>
      <c r="C46" s="7" t="inlineStr">
        <is>
          <t>SCR-CRT-01</t>
        </is>
      </c>
      <c r="D46" s="7" t="inlineStr">
        <is>
          <t>CT-03</t>
        </is>
      </c>
      <c r="E46" s="7" t="inlineStr">
        <is>
          <t>Functional</t>
        </is>
      </c>
      <c r="F46" s="7" t="inlineStr">
        <is>
          <t>Thanh tien do Freeship hien dung so tien con thieu de dat nguong 150.000d</t>
        </is>
      </c>
      <c r="G46" s="7" t="inlineStr">
        <is>
          <t>Gio hang dang co tong 117.000d (Standard, chua freeship).</t>
        </is>
      </c>
      <c r="H46" s="7" t="inlineStr">
        <is>
          <t>1. Mo Cart, tab Standard.
2. Quan sat thanh tien do Freeship.
3. Them 1 san pham 33.000d vao gio.
4. Quan sat lai thanh tien do.</t>
        </is>
      </c>
      <c r="I46" s="7" t="inlineStr">
        <is>
          <t>Gio hang ban dau: 117.000d. San pham them: 33.000d (dua tong = 150.000d).</t>
        </is>
      </c>
      <c r="J46" s="7" t="inlineStr">
        <is>
          <t>Buoc 2: hien 'Con 33.000d de duoc mien phi giao hang'. Buoc 4: sau khi them du 33.000d, thanh tien do bao da dat freeship, phi giao hang Standard = 0d.</t>
        </is>
      </c>
      <c r="K46" s="7" t="inlineStr">
        <is>
          <t>High</t>
        </is>
      </c>
      <c r="L46" s="8" t="n"/>
      <c r="M46" s="8" t="inlineStr">
        <is>
          <t>Not Run</t>
        </is>
      </c>
      <c r="N46" s="8" t="n"/>
      <c r="O46" s="8" t="n"/>
      <c r="P46" s="7" t="inlineStr">
        <is>
          <t>QnA-15</t>
        </is>
      </c>
      <c r="Q46" s="7" t="inlineStr">
        <is>
          <t>Danh sach goi y san pham cu the de dat nguong van cho logic chinh thuc (OQ-15/QnA-15).</t>
        </is>
      </c>
      <c r="R46" s="7" t="n"/>
    </row>
    <row r="47" ht="70" customHeight="1">
      <c r="A47" s="7" t="inlineStr">
        <is>
          <t>SCR-CRT-01-SC2-TC1</t>
        </is>
      </c>
      <c r="B47" s="7" t="inlineStr">
        <is>
          <t>SCR-CRT-01-SC2</t>
        </is>
      </c>
      <c r="C47" s="7" t="inlineStr">
        <is>
          <t>SCR-CRT-01</t>
        </is>
      </c>
      <c r="D47" s="7" t="inlineStr">
        <is>
          <t>CT-04</t>
        </is>
      </c>
      <c r="E47" s="7" t="inlineStr">
        <is>
          <t>Functional</t>
        </is>
      </c>
      <c r="F47" s="7" t="inlineStr">
        <is>
          <t>Ket hop 2 bo loc 60-Minute va BNPL cho ket qua giao (AND) dung</t>
        </is>
      </c>
      <c r="G47" s="7" t="inlineStr">
        <is>
          <t>Gio hang co SKU-A (chi 60-Minute), SKU-B (chi BNPL), SKU-C (ca hai), SKU-D (khong thuoc loai nao).</t>
        </is>
      </c>
      <c r="H47" s="7" t="inlineStr">
        <is>
          <t>1. Bat rieng loc '60-Minute eligible'. Quan sat danh sach con lai.
2. Tat loc 60-Minute, bat rieng loc 'BNPL eligible'. Quan sat danh sach.
3. Bat CA 2 loc cung luc. Quan sat danh sach.</t>
        </is>
      </c>
      <c r="I47" s="7" t="inlineStr">
        <is>
          <t>SKU-A, SKU-B, SKU-C, SKU-D nhu mo ta.</t>
        </is>
      </c>
      <c r="J47" s="7" t="inlineStr">
        <is>
          <t>Buoc 1: chi con SKU-A, SKU-C. Buoc 2: chi con SKU-B, SKU-C. Buoc 3: chi con SKU-C (giao cua ca 2 dieu kien).</t>
        </is>
      </c>
      <c r="K47" s="7" t="inlineStr">
        <is>
          <t>Medium</t>
        </is>
      </c>
      <c r="L47" s="8" t="n"/>
      <c r="M47" s="8" t="inlineStr">
        <is>
          <t>Not Run</t>
        </is>
      </c>
      <c r="N47" s="8" t="n"/>
      <c r="O47" s="8" t="n"/>
      <c r="P47" s="7" t="n"/>
      <c r="Q47" s="7" t="n"/>
      <c r="R47" s="7" t="n"/>
    </row>
    <row r="48" ht="70" customHeight="1">
      <c r="A48" s="7" t="inlineStr">
        <is>
          <t>SCR-CRT-01-SC3-TC1</t>
        </is>
      </c>
      <c r="B48" s="7" t="inlineStr">
        <is>
          <t>SCR-CRT-01-SC3</t>
        </is>
      </c>
      <c r="C48" s="7" t="inlineStr">
        <is>
          <t>SCR-CRT-01</t>
        </is>
      </c>
      <c r="D48" s="7" t="inlineStr">
        <is>
          <t>CT-06</t>
        </is>
      </c>
      <c r="E48" s="7" t="inlineStr">
        <is>
          <t>Edge</t>
        </is>
      </c>
      <c r="F48" s="7" t="inlineStr">
        <is>
          <t>San pham het hang tach nhom rieng, phan con lai van Proceed to Checkout duoc</t>
        </is>
      </c>
      <c r="G48" s="7" t="inlineStr">
        <is>
          <t>Gio hang co SKU-X (con hang), SKU-Y (con hang), SKU-Z (vua het hang).</t>
        </is>
      </c>
      <c r="H48" s="7" t="inlineStr">
        <is>
          <t>1. Gia lap SKU-Z chuyen trang thai het hang trong luc dang o Cart.
2. Lam moi/quan sat gio hang.
3. Kiem tra SKU-Z co de xuat thay the hoac dang ky bao hang khong.
4. Bam Proceed to Checkout.</t>
        </is>
      </c>
      <c r="I48" s="7" t="inlineStr">
        <is>
          <t>SKU-X, SKU-Y: con hang. SKU-Z: het hang giua chung.</t>
        </is>
      </c>
      <c r="J48" s="7" t="inlineStr">
        <is>
          <t>Buoc 2: SKU-Z chuyen sang nhom 'khong kha dung' rieng biet, tach khoi SKU-X/Y. Buoc 3: co de xuat thay the/dang ky bao hang cho SKU-Z. Buoc 4: Proceed to Checkout thanh cong voi SKU-X, SKU-Y (SKU-Z khong tinh vao don).</t>
        </is>
      </c>
      <c r="K48" s="7" t="inlineStr">
        <is>
          <t>High</t>
        </is>
      </c>
      <c r="L48" s="8" t="n"/>
      <c r="M48" s="8" t="inlineStr">
        <is>
          <t>Not Run</t>
        </is>
      </c>
      <c r="N48" s="8" t="n"/>
      <c r="O48" s="8" t="n"/>
      <c r="P48" s="7" t="inlineStr">
        <is>
          <t>QnA-05</t>
        </is>
      </c>
      <c r="Q48" s="7" t="n"/>
      <c r="R48" s="7" t="n"/>
    </row>
    <row r="49" ht="70" customHeight="1">
      <c r="A49" s="7" t="inlineStr">
        <is>
          <t>SCR-CRT-01-SC4-TC1</t>
        </is>
      </c>
      <c r="B49" s="7" t="inlineStr">
        <is>
          <t>SCR-CRT-01-SC4</t>
        </is>
      </c>
      <c r="C49" s="7" t="inlineStr">
        <is>
          <t>SCR-CRT-01</t>
        </is>
      </c>
      <c r="D49" s="7" t="inlineStr">
        <is>
          <t>CT-06</t>
        </is>
      </c>
      <c r="E49" s="7" t="inlineStr">
        <is>
          <t>Boundary</t>
        </is>
      </c>
      <c r="F49" s="7" t="inlineStr">
        <is>
          <t>TBD: kiem tra trang thai o PwP sau khi dong ho dem nguoc ve 0</t>
        </is>
      </c>
      <c r="G49" s="7" t="inlineStr">
        <is>
          <t>Gio hang dang hien 1 o PwP voi dem nguoc con lai duoi 1 phut (gia lap thoi gian he thong hoac dung du lieu test co san dem nguoc ngan).</t>
        </is>
      </c>
      <c r="H49" s="7" t="inlineStr">
        <is>
          <t>1. Quan sat o PwP va dong ho dem nguoc.
2. Cho dem nguoc chay ve 0 (hoac gia lap thoi gian).
3. Quan sat trang thai o PwP ngay sau khi ve 0.
4. Thu tuong tac (them vao gio) voi uu dai PwP do.</t>
        </is>
      </c>
      <c r="I49" s="7" t="inlineStr">
        <is>
          <t>1 o PwP voi dem nguoc gan het han (test data can duoc chuan bi rieng de rut ngan thoi gian cho).</t>
        </is>
      </c>
      <c r="J49" s="7" t="inlineStr">
        <is>
          <t>TBD - hien SRS chua mo ta hanh vi khi het dem nguoc (an di? khoa lai voi label 'Het han'? van hien nhung khong ap dung gia uu dai?). Ghi nhan hanh vi thuc te va doi chieu voi cau tra loi QnA-28 truoc khi chot Pass/Fail.</t>
        </is>
      </c>
      <c r="K49" s="7" t="inlineStr">
        <is>
          <t>Medium</t>
        </is>
      </c>
      <c r="L49" s="8" t="n"/>
      <c r="M49" s="8" t="inlineStr">
        <is>
          <t>Not Run</t>
        </is>
      </c>
      <c r="N49" s="8" t="n"/>
      <c r="O49" s="8" t="n"/>
      <c r="P49" s="7" t="inlineStr">
        <is>
          <t>QnA-28</t>
        </is>
      </c>
      <c r="Q49" s="7" t="inlineStr">
        <is>
          <t>Test case nay se duoc viet lai chi tiet hon (Expected Result cu the) ngay khi QnA-28 duoc BA/LOTTE MART tra loi.</t>
        </is>
      </c>
      <c r="R49" s="9" t="inlineStr">
        <is>
          <t>Test nay dang ghi TBD vi SRS chua noi ro chuyen gi xay ra khi het gio dem nguoc PwP. Nguoi thuc thi KHONG duoc tu y cham Pass/Fail cho test nay - phai cho cau tra loi QnA-28 truoc.</t>
        </is>
      </c>
    </row>
    <row r="50" ht="70" customHeight="1">
      <c r="A50" s="7" t="inlineStr">
        <is>
          <t>SCR-CRT-02-SC1-TC1</t>
        </is>
      </c>
      <c r="B50" s="7" t="inlineStr">
        <is>
          <t>SCR-CRT-02-SC1</t>
        </is>
      </c>
      <c r="C50" s="7" t="inlineStr">
        <is>
          <t>SCR-CRT-02</t>
        </is>
      </c>
      <c r="D50" s="7" t="inlineStr">
        <is>
          <t>CT-08</t>
        </is>
      </c>
      <c r="E50" s="7" t="inlineStr">
        <is>
          <t>Boundary</t>
        </is>
      </c>
      <c r="F50" s="7" t="inlineStr">
        <is>
          <t>Phi 60-Minute khong duoc mien du gio hang da vuot nguong freeship Standard 150.000d</t>
        </is>
      </c>
      <c r="G50" s="7" t="inlineStr">
        <is>
          <t>Gio hang tong 200.000d (da vuot 150.000d), dia chi trong ban kinh 60-Minute.</t>
        </is>
      </c>
      <c r="H50" s="7" t="inlineStr">
        <is>
          <t>1. Dam bao gio hang &gt;=150.000d.
2. Chon dich vu 60-Minute (thay vi Standard).
3. Quan sat dong phi giao hang trong tom tat thanh toan.
4. (Doi chung) Chuyen lai ve Standard, quan sat lai dong phi.</t>
        </is>
      </c>
      <c r="I50" s="7" t="inlineStr">
        <is>
          <t>Gio hang: 200.000d. Dich vu: 60-Minute vs Standard.</t>
        </is>
      </c>
      <c r="J50" s="7" t="inlineStr">
        <is>
          <t>Buoc 3: phi 60-Minute VAN duoc tinh (khong ve 0) du gio hang da vuot 150.000d. Buoc 4: khi chuyen ve Standard, phi giao hang ve 0d (freeship ap dung dung cho Standard).</t>
        </is>
      </c>
      <c r="K50" s="7" t="inlineStr">
        <is>
          <t>High</t>
        </is>
      </c>
      <c r="L50" s="8" t="n"/>
      <c r="M50" s="8" t="inlineStr">
        <is>
          <t>Not Run</t>
        </is>
      </c>
      <c r="N50" s="8" t="n"/>
      <c r="O50" s="8" t="n"/>
      <c r="P50" s="7" t="inlineStr">
        <is>
          <t>QnA-33</t>
        </is>
      </c>
      <c r="Q50" s="7" t="inlineStr">
        <is>
          <t>Doi chieu them voi QnA-33 ve kha nang phi Standard co the thay doi theo khung gio - can theo doi cap nhat.</t>
        </is>
      </c>
      <c r="R50" s="7" t="n"/>
    </row>
    <row r="51" ht="70" customHeight="1">
      <c r="A51" s="7" t="inlineStr">
        <is>
          <t>SCR-CRT-02-SC2-TC1</t>
        </is>
      </c>
      <c r="B51" s="7" t="inlineStr">
        <is>
          <t>SCR-CRT-02-SC2</t>
        </is>
      </c>
      <c r="C51" s="7" t="inlineStr">
        <is>
          <t>SCR-CRT-02</t>
        </is>
      </c>
      <c r="D51" s="7" t="inlineStr">
        <is>
          <t>CT-08</t>
        </is>
      </c>
      <c r="E51" s="7" t="inlineStr">
        <is>
          <t>Boundary</t>
        </is>
      </c>
      <c r="F51" s="7" t="inlineStr">
        <is>
          <t>Canh bao slot 60-Minute sap het xuat hien dung luc con lai = nguong cau hinh</t>
        </is>
      </c>
      <c r="G51" s="7" t="inlineStr">
        <is>
          <t>Store test duoc cau hinh con lai 2 slot 60-Minute cho khung gio dang xet.</t>
        </is>
      </c>
      <c r="H51" s="7" t="inlineStr">
        <is>
          <t>1. Quan sat Cart khi slot con lai = 2 (tren nguong 1, chua canh bao).
2. Gia lap 1 don khac dat het 1 slot, con lai = 1 (bang nguong).
3. Lam moi Cart, quan sat canh bao.</t>
        </is>
      </c>
      <c r="I51" s="7" t="inlineStr">
        <is>
          <t>Nguong cau hinh: 1 slot con lai. Slot ban dau: 2, sau đó: 1.</t>
        </is>
      </c>
      <c r="J51" s="7" t="inlineStr">
        <is>
          <t>Buoc 1: khong co canh bao. Buoc 3: canh bao xuat hien ngay khi con lai = 1, neu ro con 1 cho.</t>
        </is>
      </c>
      <c r="K51" s="7" t="inlineStr">
        <is>
          <t>Medium</t>
        </is>
      </c>
      <c r="L51" s="8" t="n"/>
      <c r="M51" s="8" t="inlineStr">
        <is>
          <t>Not Run</t>
        </is>
      </c>
      <c r="N51" s="8" t="n"/>
      <c r="O51" s="8" t="n"/>
      <c r="P51" s="7" t="n"/>
      <c r="Q51" s="7" t="n"/>
      <c r="R51" s="7" t="n"/>
    </row>
    <row r="52" ht="70" customHeight="1">
      <c r="A52" s="7" t="inlineStr">
        <is>
          <t>SCR-CRT-03-SC1-TC1</t>
        </is>
      </c>
      <c r="B52" s="7" t="inlineStr">
        <is>
          <t>SCR-CRT-03-SC1</t>
        </is>
      </c>
      <c r="C52" s="7" t="inlineStr">
        <is>
          <t>SCR-CRT-03</t>
        </is>
      </c>
      <c r="D52" s="7" t="inlineStr">
        <is>
          <t>CT-08</t>
        </is>
      </c>
      <c r="E52" s="7" t="inlineStr">
        <is>
          <t>Functional</t>
        </is>
      </c>
      <c r="F52" s="7" t="inlineStr">
        <is>
          <t>Dia chi Next-day chi hien bo chon ngay, khong co khung gio</t>
        </is>
      </c>
      <c r="G52" s="7" t="inlineStr">
        <is>
          <t>Dia chi test nam ngoai ban kinh Standard, trong 1 khu vuc Next-day da cau hinh.</t>
        </is>
      </c>
      <c r="H52" s="7" t="inlineStr">
        <is>
          <t>1. Vao Cart, chon dich vu tuong ung dia chi Next-day.
2. Quan sat giao dien chon thoi gian giao.
3. Chon 1 ngay hop le trong danh sach.</t>
        </is>
      </c>
      <c r="I52" s="7" t="inlineStr">
        <is>
          <t>Dia chi test: thuoc khu vuc Next-day da cau hinh (vi du ngoai TP.HCM, thuoc dien Next-day).</t>
        </is>
      </c>
      <c r="J52" s="7" t="inlineStr">
        <is>
          <t>Giao dien CHI hien luoi chon NGAY (khong co khung gio nao); ngay khong kha dung hien dang mo (disabled), khong bi an; chon 1 ngay hop le duoc xac nhan.</t>
        </is>
      </c>
      <c r="K52" s="7" t="inlineStr">
        <is>
          <t>High</t>
        </is>
      </c>
      <c r="L52" s="8" t="n"/>
      <c r="M52" s="8" t="inlineStr">
        <is>
          <t>Not Run</t>
        </is>
      </c>
      <c r="N52" s="8" t="n"/>
      <c r="O52" s="8" t="n"/>
      <c r="P52" s="7" t="inlineStr">
        <is>
          <t>QnA-09</t>
        </is>
      </c>
      <c r="Q52" s="7" t="n"/>
      <c r="R52" s="7" t="n"/>
    </row>
    <row r="53" ht="70" customHeight="1">
      <c r="A53" s="7" t="inlineStr">
        <is>
          <t>SCR-CRT-03-SC2-TC1</t>
        </is>
      </c>
      <c r="B53" s="7" t="inlineStr">
        <is>
          <t>SCR-CRT-03-SC2</t>
        </is>
      </c>
      <c r="C53" s="7" t="inlineStr">
        <is>
          <t>SCR-CRT-03</t>
        </is>
      </c>
      <c r="D53" s="7" t="inlineStr">
        <is>
          <t>CT-08</t>
        </is>
      </c>
      <c r="E53" s="7" t="inlineStr">
        <is>
          <t>Boundary</t>
        </is>
      </c>
      <c r="F53" s="7" t="inlineStr">
        <is>
          <t>Don hang bulky day ngay giao tu T+2 sang T+4 va cong phu phi</t>
        </is>
      </c>
      <c r="G53" s="7" t="inlineStr">
        <is>
          <t>Gio hang co 1 SKU gan nhan 'bulky' (hoac tong trong luong &gt;15kg).</t>
        </is>
      </c>
      <c r="H53" s="7" t="inlineStr">
        <is>
          <t>1. Mo buoc chon ngay giao cho don hang bulky.
2. Quan sat cac ngay bi disable (truoc T+4).
3. Quan sat ghi chu neu ro SKU nao gay bulky.
4. Quan sat dong phu phi trong tom tat thanh toan.</t>
        </is>
      </c>
      <c r="I53" s="7" t="inlineStr">
        <is>
          <t>SKU-Bulky: gan nhan 'bulky', hoac tong trong luong gio hang = 16kg.</t>
        </is>
      </c>
      <c r="J53" s="7" t="inlineStr">
        <is>
          <t>Cac ngay truoc T+4 deu disabled (ngay som nhat chon duoc la T+4); man hinh neu ro ten SKU gay bulky; dong 'Phu phi don hang cong kenh' xuat hien them vao phi dich vu, khong bi mien boi freeship.</t>
        </is>
      </c>
      <c r="K53" s="7" t="inlineStr">
        <is>
          <t>High</t>
        </is>
      </c>
      <c r="L53" s="8" t="n"/>
      <c r="M53" s="8" t="inlineStr">
        <is>
          <t>Not Run</t>
        </is>
      </c>
      <c r="N53" s="8" t="n"/>
      <c r="O53" s="8" t="n"/>
      <c r="P53" s="7" t="n"/>
      <c r="Q53" s="7" t="n"/>
      <c r="R53" s="7" t="n"/>
    </row>
    <row r="54" ht="70" customHeight="1">
      <c r="A54" s="7" t="inlineStr">
        <is>
          <t>SCR-CRT-03-SC3-TC1</t>
        </is>
      </c>
      <c r="B54" s="7" t="inlineStr">
        <is>
          <t>SCR-CRT-03-SC3</t>
        </is>
      </c>
      <c r="C54" s="7" t="inlineStr">
        <is>
          <t>SCR-CRT-03</t>
        </is>
      </c>
      <c r="D54" s="7" t="inlineStr">
        <is>
          <t>CT-08</t>
        </is>
      </c>
      <c r="E54" s="7" t="inlineStr">
        <is>
          <t>Edge</t>
        </is>
      </c>
      <c r="F54" s="7" t="inlineStr">
        <is>
          <t>Xoa SKU bulky duy nhat dua don tro lai T+2 ngay lap tuc</t>
        </is>
      </c>
      <c r="G54" s="7" t="inlineStr">
        <is>
          <t>Don dang o trang thai bulky (T+4) chi vi 1 SKU gan nhan bulky, cac SKU khac binh thuong.</t>
        </is>
      </c>
      <c r="H54" s="7" t="inlineStr">
        <is>
          <t>1. Xac nhan don dang T+4 do SKU-Bulky.
2. Xoa SKU-Bulky khoi gio hang.
3. Mo lai buoc chon ngay giao, quan sat ngay som nhat kha dung.</t>
        </is>
      </c>
      <c r="I54" s="7" t="inlineStr">
        <is>
          <t>SKU-Bulky la SKU duy nhat gay bulky trong gio.</t>
        </is>
      </c>
      <c r="J54" s="7" t="inlineStr">
        <is>
          <t>Sau khi xoa SKU-Bulky, ngay som nhat co the chon quay lai T+2 (danh gia lai tuc thi, khong can thao tac them).</t>
        </is>
      </c>
      <c r="K54" s="7" t="inlineStr">
        <is>
          <t>Medium</t>
        </is>
      </c>
      <c r="L54" s="8" t="n"/>
      <c r="M54" s="8" t="inlineStr">
        <is>
          <t>Not Run</t>
        </is>
      </c>
      <c r="N54" s="8" t="n"/>
      <c r="O54" s="8" t="n"/>
      <c r="P54" s="7" t="n"/>
      <c r="Q54" s="7" t="n"/>
      <c r="R54" s="7" t="n"/>
    </row>
    <row r="55" ht="70" customHeight="1">
      <c r="A55" s="7" t="inlineStr">
        <is>
          <t>SCR-CRT-04-SC1-TC1</t>
        </is>
      </c>
      <c r="B55" s="7" t="inlineStr">
        <is>
          <t>SCR-CRT-04-SC1</t>
        </is>
      </c>
      <c r="C55" s="7" t="inlineStr">
        <is>
          <t>SCR-CRT-04</t>
        </is>
      </c>
      <c r="D55" s="7" t="inlineStr">
        <is>
          <t>CT-02, CT-09</t>
        </is>
      </c>
      <c r="E55" s="7" t="inlineStr">
        <is>
          <t>Functional</t>
        </is>
      </c>
      <c r="F55" s="7" t="inlineStr">
        <is>
          <t>Thong tin nguoi nhan Pickup doc lap voi ho so tai khoan dang dang nhap</t>
        </is>
      </c>
      <c r="G55" s="7" t="inlineStr">
        <is>
          <t>Tai khoan dang nhap: Nguyen Van A / 0911111111. Chon tab Pickup.</t>
        </is>
      </c>
      <c r="H55" s="7" t="inlineStr">
        <is>
          <t>1. Vao tab 'Tu den lay'.
2. Nhap ten nguoi nhan 'Tran Thi B', SDT '0922222222' (khac tai khoan).
3. Tiep tuc sang buoc chon store/slot Pickup.
4. Kiem tra thong tin nguoi nhan duoc luu dung nhu da nhap (khong bi ghi de boi ho so tai khoan).</t>
        </is>
      </c>
      <c r="I55" s="7" t="inlineStr">
        <is>
          <t>Tai khoan: Nguyen Van A/0911111111. Nguoi nhan nhap: Tran Thi B/0922222222.</t>
        </is>
      </c>
      <c r="J55" s="7" t="inlineStr">
        <is>
          <t>He thong chap nhan ten/SDT nguoi nhan khac hoan toan chu tai khoan, khong bao loi, khong tu dong ghi de bang thong tin profile.</t>
        </is>
      </c>
      <c r="K55" s="7" t="inlineStr">
        <is>
          <t>Medium</t>
        </is>
      </c>
      <c r="L55" s="8" t="n"/>
      <c r="M55" s="8" t="inlineStr">
        <is>
          <t>Not Run</t>
        </is>
      </c>
      <c r="N55" s="8" t="n"/>
      <c r="O55" s="8" t="n"/>
      <c r="P55" s="7" t="n"/>
      <c r="Q55" s="7" t="n"/>
      <c r="R55" s="7" t="n"/>
    </row>
    <row r="56" ht="70" customHeight="1">
      <c r="A56" s="7" t="inlineStr">
        <is>
          <t>SCR-CRT-04-SC2-TC1</t>
        </is>
      </c>
      <c r="B56" s="7" t="inlineStr">
        <is>
          <t>SCR-CRT-04-SC2</t>
        </is>
      </c>
      <c r="C56" s="7" t="inlineStr">
        <is>
          <t>SCR-CRT-04</t>
        </is>
      </c>
      <c r="D56" s="7" t="inlineStr">
        <is>
          <t>CT-09</t>
        </is>
      </c>
      <c r="E56" s="7" t="inlineStr">
        <is>
          <t>Functional</t>
        </is>
      </c>
      <c r="F56" s="7" t="inlineStr">
        <is>
          <t>Tuy chon thanh toan tien mat khi Pickup chi hien voi tai khoan Platinum/Diamond</t>
        </is>
      </c>
      <c r="G56" s="7" t="inlineStr">
        <is>
          <t>2 tai khoan test: A (Platinum), B (khong co tier / tier thuong).</t>
        </is>
      </c>
      <c r="H56" s="7" t="inlineStr">
        <is>
          <t>1. Dang nhap tai khoan A (Platinum), vao Cart tab Pickup, xem danh sach phuong thuc thanh toan tai cua hang.
2. Dang xuat, dang nhap tai khoan B, lap lai buoc 1.</t>
        </is>
      </c>
      <c r="I56" s="7" t="inlineStr">
        <is>
          <t>Tai khoan A: tier Platinum. Tai khoan B: khong co tier dac biet.</t>
        </is>
      </c>
      <c r="J56" s="7" t="inlineStr">
        <is>
          <t>Voi tai khoan A: tuy chon 'Thanh toan tien mat' hien thi va chon duoc. Voi tai khoan B: tuy chon nay KHONG xuat hien trong danh sach (an hoan toan, khong phai bi mo/disabled).</t>
        </is>
      </c>
      <c r="K56" s="7" t="inlineStr">
        <is>
          <t>High</t>
        </is>
      </c>
      <c r="L56" s="8" t="n"/>
      <c r="M56" s="8" t="inlineStr">
        <is>
          <t>Not Run</t>
        </is>
      </c>
      <c r="N56" s="8" t="n"/>
      <c r="O56" s="8" t="n"/>
      <c r="P56" s="7" t="n"/>
      <c r="Q56" s="7" t="n"/>
      <c r="R56" s="7" t="n"/>
    </row>
    <row r="57" ht="70" customHeight="1">
      <c r="A57" s="7" t="inlineStr">
        <is>
          <t>SCR-CRT-04-SC3-TC1</t>
        </is>
      </c>
      <c r="B57" s="7" t="inlineStr">
        <is>
          <t>SCR-CRT-04-SC3</t>
        </is>
      </c>
      <c r="C57" s="7" t="inlineStr">
        <is>
          <t>SCR-CRT-04</t>
        </is>
      </c>
      <c r="D57" s="7" t="inlineStr">
        <is>
          <t>CT-10</t>
        </is>
      </c>
      <c r="E57" s="7" t="inlineStr">
        <is>
          <t>Functional</t>
        </is>
      </c>
      <c r="F57" s="7" t="inlineStr">
        <is>
          <t>Phan biet dung thong tin hien thi giua locker gan nha (Delivery) va locker tai store (Pickup)</t>
        </is>
      </c>
      <c r="G57" s="7" t="inlineStr">
        <is>
          <t>Dang o Cart, gio hang du dieu kien ca 2 nhanh Delivery va Pickup.</t>
        </is>
      </c>
      <c r="H57" s="7" t="inlineStr">
        <is>
          <t>1. O tab Delivery, chon tuy chon locker gan nha. Ghi nhan cac thong tin hien thi.
2. Chuyen sang tab Pickup, chon tuy chon locker tai store. Ghi nhan cac thong tin hien thi.
3. So sanh 2 bo thong tin.</t>
        </is>
      </c>
      <c r="I57" s="7" t="inlineStr">
        <is>
          <t>N/A (kiem tra noi dung hien thi, chua co du lieu van hanh locker chinh thuc).</t>
        </is>
      </c>
      <c r="J57" s="7" t="inlineStr">
        <is>
          <t>Locker gan nha (buoc 1) hien: thoi gian du kien nhan, ten/dia chi locker gan dia chi khach. Locker tai store (buoc 2) hien: thoi gian du kien, vi tri locker trong store. 2 bo thong tin khong the lan/giong het nhau.</t>
        </is>
      </c>
      <c r="K57" s="7" t="inlineStr">
        <is>
          <t>Low</t>
        </is>
      </c>
      <c r="L57" s="8" t="n"/>
      <c r="M57" s="8" t="inlineStr">
        <is>
          <t>Not Run</t>
        </is>
      </c>
      <c r="N57" s="8" t="n"/>
      <c r="O57" s="8" t="n"/>
      <c r="P57" s="7" t="inlineStr">
        <is>
          <t>QnA-23, QnA-31</t>
        </is>
      </c>
      <c r="Q57" s="7" t="inlineStr">
        <is>
          <t>Quy tac van hanh day du (gia, thoi gian giu, no-show) con cho OQ-23/QnA-23; can xac nhan them QnA-31 truoc khi coi day la test case chinh thuc cho release dau tien.</t>
        </is>
      </c>
      <c r="R57" s="7" t="n"/>
    </row>
    <row r="58" ht="70" customHeight="1">
      <c r="A58" s="7" t="inlineStr">
        <is>
          <t>SCR-CRT-05-SC1-TC1</t>
        </is>
      </c>
      <c r="B58" s="7" t="inlineStr">
        <is>
          <t>SCR-CRT-05-SC1</t>
        </is>
      </c>
      <c r="C58" s="7" t="inlineStr">
        <is>
          <t>SCR-CRT-05</t>
        </is>
      </c>
      <c r="D58" s="7" t="inlineStr">
        <is>
          <t>CT-05</t>
        </is>
      </c>
      <c r="E58" s="7" t="inlineStr">
        <is>
          <t>Functional</t>
        </is>
      </c>
      <c r="F58" s="7" t="inlineStr">
        <is>
          <t>Vuot trai xoa san pham phai qua dialog xac nhan, chi Confirm moi xoa that</t>
        </is>
      </c>
      <c r="G58" s="7" t="inlineStr">
        <is>
          <t>Gio hang co san pham SKU-A.</t>
        </is>
      </c>
      <c r="H58" s="7" t="inlineStr">
        <is>
          <t>1. Vuot trai dong SKU-A, bam nut Xoa xuat hien.
2. Quan sat dialog xac nhan hien ra.
3. Bam 'Khong'/No, kiem tra SKU-A con nguyen trong gio.
4. Lap lai buoc 1-2, lan nay bam 'Dong y'/Confirm.
5. Kiem tra SKU-A da bi xoa.</t>
        </is>
      </c>
      <c r="I58" s="7" t="inlineStr">
        <is>
          <t>SKU-A: bat ky san pham trong gio.</t>
        </is>
      </c>
      <c r="J58" s="7" t="inlineStr">
        <is>
          <t>Buoc 2: dialog dung noi dung 'Ban chac chan muon xoa san pham nay?' voi 2 nut No/Confirm. Buoc 3: bam No thi SKU-A KHONG bi xoa. Buoc 5: bam Confirm thi SKU-A bi xoa khoi gio.</t>
        </is>
      </c>
      <c r="K58" s="7" t="inlineStr">
        <is>
          <t>High</t>
        </is>
      </c>
      <c r="L58" s="8" t="n"/>
      <c r="M58" s="8" t="inlineStr">
        <is>
          <t>Not Run</t>
        </is>
      </c>
      <c r="N58" s="8" t="n"/>
      <c r="O58" s="8" t="n"/>
      <c r="P58" s="7" t="n"/>
      <c r="Q58" s="7" t="n"/>
      <c r="R58" s="7" t="n"/>
    </row>
    <row r="59" ht="70" customHeight="1">
      <c r="A59" s="7" t="inlineStr">
        <is>
          <t>SCR-CRT-05-SC2-TC1</t>
        </is>
      </c>
      <c r="B59" s="7" t="inlineStr">
        <is>
          <t>SCR-CRT-05-SC2</t>
        </is>
      </c>
      <c r="C59" s="7" t="inlineStr">
        <is>
          <t>SCR-CRT-05</t>
        </is>
      </c>
      <c r="D59" s="7" t="inlineStr">
        <is>
          <t>CT-05</t>
        </is>
      </c>
      <c r="E59" s="7" t="inlineStr">
        <is>
          <t>Functional</t>
        </is>
      </c>
      <c r="F59" s="7" t="inlineStr">
        <is>
          <t>Giam so luong ve 0 kich hoat dialog xac nhan giong swipe; No thi khoi phuc ve 1</t>
        </is>
      </c>
      <c r="G59" s="7" t="inlineStr">
        <is>
          <t>SKU-B trong gio dang co so luong = 1.</t>
        </is>
      </c>
      <c r="H59" s="7" t="inlineStr">
        <is>
          <t>1. Bam nut giam so luong cua SKU-B tu 1 xuong 0.
2. Quan sat dialog xac nhan xuat hien (giong het noi dung o SC1).
3. Bam 'Khong'/No.
4. Kiem tra so luong SKU-B.</t>
        </is>
      </c>
      <c r="I59" s="7" t="inlineStr">
        <is>
          <t>SKU-B: so luong ban dau = 1.</t>
        </is>
      </c>
      <c r="J59" s="7" t="inlineStr">
        <is>
          <t>Buoc 2: dialog giong het truong hop vuot trai (cung wording, cung No/Confirm). Buoc 4: sau khi bam No, so luong SKU-B duoc KHOI PHUC ve 1 (khong giu o 0 va cung khong bi xoa dong).</t>
        </is>
      </c>
      <c r="K59" s="7" t="inlineStr">
        <is>
          <t>High</t>
        </is>
      </c>
      <c r="L59" s="8" t="n"/>
      <c r="M59" s="8" t="inlineStr">
        <is>
          <t>Not Run</t>
        </is>
      </c>
      <c r="N59" s="8" t="n"/>
      <c r="O59" s="8" t="n"/>
      <c r="P59" s="7" t="n"/>
      <c r="Q59" s="7" t="n"/>
      <c r="R59" s="7" t="n"/>
    </row>
    <row r="60" ht="70" customHeight="1">
      <c r="A60" s="7" t="inlineStr">
        <is>
          <t>SCR-CRT-05-SC3-TC1</t>
        </is>
      </c>
      <c r="B60" s="7" t="inlineStr">
        <is>
          <t>SCR-CRT-05-SC3</t>
        </is>
      </c>
      <c r="C60" s="7" t="inlineStr">
        <is>
          <t>SCR-CRT-05</t>
        </is>
      </c>
      <c r="D60" s="7" t="inlineStr">
        <is>
          <t>CT-05</t>
        </is>
      </c>
      <c r="E60" s="7" t="inlineStr">
        <is>
          <t>Boundary</t>
        </is>
      </c>
      <c r="F60" s="7" t="inlineStr">
        <is>
          <t>Chon 31 san pham (vuot gioi han 30) bi chan Proceed to Checkout kem thong bao loi</t>
        </is>
      </c>
      <c r="G60" s="7" t="inlineStr">
        <is>
          <t>Gio hang co san 35 san pham co the chon (dung du lieu test 35 SKU).</t>
        </is>
      </c>
      <c r="H60" s="7" t="inlineStr">
        <is>
          <t>1. Bam 'Chon tat ca (35 mat hang)'.
2. Quan sat thong bao loi va bo dem so luong/gioi han.
3. Thu bam 'Thanh toan'.
4. Bo chon bot cho den khi con dung 30 san pham.
5. Bam lai 'Thanh toan'.</t>
        </is>
      </c>
      <c r="I60" s="7" t="inlineStr">
        <is>
          <t>35 SKU test co san trong gio hang.</t>
        </is>
      </c>
      <c r="J60" s="7" t="inlineStr">
        <is>
          <t>Buoc 2: hien loi 'Gio hang da vuot qua gioi han toi da 30 san pham cho 1 don hang. Vui long bo bot san pham de thanh toan.'; bo dem hien '35/30' (hoac tuong duong). Buoc 3: nut Thanh toan khong thuc thi duoc (disabled/chan). Buoc 5: sau khi con &lt;=30, Thanh toan thuc hien duoc binh thuong.</t>
        </is>
      </c>
      <c r="K60" s="7" t="inlineStr">
        <is>
          <t>High</t>
        </is>
      </c>
      <c r="L60" s="8" t="n"/>
      <c r="M60" s="8" t="inlineStr">
        <is>
          <t>Not Run</t>
        </is>
      </c>
      <c r="N60" s="8" t="n"/>
      <c r="O60" s="8" t="n"/>
      <c r="P60" s="7" t="n"/>
      <c r="Q60" s="7" t="n"/>
      <c r="R60" s="9" t="inlineStr">
        <is>
          <t>Test nay moi test luc DU (35 san pham) va luc GIAM XUONG duoi 30. Con thieu 1 buoc kiem tra ngay LUC VUA DU 30 san pham (khong hon khong kem) xem nut Thanh toan co bam duoc binh thuong khong - nen bo sung them buoc nay cho chac.</t>
        </is>
      </c>
    </row>
    <row r="61" ht="70" customHeight="1">
      <c r="A61" s="7" t="inlineStr">
        <is>
          <t>SCR-CRT-06-SC1-TC1</t>
        </is>
      </c>
      <c r="B61" s="7" t="inlineStr">
        <is>
          <t>SCR-CRT-06-SC1</t>
        </is>
      </c>
      <c r="C61" s="7" t="inlineStr">
        <is>
          <t>SCR-CRT-06</t>
        </is>
      </c>
      <c r="D61" s="7" t="inlineStr">
        <is>
          <t>CT-07</t>
        </is>
      </c>
      <c r="E61" s="7" t="inlineStr">
        <is>
          <t>Functional</t>
        </is>
      </c>
      <c r="F61" s="7" t="inlineStr">
        <is>
          <t>Doi store khong anh huong gi thi ap dung ngay, khong hien dialog canh bao</t>
        </is>
      </c>
      <c r="G61" s="7" t="inlineStr">
        <is>
          <t>Chon store B dam bao khong SKU nao doi gia/het hang va dich vu/slot van giu nguyen hop le.</t>
        </is>
      </c>
      <c r="H61" s="7" t="inlineStr">
        <is>
          <t>1. Mo sheet doi store trong Cart (danh sach da loc theo dia chi).
2. Chon store B (khong gay anh huong).
3. Quan sat co dialog canh bao xuat hien hay khong.
4. Kiem tra gio hang sau khi doi.</t>
        </is>
      </c>
      <c r="I61" s="7" t="inlineStr">
        <is>
          <t>Store B: khong gay thay doi gia/ton kho/dich vu/slot cho gio hang hien tai.</t>
        </is>
      </c>
      <c r="J61" s="7" t="inlineStr">
        <is>
          <t>Store doi NGAY, khong co dialog xac nhan nao xuat hien; toan bo san pham/dich vu/slot giu nguyen.</t>
        </is>
      </c>
      <c r="K61" s="7" t="inlineStr">
        <is>
          <t>Medium</t>
        </is>
      </c>
      <c r="L61" s="8" t="n"/>
      <c r="M61" s="8" t="inlineStr">
        <is>
          <t>Not Run</t>
        </is>
      </c>
      <c r="N61" s="8" t="n"/>
      <c r="O61" s="8" t="n"/>
      <c r="P61" s="7" t="n"/>
      <c r="Q61" s="7" t="n"/>
      <c r="R61" s="7" t="n"/>
    </row>
    <row r="62" ht="70" customHeight="1">
      <c r="A62" s="7" t="inlineStr">
        <is>
          <t>SCR-CRT-06-SC2-TC1</t>
        </is>
      </c>
      <c r="B62" s="7" t="inlineStr">
        <is>
          <t>SCR-CRT-06-SC2</t>
        </is>
      </c>
      <c r="C62" s="7" t="inlineStr">
        <is>
          <t>SCR-CRT-06</t>
        </is>
      </c>
      <c r="D62" s="7" t="inlineStr">
        <is>
          <t>CT-07</t>
        </is>
      </c>
      <c r="E62" s="7" t="inlineStr">
        <is>
          <t>Edge</t>
        </is>
      </c>
      <c r="F62" s="7" t="inlineStr">
        <is>
          <t>Doi store gay anh huong ca san pham lan dich vu/slot hien 1 canh bao gop, Continue ap dung day du thay doi</t>
        </is>
      </c>
      <c r="G62" s="7" t="inlineStr">
        <is>
          <t>Chon store C: 1 SKU het hang tai C, 1 SKU doi gia tai C, dich vu 60-Minute khong con kha dung tai C.</t>
        </is>
      </c>
      <c r="H62" s="7" t="inlineStr">
        <is>
          <t>1. Mo sheet doi store, chon store C.
2. Quan sat dialog canh bao - dem so nhom anh huong duoc liet ke.
3. Bam Continue.
4. Kiem tra gio hang: SKU het hang, SKU doi gia, dich vu/slot moi.</t>
        </is>
      </c>
      <c r="I62" s="7" t="inlineStr">
        <is>
          <t>Store C gay anh huong dong thoi 2 nhom: san pham (1 het hang + 1 doi gia) va dich vu/slot (mat 60-Minute).</t>
        </is>
      </c>
      <c r="J62" s="7" t="inlineStr">
        <is>
          <t>Buoc 2: CHI 1 dialog duy nhat, liet ke ca 2 nhom anh huong (khong tach 2 dialog rieng). Buoc 4: SKU het hang chuyen nhom rieng, SKU doi gia cap nhat gia moi cua store C, dich vu/slot duoc goi y lai theo BRL-25...27.</t>
        </is>
      </c>
      <c r="K62" s="7" t="inlineStr">
        <is>
          <t>High</t>
        </is>
      </c>
      <c r="L62" s="8" t="n"/>
      <c r="M62" s="8" t="inlineStr">
        <is>
          <t>Not Run</t>
        </is>
      </c>
      <c r="N62" s="8" t="n"/>
      <c r="O62" s="8" t="n"/>
      <c r="P62" s="7" t="inlineStr">
        <is>
          <t>QnA-25</t>
        </is>
      </c>
      <c r="Q62" s="7" t="inlineStr">
        <is>
          <t>Bo cuc UI chi tiet cua canh bao gop van cho xac nhan (OQ-25/QnA-25) - test nay xac minh HANH VI logic, khong xac minh bo cuc UI cuoi cung.</t>
        </is>
      </c>
      <c r="R62" s="7" t="n"/>
    </row>
    <row r="63" ht="70" customHeight="1">
      <c r="A63" s="7" t="inlineStr">
        <is>
          <t>SCR-CRT-06-SC3-TC1</t>
        </is>
      </c>
      <c r="B63" s="7" t="inlineStr">
        <is>
          <t>SCR-CRT-06-SC3</t>
        </is>
      </c>
      <c r="C63" s="7" t="inlineStr">
        <is>
          <t>SCR-CRT-06</t>
        </is>
      </c>
      <c r="D63" s="7" t="inlineStr">
        <is>
          <t>CT-07</t>
        </is>
      </c>
      <c r="E63" s="7" t="inlineStr">
        <is>
          <t>Negative</t>
        </is>
      </c>
      <c r="F63" s="7" t="inlineStr">
        <is>
          <t>Bam Cancel tren canh bao doi store giu nguyen 100% trang thai gio hang cu</t>
        </is>
      </c>
      <c r="G63" s="7" t="inlineStr">
        <is>
          <t>Da mo dialog canh bao gop nhu SC2 (chua bam Continue).</t>
        </is>
      </c>
      <c r="H63" s="7" t="inlineStr">
        <is>
          <t>1. Tu dialog canh bao doi store C, bam 'Cancel'.
2. Kiem tra store hien tai (phai la store cu).
3. Kiem tra toan bo san pham/dich vu/slot trong gio hang.</t>
        </is>
      </c>
      <c r="I63" s="7" t="inlineStr">
        <is>
          <t>Trang thai gio hang truoc khi mo dialog: ghi nhan lam baseline de so sanh.</t>
        </is>
      </c>
      <c r="J63" s="7" t="inlineStr">
        <is>
          <t>Store van la store CU (khong doi); toan bo san pham, gia, dich vu, slot GIONG HET truoc khi mo dialog - khong co thay doi tung phan nao duoc ap dung.</t>
        </is>
      </c>
      <c r="K63" s="7" t="inlineStr">
        <is>
          <t>High</t>
        </is>
      </c>
      <c r="L63" s="8" t="n"/>
      <c r="M63" s="8" t="inlineStr">
        <is>
          <t>Not Run</t>
        </is>
      </c>
      <c r="N63" s="8" t="n"/>
      <c r="O63" s="8" t="n"/>
      <c r="P63" s="7" t="n"/>
      <c r="Q63" s="7" t="n"/>
      <c r="R63" s="7" t="n"/>
    </row>
    <row r="64" ht="70" customHeight="1">
      <c r="A64" s="7" t="inlineStr">
        <is>
          <t>SCR-CRT-07-SC1-TC1</t>
        </is>
      </c>
      <c r="B64" s="7" t="inlineStr">
        <is>
          <t>SCR-CRT-07-SC1</t>
        </is>
      </c>
      <c r="C64" s="7" t="inlineStr">
        <is>
          <t>SCR-CRT-07</t>
        </is>
      </c>
      <c r="D64" s="7" t="inlineStr">
        <is>
          <t>CT-08</t>
        </is>
      </c>
      <c r="E64" s="7" t="inlineStr">
        <is>
          <t>Functional</t>
        </is>
      </c>
      <c r="F64" s="7" t="inlineStr">
        <is>
          <t>Goi y slot theo dung thu tu uu tien khi khach chua tung chu dong doi slot</t>
        </is>
      </c>
      <c r="G64" s="7" t="inlineStr">
        <is>
          <t>Khach vao thang Cart tu Homepage, chua tung bam doi slot tren Homepage.</t>
        </is>
      </c>
      <c r="H64" s="7" t="inlineStr">
        <is>
          <t>1. Mo sheet chon slot giao hang.
2. Ghi nhan slot dau tien duoc goi y / to sang.
3. Kiem tra cac nhan cua tung slot (som nhat/quen thuoc/tich diem).</t>
        </is>
      </c>
      <c r="I64" s="7" t="inlineStr">
        <is>
          <t>Lich su don hang test: co du lieu de xac dinh 1 slot 'quen thuoc' khac slot som nhat.</t>
        </is>
      </c>
      <c r="J64" s="7" t="inlineStr">
        <is>
          <t>Slot goi y dau tien = slot SOM NHAT tai store (BRL-25); thu tu hien thi cac slot theo: quen thuoc &gt; som nhat &gt; tich diem (BRL-27).</t>
        </is>
      </c>
      <c r="K64" s="7" t="inlineStr">
        <is>
          <t>Medium</t>
        </is>
      </c>
      <c r="L64" s="8" t="n"/>
      <c r="M64" s="8" t="inlineStr">
        <is>
          <t>Not Run</t>
        </is>
      </c>
      <c r="N64" s="8" t="n"/>
      <c r="O64" s="8" t="n"/>
      <c r="P64" s="7" t="n"/>
      <c r="Q64" s="7" t="n"/>
      <c r="R64" s="7" t="n"/>
    </row>
    <row r="65" ht="70" customHeight="1">
      <c r="A65" s="7" t="inlineStr">
        <is>
          <t>SCR-CRT-07-SC2-TC1</t>
        </is>
      </c>
      <c r="B65" s="7" t="inlineStr">
        <is>
          <t>SCR-CRT-07-SC2</t>
        </is>
      </c>
      <c r="C65" s="7" t="inlineStr">
        <is>
          <t>SCR-CRT-07</t>
        </is>
      </c>
      <c r="D65" s="7" t="inlineStr">
        <is>
          <t>CT-08</t>
        </is>
      </c>
      <c r="E65" s="7" t="inlineStr">
        <is>
          <t>Functional</t>
        </is>
      </c>
      <c r="F65" s="7" t="inlineStr">
        <is>
          <t>Sau khi da chu dong doi slot o Homepage, slot quen thuoc duoc goi y truoc slot som nhat</t>
        </is>
      </c>
      <c r="G65" s="7" t="inlineStr">
        <is>
          <t>Tren Homepage, khach da chu dong chon 1 slot khac slot mac dinh, sau do vao Cart.</t>
        </is>
      </c>
      <c r="H65" s="7" t="inlineStr">
        <is>
          <t>1. Tren Homepage, chu dong doi sang 1 slot khac slot goi y mac dinh.
2. Vao Cart, mo sheet chon slot.
3. Ghi nhan slot duoc goi y/to sang dau tien.</t>
        </is>
      </c>
      <c r="I65" s="7" t="inlineStr">
        <is>
          <t>Lich su 2 thang gan nhat cua tai khoan test co 1 slot chiem ty le lon nhat (slot 'quen thuoc').</t>
        </is>
      </c>
      <c r="J65" s="7" t="inlineStr">
        <is>
          <t>Slot 'quen thuoc' duoc goi y o VI TRI DAU (khac voi kich ban chua doi slot o SC1, luc do slot som nhat duoc uu tien truoc).</t>
        </is>
      </c>
      <c r="K65" s="7" t="inlineStr">
        <is>
          <t>Medium</t>
        </is>
      </c>
      <c r="L65" s="8" t="n"/>
      <c r="M65" s="8" t="inlineStr">
        <is>
          <t>Not Run</t>
        </is>
      </c>
      <c r="N65" s="8" t="n"/>
      <c r="O65" s="8" t="n"/>
      <c r="P65" s="7" t="n"/>
      <c r="Q65" s="7" t="n"/>
      <c r="R65" s="7" t="n"/>
    </row>
    <row r="66" ht="70" customHeight="1">
      <c r="A66" s="7" t="inlineStr">
        <is>
          <t>SCR-CHK-01-SC1-TC1</t>
        </is>
      </c>
      <c r="B66" s="7" t="inlineStr">
        <is>
          <t>SCR-CHK-01-SC1</t>
        </is>
      </c>
      <c r="C66" s="7" t="inlineStr">
        <is>
          <t>SCR-CHK-01</t>
        </is>
      </c>
      <c r="D66" s="7" t="inlineStr">
        <is>
          <t>CO-01</t>
        </is>
      </c>
      <c r="E66" s="7" t="inlineStr">
        <is>
          <t>Functional</t>
        </is>
      </c>
      <c r="F66" s="7" t="inlineStr">
        <is>
          <t>Cham vao khoi giao hang/san pham khoa dua ve lai Cart, giu nguyen lua chon</t>
        </is>
      </c>
      <c r="G66" s="7" t="inlineStr">
        <is>
          <t>Dang o SCR-CHK-01 voi don hang co dia chi, store, slot, va 3 san pham da chon.</t>
        </is>
      </c>
      <c r="H66" s="7" t="inlineStr">
        <is>
          <t>1. Cham vao khoi thong tin dia chi/store/slot (dang khoa).
2. Quan sat thong bao/dieu huong.
3. Neu duoc dua ve Cart, kiem tra 3 san pham va cac lua chon truoc do con nguyen.
4. Lap lai voi danh sach san pham (cham vao 1 dong san pham).</t>
        </is>
      </c>
      <c r="I66" s="7" t="inlineStr">
        <is>
          <t>Don hang mau: dia chi X, store Y, slot Z, 3 SKU da chon.</t>
        </is>
      </c>
      <c r="J66" s="7" t="inlineStr">
        <is>
          <t>Ca 2 truong hop (buoc 1 va 4): khong sua duoc tai cho, he thong giai thich quy tac va dua ve Cart; quay lai Cart thi dia chi/store/slot/3 SKU van y nguyen nhu truoc khi vao Checkout.</t>
        </is>
      </c>
      <c r="K66" s="7" t="inlineStr">
        <is>
          <t>High</t>
        </is>
      </c>
      <c r="L66" s="8" t="n"/>
      <c r="M66" s="8" t="inlineStr">
        <is>
          <t>Not Run</t>
        </is>
      </c>
      <c r="N66" s="8" t="n"/>
      <c r="O66" s="8" t="n"/>
      <c r="P66" s="7" t="n"/>
      <c r="Q66" s="7" t="n"/>
      <c r="R66" s="7" t="n"/>
    </row>
    <row r="67" ht="70" customHeight="1">
      <c r="A67" s="7" t="inlineStr">
        <is>
          <t>SCR-CHK-01-SC2-TC1</t>
        </is>
      </c>
      <c r="B67" s="7" t="inlineStr">
        <is>
          <t>SCR-CHK-01-SC2</t>
        </is>
      </c>
      <c r="C67" s="7" t="inlineStr">
        <is>
          <t>SCR-CHK-01</t>
        </is>
      </c>
      <c r="D67" s="7" t="inlineStr">
        <is>
          <t>CO-01</t>
        </is>
      </c>
      <c r="E67" s="7" t="inlineStr">
        <is>
          <t>Functional</t>
        </is>
      </c>
      <c r="F67" s="7" t="inlineStr">
        <is>
          <t>Toggle Detail/Compact chi doi hien thi, khong doi noi dung don hang</t>
        </is>
      </c>
      <c r="G67" s="7" t="inlineStr">
        <is>
          <t>Don hang co 12 SKU, dang o che do Detail.</t>
        </is>
      </c>
      <c r="H67" s="7" t="inlineStr">
        <is>
          <t>1. Ghi nhan danh sach 12 SKU o che do Detail (ten, gia, so luong tung dong).
2. Bam toggle sang Compact.
3. Quan sat bo cuc luoi.
4. Bam toggle lai ve Detail, doi chieu voi ghi nhan buoc 1.</t>
        </is>
      </c>
      <c r="I67" s="7" t="inlineStr">
        <is>
          <t>Don hang mau: 12 SKU.</t>
        </is>
      </c>
      <c r="J67" s="7" t="inlineStr">
        <is>
          <t>Buoc 3: bo cuc chuyen sang dang luoi gon (anh + so luong). Buoc 4: quay ve Detail, du lieu 12 SKU (ten/gia/so luong) giong het buoc 1 - khong mat/doi du lieu nao qua 2 lan toggle.</t>
        </is>
      </c>
      <c r="K67" s="7" t="inlineStr">
        <is>
          <t>Low</t>
        </is>
      </c>
      <c r="L67" s="8" t="n"/>
      <c r="M67" s="8" t="inlineStr">
        <is>
          <t>Not Run</t>
        </is>
      </c>
      <c r="N67" s="8" t="n"/>
      <c r="O67" s="8" t="n"/>
      <c r="P67" s="7" t="n"/>
      <c r="Q67" s="7" t="n"/>
      <c r="R67" s="7" t="n"/>
    </row>
    <row r="68" ht="70" customHeight="1">
      <c r="A68" s="7" t="inlineStr">
        <is>
          <t>SCR-CHK-01-SC3-TC1</t>
        </is>
      </c>
      <c r="B68" s="7" t="inlineStr">
        <is>
          <t>SCR-CHK-01-SC3</t>
        </is>
      </c>
      <c r="C68" s="7" t="inlineStr">
        <is>
          <t>SCR-CHK-01</t>
        </is>
      </c>
      <c r="D68" s="7" t="inlineStr">
        <is>
          <t>CO-02</t>
        </is>
      </c>
      <c r="E68" s="7" t="inlineStr">
        <is>
          <t>Functional</t>
        </is>
      </c>
      <c r="F68" s="7" t="inlineStr">
        <is>
          <t>Nhap ghi chu don hang va chon tuy chon xu ly khi het hang duoc luu dung</t>
        </is>
      </c>
      <c r="G68" s="7" t="inlineStr">
        <is>
          <t>Dang o SCR-CHK-01.</t>
        </is>
      </c>
      <c r="H68" s="7" t="inlineStr">
        <is>
          <t>1. Nhap ghi chu 'Giao gio hanh chinh, goi truoc 10 phut' vao o ghi chu don hang.
2. Chon 1 tuy chon uu tien xu ly khi het hang (vi du 'Goi dien xac nhan').
3. Tiep tuc sang SCR-CHK-02 roi quay lai kiem tra.</t>
        </is>
      </c>
      <c r="I68" s="7" t="inlineStr">
        <is>
          <t>Ghi chu: 'Giao gio hanh chinh, goi truoc 10 phut'. Tuy chon het hang: 'Goi dien xac nhan'.</t>
        </is>
      </c>
      <c r="J68" s="7" t="inlineStr">
        <is>
          <t>Ca 2 gia tri duoc luu dung va van con nguyen khi quay lai man hinh (khong bi reset).</t>
        </is>
      </c>
      <c r="K68" s="7" t="inlineStr">
        <is>
          <t>Low</t>
        </is>
      </c>
      <c r="L68" s="8" t="n"/>
      <c r="M68" s="8" t="inlineStr">
        <is>
          <t>Not Run</t>
        </is>
      </c>
      <c r="N68" s="8" t="n"/>
      <c r="O68" s="8" t="n"/>
      <c r="P68" s="7" t="n"/>
      <c r="Q68" s="7" t="n"/>
      <c r="R68" s="7" t="n"/>
    </row>
    <row r="69" ht="70" customHeight="1">
      <c r="A69" s="7" t="inlineStr">
        <is>
          <t>SCR-CHK-01-SC4-TC1</t>
        </is>
      </c>
      <c r="B69" s="7" t="inlineStr">
        <is>
          <t>SCR-CHK-01-SC4</t>
        </is>
      </c>
      <c r="C69" s="7" t="inlineStr">
        <is>
          <t>SCR-CHK-01</t>
        </is>
      </c>
      <c r="D69" s="7" t="inlineStr">
        <is>
          <t>CO-03</t>
        </is>
      </c>
      <c r="E69" s="7" t="inlineStr">
        <is>
          <t>Functional</t>
        </is>
      </c>
      <c r="F69" s="7" t="inlineStr">
        <is>
          <t>Bat dong goi carton duoc ghi nhan vao don, phi hien trong tom tat (gia tri TBD)</t>
        </is>
      </c>
      <c r="G69" s="7" t="inlineStr">
        <is>
          <t>Dang o SCR-CHK-01, tuy chon dong goi carton dang tat.</t>
        </is>
      </c>
      <c r="H69" s="7" t="inlineStr">
        <is>
          <t>1. Bat tuy chon 'Dong goi carton'.
2. Sang SCR-CHK-02, quan sat dong phi lien quan trong tom tat thanh toan (neu co).
3. Ghi nhan gia tri hien thi thuc te.</t>
        </is>
      </c>
      <c r="I69" s="7" t="inlineStr">
        <is>
          <t>N/A.</t>
        </is>
      </c>
      <c r="J69" s="7" t="inlineStr">
        <is>
          <t>Tuy chon duoc ghi nhan la 'co dong goi'; NEU co dong phi rieng thi ghi nhan lai gia tri hien thi thuc te de doi chieu voi cau tra loi chinh thuc cua OQ-16/QnA-16 sau nay - KHONG assert 1 con so co dinh trong test case nay.</t>
        </is>
      </c>
      <c r="K69" s="7" t="inlineStr">
        <is>
          <t>Medium</t>
        </is>
      </c>
      <c r="L69" s="8" t="n"/>
      <c r="M69" s="8" t="inlineStr">
        <is>
          <t>Not Run</t>
        </is>
      </c>
      <c r="N69" s="8" t="n"/>
      <c r="O69" s="8" t="n"/>
      <c r="P69" s="7" t="inlineStr">
        <is>
          <t>QnA-16</t>
        </is>
      </c>
      <c r="Q69" s="7" t="inlineStr">
        <is>
          <t>Cap nhat lai Expected Result voi so tien chinh xac ngay khi OQ-16/QnA-16 duoc LOTTE MART xac nhan.</t>
        </is>
      </c>
      <c r="R69" s="7" t="n"/>
    </row>
    <row r="70" ht="70" customHeight="1">
      <c r="A70" s="7" t="inlineStr">
        <is>
          <t>SCR-CHK-02-SC1-TC1</t>
        </is>
      </c>
      <c r="B70" s="7" t="inlineStr">
        <is>
          <t>SCR-CHK-02-SC1</t>
        </is>
      </c>
      <c r="C70" s="7" t="inlineStr">
        <is>
          <t>SCR-CHK-02</t>
        </is>
      </c>
      <c r="D70" s="7" t="inlineStr">
        <is>
          <t>CO-04</t>
        </is>
      </c>
      <c r="E70" s="7" t="inlineStr">
        <is>
          <t>Functional</t>
        </is>
      </c>
      <c r="F70" s="7" t="inlineStr">
        <is>
          <t>Nhap ma GotIt/gift card hop le tru dung vao tong tien</t>
        </is>
      </c>
      <c r="G70" s="7" t="inlineStr">
        <is>
          <t>Don hang tong 500.000d, chua ap dung gift card.</t>
        </is>
      </c>
      <c r="H70" s="7" t="inlineStr">
        <is>
          <t>1. Nhap ma gift card hop le tri gia 50.000d.
2. Bam ap dung.
3. Quan sat dong gift card va tong tien phai tra trong tom tat.</t>
        </is>
      </c>
      <c r="I70" s="7" t="inlineStr">
        <is>
          <t>Ma gift card test: GIFT50K, tri gia 50.000d.</t>
        </is>
      </c>
      <c r="J70" s="7" t="inlineStr">
        <is>
          <t>Dong 'The qua tang/GotIt' hien -50.000d; tong tien phai tra giam dung 50.000d so voi truoc khi ap dung.</t>
        </is>
      </c>
      <c r="K70" s="7" t="inlineStr">
        <is>
          <t>Medium</t>
        </is>
      </c>
      <c r="L70" s="8" t="n"/>
      <c r="M70" s="8" t="inlineStr">
        <is>
          <t>Not Run</t>
        </is>
      </c>
      <c r="N70" s="8" t="n"/>
      <c r="O70" s="8" t="n"/>
      <c r="P70" s="7" t="n"/>
      <c r="Q70" s="7" t="n"/>
      <c r="R70" s="7" t="n"/>
    </row>
    <row r="71" ht="70" customHeight="1">
      <c r="A71" s="7" t="inlineStr">
        <is>
          <t>SCR-CHK-02-SC2-TC1</t>
        </is>
      </c>
      <c r="B71" s="7" t="inlineStr">
        <is>
          <t>SCR-CHK-02-SC2</t>
        </is>
      </c>
      <c r="C71" s="7" t="inlineStr">
        <is>
          <t>SCR-CHK-02</t>
        </is>
      </c>
      <c r="D71" s="7" t="inlineStr">
        <is>
          <t>CO-05</t>
        </is>
      </c>
      <c r="E71" s="7" t="inlineStr">
        <is>
          <t>Functional</t>
        </is>
      </c>
      <c r="F71" s="7" t="inlineStr">
        <is>
          <t>Coupon giao hang va coupon san pham hien thanh 2 nhom rieng biet tai Checkout</t>
        </is>
      </c>
      <c r="G71" s="7" t="inlineStr">
        <is>
          <t>Da co 1 coupon giao hang (giam 15.000d phi giao) va 1 coupon san pham (giam 10% 1 SKU) duoc ap dung tu Cart.</t>
        </is>
      </c>
      <c r="H71" s="7" t="inlineStr">
        <is>
          <t>1. Vao SCR-CHK-02, cuon den phan Coupon.
2. Quan sat cach nhom hien thi.
3. Doi chieu so tien giam cua tung nhom voi gia tri da ap dung o Cart.</t>
        </is>
      </c>
      <c r="I71" s="7" t="inlineStr">
        <is>
          <t>Coupon giao hang: -15.000d phi giao. Coupon san pham: -10% 1 SKU cu the.</t>
        </is>
      </c>
      <c r="J71" s="7" t="inlineStr">
        <is>
          <t>2 nhom hien TACH BIET ro rang (nhom 'Coupon giao hang' va nhom 'Coupon don/san pham'), moi nhom dung so tien da ap dung tu Cart, khong bi tron lan hay mat coupon nao.</t>
        </is>
      </c>
      <c r="K71" s="7" t="inlineStr">
        <is>
          <t>Medium</t>
        </is>
      </c>
      <c r="L71" s="8" t="n"/>
      <c r="M71" s="8" t="inlineStr">
        <is>
          <t>Not Run</t>
        </is>
      </c>
      <c r="N71" s="8" t="n"/>
      <c r="O71" s="8" t="n"/>
      <c r="P71" s="7" t="inlineStr">
        <is>
          <t>QnA-17</t>
        </is>
      </c>
      <c r="Q71" s="7" t="n"/>
      <c r="R71" s="7" t="n"/>
    </row>
    <row r="72" ht="70" customHeight="1">
      <c r="A72" s="7" t="inlineStr">
        <is>
          <t>SCR-CHK-02-SC3-TC1</t>
        </is>
      </c>
      <c r="B72" s="7" t="inlineStr">
        <is>
          <t>SCR-CHK-02-SC3</t>
        </is>
      </c>
      <c r="C72" s="7" t="inlineStr">
        <is>
          <t>SCR-CHK-02</t>
        </is>
      </c>
      <c r="D72" s="7" t="inlineStr">
        <is>
          <t>CO-05</t>
        </is>
      </c>
      <c r="E72" s="7" t="inlineStr">
        <is>
          <t>Boundary</t>
        </is>
      </c>
      <c r="F72" s="7" t="inlineStr">
        <is>
          <t>Ap dung toan bo diem thuong bang 1 lan cham dung bang so du hien co</t>
        </is>
      </c>
      <c r="G72" s="7" t="inlineStr">
        <is>
          <t>Tai khoan co 20.000 diem kha dung (quy doi 1 diem = 1d, gia dinh de test - can xac nhan ty le quy doi thuc te).</t>
        </is>
      </c>
      <c r="H72" s="7" t="inlineStr">
        <is>
          <t>1. Quan sat so diem kha dung hien thi (20.000 diem).
2. Bam nut 'Dung toan bo diem'.
3. Quan sat so diem duoc ap dung va so tien duoc tru trong tom tat.
4. Bo chon, thu nhap tay 1 gia tri nho hon (vi du 5.000 diem).</t>
        </is>
      </c>
      <c r="I72" s="7" t="inlineStr">
        <is>
          <t>So du diem: 20.000 diem.</t>
        </is>
      </c>
      <c r="J72" s="7" t="inlineStr">
        <is>
          <t>Buoc 3: toan bo 20.000 diem duoc ap dung trong 1 lan cham, tong tien giam tuong ung. Buoc 4: nhap tay 5.000 diem cung duoc chap nhan va tru dung theo ty le quy doi.</t>
        </is>
      </c>
      <c r="K72" s="7" t="inlineStr">
        <is>
          <t>Medium</t>
        </is>
      </c>
      <c r="L72" s="8" t="n"/>
      <c r="M72" s="8" t="inlineStr">
        <is>
          <t>Not Run</t>
        </is>
      </c>
      <c r="N72" s="8" t="n"/>
      <c r="O72" s="8" t="n"/>
      <c r="P72" s="7" t="inlineStr">
        <is>
          <t>QnA-20</t>
        </is>
      </c>
      <c r="Q72" s="7" t="n"/>
      <c r="R72" s="7" t="n"/>
    </row>
    <row r="73" ht="70" customHeight="1">
      <c r="A73" s="7" t="inlineStr">
        <is>
          <t>SCR-CHK-02-SC4-TC1</t>
        </is>
      </c>
      <c r="B73" s="7" t="inlineStr">
        <is>
          <t>SCR-CHK-02-SC4</t>
        </is>
      </c>
      <c r="C73" s="7" t="inlineStr">
        <is>
          <t>SCR-CHK-02</t>
        </is>
      </c>
      <c r="D73" s="7" t="inlineStr">
        <is>
          <t>CO-06</t>
        </is>
      </c>
      <c r="E73" s="7" t="inlineStr">
        <is>
          <t>Functional</t>
        </is>
      </c>
      <c r="F73" s="7" t="inlineStr">
        <is>
          <t>BNPL duoc pre-select tai Checkout neu da chon o Cart, va hien badge khuyen mai rieng</t>
        </is>
      </c>
      <c r="G73" s="7" t="inlineStr">
        <is>
          <t>Da chon BNPL lam phuong thuc thanh toan trong Cart, BNPL dang co 1 khuyen mai badge.</t>
        </is>
      </c>
      <c r="H73" s="7" t="inlineStr">
        <is>
          <t>1. Tu Cart (da chon BNPL), bam Proceed to Checkout.
2. Quan sat phan Phuong thuc thanh toan tai SCR-CHK-02.
3. Kiem tra badge khuyen mai gan voi BNPL.
4. Thu doi sang MoMo, kiem tra badge cua MoMo (neu co) khac voi badge BNPL.</t>
        </is>
      </c>
      <c r="I73" s="7" t="inlineStr">
        <is>
          <t>Phuong thuc da chon truoc: BNPL. Cac phuong thuc khac: MoMo, ZaloPay, The.</t>
        </is>
      </c>
      <c r="J73" s="7" t="inlineStr">
        <is>
          <t>Buoc 2: BNPL da duoc chon san (khong phai chon lai tu dau). Buoc 3-4: moi phuong thuc mang badge khuyen mai rieng cua no, khong dung chung 1 badge.</t>
        </is>
      </c>
      <c r="K73" s="7" t="inlineStr">
        <is>
          <t>Medium</t>
        </is>
      </c>
      <c r="L73" s="8" t="n"/>
      <c r="M73" s="8" t="inlineStr">
        <is>
          <t>Not Run</t>
        </is>
      </c>
      <c r="N73" s="8" t="n"/>
      <c r="O73" s="8" t="n"/>
      <c r="P73" s="7" t="inlineStr">
        <is>
          <t>QnA-35</t>
        </is>
      </c>
      <c r="Q73" s="7" t="n"/>
      <c r="R73" s="7" t="n"/>
    </row>
    <row r="74" ht="70" customHeight="1">
      <c r="A74" s="7" t="inlineStr">
        <is>
          <t>SCR-CHK-02-SC5-TC1</t>
        </is>
      </c>
      <c r="B74" s="7" t="inlineStr">
        <is>
          <t>SCR-CHK-02-SC5</t>
        </is>
      </c>
      <c r="C74" s="7" t="inlineStr">
        <is>
          <t>SCR-CHK-02</t>
        </is>
      </c>
      <c r="D74" s="7" t="inlineStr">
        <is>
          <t>CO-08, CO-10</t>
        </is>
      </c>
      <c r="E74" s="7" t="inlineStr">
        <is>
          <t>Functional</t>
        </is>
      </c>
      <c r="F74" s="7" t="inlineStr">
        <is>
          <t>Tom tat thanh toan hien du dong (ke ca dong = 0) va Dat hang thanh cong</t>
        </is>
      </c>
      <c r="G74" s="7" t="inlineStr">
        <is>
          <t>Don hang hop le: khong co phu phi bulky, khong dong goi carton, khong gift card, co 1 coupon giam gia san pham.</t>
        </is>
      </c>
      <c r="H74" s="7" t="inlineStr">
        <is>
          <t>1. Cuon xem toan bo tom tat thanh toan cuoi cung.
2. Doi chieu tung dong: gia tri don hang, phi nylon, phi giao hang, phu phi bulky, giam gia san pham, giam gia giao hang, so tien phai tra, diem du kien.
3. Bam 'Dat hang'.
4. Quan sat ket qua.</t>
        </is>
      </c>
      <c r="I74" s="7" t="inlineStr">
        <is>
          <t>Don hang mau khong co phu phi bulky/carton/giftcard, chi co 1 coupon san pham.</t>
        </is>
      </c>
      <c r="J74" s="7" t="inlineStr">
        <is>
          <t>Buoc 2: TAT CA cac dong deu hien thi ke ca nhung dong = 0d (phu phi bulky = 0d, phi carton = 0d, gift card = 0d) - khong an dong nao. Buoc 4: don hang duoc dat thanh cong, hien man xac nhan/ma don hang.</t>
        </is>
      </c>
      <c r="K74" s="7" t="inlineStr">
        <is>
          <t>High</t>
        </is>
      </c>
      <c r="L74" s="8" t="n"/>
      <c r="M74" s="8" t="inlineStr">
        <is>
          <t>Not Run</t>
        </is>
      </c>
      <c r="N74" s="8" t="n"/>
      <c r="O74" s="8" t="n"/>
      <c r="P74" s="7" t="n"/>
      <c r="Q74" s="7" t="n"/>
      <c r="R74" s="9" t="inlineStr">
        <is>
          <t>Test nay dang gia dinh gio hang luon co san pham. Con thieu 1 test rieng cho truong hop gio hang KHONG CON san pham nao (0 san pham) - luc do co vao duoc man Thanh toan khong, hay bi chan lai tu Gio hang? Nen hoi BA va bo sung test rieng.</t>
        </is>
      </c>
    </row>
    <row r="75" ht="70" customHeight="1">
      <c r="A75" s="7" t="inlineStr">
        <is>
          <t>SCR-CHK-03-SC1-TC1</t>
        </is>
      </c>
      <c r="B75" s="7" t="inlineStr">
        <is>
          <t>SCR-CHK-03-SC1</t>
        </is>
      </c>
      <c r="C75" s="7" t="inlineStr">
        <is>
          <t>SCR-CHK-03</t>
        </is>
      </c>
      <c r="D75" s="7" t="inlineStr">
        <is>
          <t>CO-01</t>
        </is>
      </c>
      <c r="E75" s="7" t="inlineStr">
        <is>
          <t>Functional</t>
        </is>
      </c>
      <c r="F75" s="7" t="inlineStr">
        <is>
          <t>Bien the Pickup khong hien dong phi giao hang trong tom tat thanh toan</t>
        </is>
      </c>
      <c r="G75" s="7" t="inlineStr">
        <is>
          <t>Don hang duoc tao tu nhanh Pickup, gia tri don hang duoi nguong freeship (de loai tru kha nang tinh co du freeship).</t>
        </is>
      </c>
      <c r="H75" s="7" t="inlineStr">
        <is>
          <t>1. Vao SCR-CHK-03 cho don Pickup.
2. Quan sat khoi thong tin thu thap (store/dia chi/khoang cach/khung gio).
3. Cuon xem tom tat thanh toan, tim dong phi giao hang.</t>
        </is>
      </c>
      <c r="I75" s="7" t="inlineStr">
        <is>
          <t>Don hang Pickup, gia tri duoi 150.000d.</t>
        </is>
      </c>
      <c r="J75" s="7" t="inlineStr">
        <is>
          <t>Khoi thu thap hien du thong tin can thiet o trang thai khoa (read-only). Tom tat thanh toan KHONG co dong phi giao hang nao (khac voi don Delivery se hien dong nay, co the la 0d hoac co gia tri).</t>
        </is>
      </c>
      <c r="K75" s="7" t="inlineStr">
        <is>
          <t>Medium</t>
        </is>
      </c>
      <c r="L75" s="8" t="n"/>
      <c r="M75" s="8" t="inlineStr">
        <is>
          <t>Not Run</t>
        </is>
      </c>
      <c r="N75" s="8" t="n"/>
      <c r="O75" s="8" t="n"/>
      <c r="P75" s="7" t="n"/>
      <c r="Q75" s="7" t="n"/>
      <c r="R75" s="7" t="n"/>
    </row>
    <row r="76" ht="70" customHeight="1">
      <c r="A76" s="7" t="inlineStr">
        <is>
          <t>SCR-CHK-03-SC2-TC1</t>
        </is>
      </c>
      <c r="B76" s="7" t="inlineStr">
        <is>
          <t>SCR-CHK-03-SC2</t>
        </is>
      </c>
      <c r="C76" s="7" t="inlineStr">
        <is>
          <t>SCR-CHK-03</t>
        </is>
      </c>
      <c r="D76" s="7" t="inlineStr">
        <is>
          <t>CO-01, CT-09</t>
        </is>
      </c>
      <c r="E76" s="7" t="inlineStr">
        <is>
          <t>Boundary</t>
        </is>
      </c>
      <c r="F76" s="7" t="inlineStr">
        <is>
          <t>Nhat quan voi Cart: tien mat khi Pickup chi hien voi tai khoan du dieu kien tier</t>
        </is>
      </c>
      <c r="G76" s="7" t="inlineStr">
        <is>
          <t>Don Pickup, 2 tai khoan: A (Platinum), B (tier thuong) - da xac dinh tuy chon tien mat trong Cart o test SCR-CRT-04-SC2-TC1.</t>
        </is>
      </c>
      <c r="H76" s="7" t="inlineStr">
        <is>
          <t>1. Voi tai khoan A, vao SCR-CHK-03, kiem tra danh sach phuong thuc thanh toan.
2. Voi tai khoan B, lap lai.
3. Doi chieu ket qua voi hanh vi da ghi nhan trong Cart (SCR-CRT-04).</t>
        </is>
      </c>
      <c r="I76" s="7" t="inlineStr">
        <is>
          <t>Tai khoan A: Platinum. Tai khoan B: tier thuong.</t>
        </is>
      </c>
      <c r="J76" s="7" t="inlineStr">
        <is>
          <t>Ket qua tai Checkout phai NHAT QUAN voi Cart: tai khoan A thay tuy chon tien mat, tai khoan B khong thay; khong co truong hop Cart cho phep nhung Checkout lai chan hoac nguoc lai.</t>
        </is>
      </c>
      <c r="K76" s="7" t="inlineStr">
        <is>
          <t>High</t>
        </is>
      </c>
      <c r="L76" s="8" t="n"/>
      <c r="M76" s="8" t="inlineStr">
        <is>
          <t>Not Run</t>
        </is>
      </c>
      <c r="N76" s="8" t="n"/>
      <c r="O76" s="8" t="n"/>
      <c r="P76" s="7" t="n"/>
      <c r="Q76" s="7" t="n"/>
      <c r="R76" s="7" t="n"/>
    </row>
  </sheetData>
  <mergeCells count="1">
    <mergeCell ref="A1:R1"/>
  </mergeCells>
  <dataValidations count="1">
    <dataValidation sqref="M3:M76" showDropDown="0" showInputMessage="0" showErrorMessage="0" allowBlank="1" type="list">
      <formula1>"Pass,Fail,Blocked,N/A,Not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showGridLines="0" workbookViewId="0">
      <pane ySplit="2" topLeftCell="A3" activePane="bottomLeft" state="frozen"/>
      <selection pane="bottomLeft" activeCell="A1" sqref="A1"/>
    </sheetView>
  </sheetViews>
  <sheetFormatPr baseColWidth="8" defaultRowHeight="15"/>
  <cols>
    <col width="6" customWidth="1" min="1" max="1"/>
    <col width="16" customWidth="1" min="2" max="2"/>
    <col width="34" customWidth="1" min="3" max="3"/>
    <col width="22" customWidth="1" min="4" max="4"/>
    <col width="12" customWidth="1" min="5" max="5"/>
    <col width="46" customWidth="1" min="6" max="6"/>
    <col width="34" customWidth="1" min="7" max="7"/>
    <col width="34" customWidth="1" min="8" max="8"/>
    <col width="46" customWidth="1" min="9" max="9"/>
    <col width="10" customWidth="1" min="10" max="10"/>
    <col width="40" customWidth="1" min="11" max="11"/>
  </cols>
  <sheetData>
    <row r="1">
      <c r="A1" s="1" t="inlineStr">
        <is>
          <t>Simplify Checkout — Integration Test Scenario Register</t>
        </is>
      </c>
    </row>
    <row r="2">
      <c r="A2" s="6" t="inlineStr">
        <is>
          <t>No</t>
        </is>
      </c>
      <c r="B2" s="6" t="inlineStr">
        <is>
          <t>Scenario ID</t>
        </is>
      </c>
      <c r="C2" s="6" t="inlineStr">
        <is>
          <t>Module</t>
        </is>
      </c>
      <c r="D2" s="6" t="inlineStr">
        <is>
          <t>REQ ID (SRS)</t>
        </is>
      </c>
      <c r="E2" s="6" t="inlineStr">
        <is>
          <t>Scenario Type</t>
        </is>
      </c>
      <c r="F2" s="6" t="inlineStr">
        <is>
          <t>Business Rule / System Flow</t>
        </is>
      </c>
      <c r="G2" s="6" t="inlineStr">
        <is>
          <t>Systems Involved</t>
        </is>
      </c>
      <c r="H2" s="6" t="inlineStr">
        <is>
          <t>Preconditions</t>
        </is>
      </c>
      <c r="I2" s="6" t="inlineStr">
        <is>
          <t>Expected Behavior</t>
        </is>
      </c>
      <c r="J2" s="6" t="inlineStr">
        <is>
          <t>QnA Ref</t>
        </is>
      </c>
      <c r="K2" s="6" t="inlineStr">
        <is>
          <t>Comments</t>
        </is>
      </c>
    </row>
    <row r="3" ht="46" customHeight="1">
      <c r="A3" s="7" t="n">
        <v>1</v>
      </c>
      <c r="B3" s="7" t="inlineStr">
        <is>
          <t>INT-01-SC1</t>
        </is>
      </c>
      <c r="C3" s="7" t="inlineStr">
        <is>
          <t>Cong OTP Zalo/SMS</t>
        </is>
      </c>
      <c r="D3" s="7" t="inlineStr">
        <is>
          <t>SU-02, SU-03, BRL-13, BRL-14, BRL-15</t>
        </is>
      </c>
      <c r="E3" s="7" t="inlineStr">
        <is>
          <t>Functional</t>
        </is>
      </c>
      <c r="F3" s="7" t="inlineStr">
        <is>
          <t>Zalo la kenh OTP mac dinh; khi Zalo that bai, KHONG tu dong fallback SMS - khach phai chu dong doi kenh.</t>
        </is>
      </c>
      <c r="G3" s="7" t="inlineStr">
        <is>
          <t>App &lt;-&gt; Cong OTP Zalo &lt;-&gt; Cong SMS backup</t>
        </is>
      </c>
      <c r="H3" s="7" t="inlineStr">
        <is>
          <t>Tai khoan dang o buoc xac thuc OTP (Signup hoac Login/Quen PIN).</t>
        </is>
      </c>
      <c r="I3" s="7" t="inlineStr">
        <is>
          <t>Zalo duoc goi truoc (chi phi/tin thap hon SMS); neu Zalo Gateway tra ve loi gui, he thong KHONG tu dong chuyen SMS - phai cho khach bam Resend/doi kenh thu cong sau khi het dem nguoc.</t>
        </is>
      </c>
      <c r="J3" s="7" t="inlineStr">
        <is>
          <t>QnA-08</t>
        </is>
      </c>
      <c r="K3" s="7" t="inlineStr">
        <is>
          <t>Xac nhan ky thuat that su khong co auto-fallback van la OQ-08/QnA-08.</t>
        </is>
      </c>
    </row>
    <row r="4" ht="46" customHeight="1">
      <c r="A4" s="7" t="n">
        <v>2</v>
      </c>
      <c r="B4" s="7" t="inlineStr">
        <is>
          <t>INT-01-SC2</t>
        </is>
      </c>
      <c r="C4" s="7" t="inlineStr">
        <is>
          <t>Cong OTP Zalo/SMS</t>
        </is>
      </c>
      <c r="D4" s="7" t="inlineStr">
        <is>
          <t>NFR-01, LI-06, BRL-15</t>
        </is>
      </c>
      <c r="E4" s="7" t="inlineStr">
        <is>
          <t>Boundary</t>
        </is>
      </c>
      <c r="F4" s="7" t="inlineStr">
        <is>
          <t>Cong OTP tu choi gui them khi vuot qua so lan yeu cau OTP trong 1 khoang thoi gian.</t>
        </is>
      </c>
      <c r="G4" s="7" t="inlineStr">
        <is>
          <t>App &lt;-&gt; Cong OTP Zalo/SMS</t>
        </is>
      </c>
      <c r="H4" s="7" t="inlineStr">
        <is>
          <t>Da yeu cau gui OTP vuot qua muc gioi han trong cua so thoi gian cau hinh (gia tri chinh xac dang cho OQ-03).</t>
        </is>
      </c>
      <c r="I4" s="7" t="inlineStr">
        <is>
          <t>Cong OTP tra ve loi rate-limit, app hien thong bao ro (khong phai loi chung chung), ngan chan spam gui OTP lien tuc.</t>
        </is>
      </c>
      <c r="J4" s="7" t="inlineStr">
        <is>
          <t>QnA-03</t>
        </is>
      </c>
      <c r="K4" s="7" t="inlineStr">
        <is>
          <t>Muc gioi han cu the (so lan/khoang thoi gian) la mot phan cua OQ-03/QnA-03 chua duoc xac nhan.</t>
        </is>
      </c>
    </row>
    <row r="5" ht="46" customHeight="1">
      <c r="A5" s="7" t="n">
        <v>3</v>
      </c>
      <c r="B5" s="7" t="inlineStr">
        <is>
          <t>INT-02-SC1</t>
        </is>
      </c>
      <c r="C5" s="7" t="inlineStr">
        <is>
          <t>Cong thanh toan &amp; BNPL</t>
        </is>
      </c>
      <c r="D5" s="7" t="inlineStr">
        <is>
          <t>CO-06, BRL-33</t>
        </is>
      </c>
      <c r="E5" s="7" t="inlineStr">
        <is>
          <t>Functional</t>
        </is>
      </c>
      <c r="F5" s="7" t="inlineStr">
        <is>
          <t>Cong thanh toan tra ve badge khuyen mai rieng cho tung phuong thuc (MoMo/ZaloPay/The/BNPL).</t>
        </is>
      </c>
      <c r="G5" s="7" t="inlineStr">
        <is>
          <t>App &lt;-&gt; Payment Gateway (MoMo/ZaloPay/The/BNPL)</t>
        </is>
      </c>
      <c r="H5" s="7" t="inlineStr">
        <is>
          <t>Dang o buoc chon phuong thuc thanh toan tai Checkout, it nhat 1 phuong thuc dang co khuyen mai.</t>
        </is>
      </c>
      <c r="I5" s="7" t="inlineStr">
        <is>
          <t>App goi API lay danh sach khuyen mai theo phuong thuc, hien dung badge rieng cho tung phuong thuc, khong bi tron hoac ap dung nham sang phuong thuc khac.</t>
        </is>
      </c>
      <c r="J5" s="7" t="n"/>
      <c r="K5" s="7" t="n"/>
    </row>
    <row r="6" ht="46" customHeight="1">
      <c r="A6" s="7" t="n">
        <v>4</v>
      </c>
      <c r="B6" s="7" t="inlineStr">
        <is>
          <t>INT-02-SC2</t>
        </is>
      </c>
      <c r="C6" s="7" t="inlineStr">
        <is>
          <t>Cong thanh toan &amp; BNPL</t>
        </is>
      </c>
      <c r="D6" s="7" t="inlineStr">
        <is>
          <t>CO-10, NFR-04</t>
        </is>
      </c>
      <c r="E6" s="7" t="inlineStr">
        <is>
          <t>Exception</t>
        </is>
      </c>
      <c r="F6" s="7" t="inlineStr">
        <is>
          <t>Cong thanh toan tra ve loi/timeout khi khach bam 'Dat hang' - don KHONG duoc tao trung lap va khach duoc thong bao ro.</t>
        </is>
      </c>
      <c r="G6" s="7" t="inlineStr">
        <is>
          <t>App &lt;-&gt; Payment Gateway &lt;-&gt; OMS</t>
        </is>
      </c>
      <c r="H6" s="7" t="inlineStr">
        <is>
          <t>Khach da dien du thong tin, bam Dat hang, gia lap cong thanh toan timeout/tra ve loi.</t>
        </is>
      </c>
      <c r="I6" s="7" t="inlineStr">
        <is>
          <t>Don hang KHONG duoc ghi nhan la da thanh toan; khach nhan thong bao loi ro rang va CO the thu lai ma khong bi tao 2 don trung cho cung 1 lan bam; du lieu Checkout (Cart, coupon, diem da ap dung) khong bi mat khi thu lai.</t>
        </is>
      </c>
      <c r="J6" s="7" t="n"/>
      <c r="K6" s="7" t="inlineStr">
        <is>
          <t>Kiem tra idempotency cua request dat hang la trong tam cua test case nay.</t>
        </is>
      </c>
    </row>
    <row r="7" ht="46" customHeight="1">
      <c r="A7" s="7" t="n">
        <v>5</v>
      </c>
      <c r="B7" s="7" t="inlineStr">
        <is>
          <t>INT-03-SC1</t>
        </is>
      </c>
      <c r="C7" s="7" t="inlineStr">
        <is>
          <t>OMS/DMS - Slot Capacity &amp; Next-day</t>
        </is>
      </c>
      <c r="D7" s="7" t="inlineStr">
        <is>
          <t>CT-08, OQ-12</t>
        </is>
      </c>
      <c r="E7" s="7" t="inlineStr">
        <is>
          <t>Functional</t>
        </is>
      </c>
      <c r="F7" s="7" t="inlineStr">
        <is>
          <t>OMS/DMS phan hoi dung so slot con lai theo thoi gian thuc, dieu khien canh bao 'sap het slot' trong Cart.</t>
        </is>
      </c>
      <c r="G7" s="7" t="inlineStr">
        <is>
          <t>App &lt;-&gt; OMS/DMS (slot capacity service)</t>
        </is>
      </c>
      <c r="H7" s="7" t="inlineStr">
        <is>
          <t>Store test duoc cau hinh slot 60-Minute con lai giam dan qua nhieu don dat lien tiep.</t>
        </is>
      </c>
      <c r="I7" s="7" t="inlineStr">
        <is>
          <t>Moi khi 1 don khac dat 1 slot, so slot con lai duoc DMS cap nhat va app phan anh dung trong Cart (khong bi le/cache cu); khi cham nguong canh bao, UI hien dung thoi diem.</t>
        </is>
      </c>
      <c r="J7" s="7" t="inlineStr">
        <is>
          <t>QnA-12</t>
        </is>
      </c>
      <c r="K7" s="7" t="inlineStr">
        <is>
          <t>He thong nao thuc su so huu cau hinh nay van la OQ-12/QnA-12.</t>
        </is>
      </c>
    </row>
    <row r="8" ht="46" customHeight="1">
      <c r="A8" s="7" t="n">
        <v>6</v>
      </c>
      <c r="B8" s="7" t="inlineStr">
        <is>
          <t>INT-03-SC2</t>
        </is>
      </c>
      <c r="C8" s="7" t="inlineStr">
        <is>
          <t>OMS/DMS - Slot Capacity &amp; Next-day</t>
        </is>
      </c>
      <c r="D8" s="7" t="inlineStr">
        <is>
          <t>CT-08, BRL-21</t>
        </is>
      </c>
      <c r="E8" s="7" t="inlineStr">
        <is>
          <t>Functional</t>
        </is>
      </c>
      <c r="F8" s="7" t="inlineStr">
        <is>
          <t>Slot duoc giai phong (re-open) khi 1 don duoc danh dau 'san sang giao' boi Store Operations.</t>
        </is>
      </c>
      <c r="G8" s="7" t="inlineStr">
        <is>
          <t>Store Operations (internal) -&gt; OMS/DMS -&gt; App</t>
        </is>
      </c>
      <c r="H8" s="7" t="inlineStr">
        <is>
          <t>1 slot dang o trang thai 'Closed' (het cho) do 1 don truoc do chiem giu.</t>
        </is>
      </c>
      <c r="I8" s="7" t="inlineStr">
        <is>
          <t>Ngay sau khi Store Operations danh dau don 'ready for delivery', slot duoc giai phong va TU DONG chuyen lai 'Open' cho khach khac dat (BRL-21), khong can can thiep thu cong nao khac.</t>
        </is>
      </c>
      <c r="J8" s="7" t="n"/>
      <c r="K8" s="7" t="n"/>
    </row>
    <row r="9" ht="46" customHeight="1">
      <c r="A9" s="7" t="n">
        <v>7</v>
      </c>
      <c r="B9" s="7" t="inlineStr">
        <is>
          <t>INT-04-SC1</t>
        </is>
      </c>
      <c r="C9" s="7" t="inlineStr">
        <is>
          <t>OMS - Tiep nhan don hang (Place Order)</t>
        </is>
      </c>
      <c r="D9" s="7" t="inlineStr">
        <is>
          <t>CO-10</t>
        </is>
      </c>
      <c r="E9" s="7" t="inlineStr">
        <is>
          <t>Functional</t>
        </is>
      </c>
      <c r="F9" s="7" t="inlineStr">
        <is>
          <t>Dat hang thanh cong day du du lieu Checkout (san pham, gia, coupon, diem, phi) sang OMS dung 1-1.</t>
        </is>
      </c>
      <c r="G9" s="7" t="inlineStr">
        <is>
          <t>App -&gt; OMS (order capture)</t>
        </is>
      </c>
      <c r="H9" s="7" t="inlineStr">
        <is>
          <t>Don hang hop le voi day du: san pham, coupon, diem da dung, phi giao hang, phu phi bulky (neu co).</t>
        </is>
      </c>
      <c r="I9" s="7" t="inlineStr">
        <is>
          <t>OMS nhan duoc ban ghi don hang khop CHINH XAC voi tom tat thanh toan da hien tren SCR-CHK-02 (khong lech gia/phi/coupon nao) - day la diem xac nhan cuoi cung cho tinh toan ven du lieu cua BR-09/NFR-04.</t>
        </is>
      </c>
      <c r="J9" s="7" t="n"/>
      <c r="K9" s="7" t="n"/>
    </row>
    <row r="10" ht="46" customHeight="1">
      <c r="A10" s="7" t="n">
        <v>8</v>
      </c>
      <c r="B10" s="7" t="inlineStr">
        <is>
          <t>INT-04-SC2</t>
        </is>
      </c>
      <c r="C10" s="7" t="inlineStr">
        <is>
          <t>OMS - Tiep nhan don hang (Place Order)</t>
        </is>
      </c>
      <c r="D10" s="7" t="inlineStr">
        <is>
          <t>CO-10, BR-09</t>
        </is>
      </c>
      <c r="E10" s="7" t="inlineStr">
        <is>
          <t>Negative</t>
        </is>
      </c>
      <c r="F10" s="7" t="inlineStr">
        <is>
          <t>Neu OMS tu choi don (vi du het hang giua luc thanh toan) thi khach duoc dua ve lai Cart voi thong tin da cap nhat, khong mat du lieu da nhap.</t>
        </is>
      </c>
      <c r="G10" s="7" t="inlineStr">
        <is>
          <t>App &lt;-&gt; OMS</t>
        </is>
      </c>
      <c r="H10" s="7" t="inlineStr">
        <is>
          <t>OMS tra ve loi 'san pham khong con du so luong' khi xac nhan don o buoc cuoi.</t>
        </is>
      </c>
      <c r="I10" s="7" t="inlineStr">
        <is>
          <t>App hien thong bao ro nguyen nhan tu choi, dua khach ve Cart voi SKU lien quan da duoc cap nhat trang thai (het hang/giam so luong), cac lua chon khac (coupon, diem, phuong thuc thanh toan) duoc GIU nguyen de khach khong phai nhap lai tu dau.</t>
        </is>
      </c>
      <c r="J10" s="7" t="n"/>
      <c r="K10" s="7" t="n"/>
    </row>
    <row r="11" ht="46" customHeight="1">
      <c r="A11" s="7" t="n">
        <v>9</v>
      </c>
      <c r="B11" s="7" t="inlineStr">
        <is>
          <t>INT-05-SC1</t>
        </is>
      </c>
      <c r="C11" s="7" t="inlineStr">
        <is>
          <t>Dich vu cau hinh Store - Danh muc/Gia/Ton kho</t>
        </is>
      </c>
      <c r="D11" s="7" t="inlineStr">
        <is>
          <t>BRL-01, ONB-05</t>
        </is>
      </c>
      <c r="E11" s="7" t="inlineStr">
        <is>
          <t>Functional</t>
        </is>
      </c>
      <c r="F11" s="7" t="inlineStr">
        <is>
          <t>Doi store phai keo theo doi DUNG BO 3 (danh muc, gia, ton kho) tu dich vu cau hinh store trong 1 lan goi, khong bi lech du lieu.</t>
        </is>
      </c>
      <c r="G11" s="7" t="inlineStr">
        <is>
          <t>App -&gt; Store Config / Catalog Service</t>
        </is>
      </c>
      <c r="H11" s="7" t="inlineStr">
        <is>
          <t>Khach doi store tu Homepage hoac Onboarding.</t>
        </is>
      </c>
      <c r="I11" s="7" t="inlineStr">
        <is>
          <t>Toan bo danh muc/gia/ton kho tren man hinh duoc render lai theo DUNG store moi, khong con sot du lieu cua store cu (vi du gia cu, san pham chi co o store cu).</t>
        </is>
      </c>
      <c r="J11" s="7" t="n"/>
      <c r="K11" s="7" t="n"/>
    </row>
    <row r="12" ht="46" customHeight="1">
      <c r="A12" s="7" t="n">
        <v>10</v>
      </c>
      <c r="B12" s="7" t="inlineStr">
        <is>
          <t>INT-05-SC2</t>
        </is>
      </c>
      <c r="C12" s="7" t="inlineStr">
        <is>
          <t>Dich vu cau hinh Store - Danh muc/Gia/Ton kho</t>
        </is>
      </c>
      <c r="D12" s="7" t="inlineStr">
        <is>
          <t>CT-07, BRL-24</t>
        </is>
      </c>
      <c r="E12" s="7" t="inlineStr">
        <is>
          <t>Functional</t>
        </is>
      </c>
      <c r="F12" s="7" t="inlineStr">
        <is>
          <t>Khi doi store trong Cart, dich vu tra ve chinh xac danh sach san pham bi anh huong (het hang/doi gia/ngung ban) de app dung cho 1 dialog canh bao gop.</t>
        </is>
      </c>
      <c r="G12" s="7" t="inlineStr">
        <is>
          <t>App -&gt; Store Config / Catalog Service</t>
        </is>
      </c>
      <c r="H12" s="7" t="inlineStr">
        <is>
          <t>Gio hang co nhieu SKU, doi sang 1 store co danh muc/gia khac biet.</t>
        </is>
      </c>
      <c r="I12" s="7" t="inlineStr">
        <is>
          <t>Dich vu tra ve dung danh sach SKU bi anh huong kem ly do (gia moi / het hang / ngung ban) de app gop thanh 1 canh bao duy nhat (SCR-CRT-06) - khong thieu, khong du sai SKU nao.</t>
        </is>
      </c>
      <c r="J12" s="7" t="inlineStr">
        <is>
          <t>QnA-25</t>
        </is>
      </c>
      <c r="K12" s="7" t="n"/>
    </row>
    <row r="13" ht="46" customHeight="1">
      <c r="A13" s="7" t="n">
        <v>11</v>
      </c>
      <c r="B13" s="7" t="inlineStr">
        <is>
          <t>INT-06-SC1</t>
        </is>
      </c>
      <c r="C13" s="7" t="inlineStr">
        <is>
          <t>Biometric / Device Security Ticket</t>
        </is>
      </c>
      <c r="D13" s="7" t="inlineStr">
        <is>
          <t>NFR-02, SU-07</t>
        </is>
      </c>
      <c r="E13" s="7" t="inlineStr">
        <is>
          <t>Security</t>
        </is>
      </c>
      <c r="F13" s="7" t="inlineStr">
        <is>
          <t>Thiet bi chi giu duoc 1 bio ticket dang hoat dong tai 1 thoi diem; dang nhap tai khoan thu 2 tren cung thiet bi phai canh bao truoc khi ghi de.</t>
        </is>
      </c>
      <c r="G13" s="7" t="inlineStr">
        <is>
          <t>App &lt;-&gt; Device Secure Enclave/Keystore</t>
        </is>
      </c>
      <c r="H13" s="7" t="inlineStr">
        <is>
          <t>Thiet bi da co 1 bio ticket cua Tai khoan A dang hoat dong.</t>
        </is>
      </c>
      <c r="I13" s="7" t="inlineStr">
        <is>
          <t>Khi Tai khoan B bat sinh trac hoc tren CUNG thiet bi, he thong hien canh bao ro rang truoc khi ghi de ticket cua Tai khoan A (NFR-02); sau khi ghi de, Tai khoan A khong con dang nhap duoc bang sinh trac hoc tren thiet bi nay.</t>
        </is>
      </c>
      <c r="J13" s="7" t="inlineStr">
        <is>
          <t>QnA-07, QnA-11</t>
        </is>
      </c>
      <c r="K13" s="7" t="inlineStr">
        <is>
          <t>Huong xu ly da thong nhat nhung chi tiet ky thuat van cho review (OQ-07, OQ-11).</t>
        </is>
      </c>
    </row>
    <row r="14" ht="46" customHeight="1">
      <c r="A14" s="7" t="n">
        <v>12</v>
      </c>
      <c r="B14" s="7" t="inlineStr">
        <is>
          <t>INT-07-SC1</t>
        </is>
      </c>
      <c r="C14" s="7" t="inlineStr">
        <is>
          <t>Session / Auth Token</t>
        </is>
      </c>
      <c r="D14" s="7" t="inlineStr">
        <is>
          <t>HP-07, OQ-04</t>
        </is>
      </c>
      <c r="E14" s="7" t="inlineStr">
        <is>
          <t>Exception</t>
        </is>
      </c>
      <c r="F14" s="7" t="inlineStr">
        <is>
          <t>Token phien het han giua chung duoc xu ly nhu Guest chua tung dang nhap (gia dinh dang cho xac nhan).</t>
        </is>
      </c>
      <c r="G14" s="7" t="inlineStr">
        <is>
          <t>App &lt;-&gt; Session/Auth Service</t>
        </is>
      </c>
      <c r="H14" s="7" t="inlineStr">
        <is>
          <t>Khach dang dang nhap, token bi gia lap het han trong luc dang thao tac trong Cart.</t>
        </is>
      </c>
      <c r="I14" s="7" t="inlineStr">
        <is>
          <t>Lan goi API tiep theo tra ve 401/unauthorized; app CHUYEN VE trang thai Guest (khong crash, khong loop loi) va yeu cau dang nhap lai khi cham vao hanh dong can xac thuc (Add to Cart/mo Cart) - dung nhu OQ-04 de xuat.</t>
        </is>
      </c>
      <c r="J14" s="7" t="inlineStr">
        <is>
          <t>QnA-04</t>
        </is>
      </c>
      <c r="K14" s="7" t="inlineStr">
        <is>
          <t>Day la gia dinh dang cho Security/Dev xac nhan chinh thuc (OQ-04/QnA-04); test case nay xac minh hanh vi hien tai co khop voi de xuat khong.</t>
        </is>
      </c>
    </row>
    <row r="15" ht="46" customHeight="1">
      <c r="A15" s="7" t="n">
        <v>13</v>
      </c>
      <c r="B15" s="7" t="inlineStr">
        <is>
          <t>INT-08-SC1</t>
        </is>
      </c>
      <c r="C15" s="7" t="inlineStr">
        <is>
          <t>Coupon &amp; Khuyen mai Engine</t>
        </is>
      </c>
      <c r="D15" s="7" t="inlineStr">
        <is>
          <t>CT-06, BRL-32</t>
        </is>
      </c>
      <c r="E15" s="7" t="inlineStr">
        <is>
          <t>Functional</t>
        </is>
      </c>
      <c r="F15" s="7" t="inlineStr">
        <is>
          <t>Coupon giao hang va coupon don/san pham duoc engine khuyen mai ap dung TU DONG theo dung thu tu uu tien, khong xung dot.</t>
        </is>
      </c>
      <c r="G15" s="7" t="inlineStr">
        <is>
          <t>App &lt;-&gt; Coupon/Promotion Engine</t>
        </is>
      </c>
      <c r="H15" s="7" t="inlineStr">
        <is>
          <t>Vi coupon co ca coupon giao hang va coupon san pham cung hop le cho 1 don hang.</t>
        </is>
      </c>
      <c r="I15" s="7" t="inlineStr">
        <is>
          <t>Engine tu dong ap dung ca 2 loai coupon (khong can khach chon tay), tra ve dung so tien giam cho tung nhom de app hien tach biet (BRL-32); khong co truong hop 2 coupon giam gia trung 1 khoan tien (double-dip) neu business rule khong cho phep.</t>
        </is>
      </c>
      <c r="J15" s="7" t="inlineStr">
        <is>
          <t>QnA-17</t>
        </is>
      </c>
      <c r="K15" s="7" t="inlineStr">
        <is>
          <t>Danh muc day du loai khuyen mai van dang mo (OQ-17/QnA-17).</t>
        </is>
      </c>
    </row>
    <row r="16" ht="46" customHeight="1">
      <c r="A16" s="7" t="n">
        <v>14</v>
      </c>
      <c r="B16" s="7" t="inlineStr">
        <is>
          <t>INT-08-SC2</t>
        </is>
      </c>
      <c r="C16" s="7" t="inlineStr">
        <is>
          <t>Coupon &amp; Khuyen mai Engine</t>
        </is>
      </c>
      <c r="D16" s="7" t="inlineStr">
        <is>
          <t>CT-03, BRL-19</t>
        </is>
      </c>
      <c r="E16" s="7" t="inlineStr">
        <is>
          <t>Boundary</t>
        </is>
      </c>
      <c r="F16" s="7" t="inlineStr">
        <is>
          <t>Engine tinh dung tien do freeship (150.000d) real-time khi gio hang thay doi (them/bot san pham, ap dung coupon).</t>
        </is>
      </c>
      <c r="G16" s="7" t="inlineStr">
        <is>
          <t>App &lt;-&gt; Coupon/Promotion Engine (freeship calculation)</t>
        </is>
      </c>
      <c r="H16" s="7" t="inlineStr">
        <is>
          <t>Gio hang dang o 130.000d, chua dat freeship.</t>
        </is>
      </c>
      <c r="I16" s="7" t="inlineStr">
        <is>
          <t>Them san pham 20.000d dua tong = 150.000d, engine phai tra ve trang thai 'da dat freeship' va phi giao hang Standard chuyen ve 0d NGAY (khong can F5/tai lai man hinh).</t>
        </is>
      </c>
      <c r="J16" s="7" t="n"/>
      <c r="K16" s="7" t="n"/>
    </row>
    <row r="17" ht="46" customHeight="1">
      <c r="A17" s="7" t="n">
        <v>15</v>
      </c>
      <c r="B17" s="7" t="inlineStr">
        <is>
          <t>INT-09-SC1</t>
        </is>
      </c>
      <c r="C17" s="7" t="inlineStr">
        <is>
          <t>Loyalty &amp; Diem thuong Engine</t>
        </is>
      </c>
      <c r="D17" s="7" t="inlineStr">
        <is>
          <t>CO-05, BRL-27</t>
        </is>
      </c>
      <c r="E17" s="7" t="inlineStr">
        <is>
          <t>Functional</t>
        </is>
      </c>
      <c r="F17" s="7" t="inlineStr">
        <is>
          <t>Diem thuong tich luy dung so khi khach chon khung gio 'point-earning' (vi du 18:00-20:00).</t>
        </is>
      </c>
      <c r="G17" s="7" t="inlineStr">
        <is>
          <t>App &lt;-&gt; Loyalty/Points Engine</t>
        </is>
      </c>
      <c r="H17" s="7" t="inlineStr">
        <is>
          <t>Khach chon 1 trong cac khung gio point-earning duoc cau hinh.</t>
        </is>
      </c>
      <c r="I17" s="7" t="inlineStr">
        <is>
          <t>Engine cong dung so diem thuong cho khung gio do vao du kien diem se tich sau don hang; con so hien tren app phai KHOP voi gia tri engine tra ve (khong hard-code phia client).</t>
        </is>
      </c>
      <c r="J17" s="7" t="inlineStr">
        <is>
          <t>QnA-36</t>
        </is>
      </c>
      <c r="K17" s="7" t="inlineStr">
        <is>
          <t>Con so 10.000 diem hien chi thay tren Figma (QnA-36), can doi chieu voi gia tri thuc te engine tra ve khi co moi truong test.</t>
        </is>
      </c>
    </row>
    <row r="18" ht="46" customHeight="1">
      <c r="A18" s="7" t="n">
        <v>16</v>
      </c>
      <c r="B18" s="7" t="inlineStr">
        <is>
          <t>INT-10-SC1</t>
        </is>
      </c>
      <c r="C18" s="7" t="inlineStr">
        <is>
          <t>GotIt / Gift Card Service</t>
        </is>
      </c>
      <c r="D18" s="7" t="inlineStr">
        <is>
          <t>CO-04</t>
        </is>
      </c>
      <c r="E18" s="7" t="inlineStr">
        <is>
          <t>Functional</t>
        </is>
      </c>
      <c r="F18" s="7" t="inlineStr">
        <is>
          <t>Dich vu GotIt/gift card xac thuc ma va tra ve dung menh gia hoac tu choi ma khong hop le/da dung.</t>
        </is>
      </c>
      <c r="G18" s="7" t="inlineStr">
        <is>
          <t>App &lt;-&gt; GotIt/Gift Card Service</t>
        </is>
      </c>
      <c r="H18" s="7" t="inlineStr">
        <is>
          <t>1 ma hop le chua dung, va 1 ma da duoc dung truoc do.</t>
        </is>
      </c>
      <c r="I18" s="7" t="inlineStr">
        <is>
          <t>Ma hop le: dich vu tra ve dung menh gia, app tru dung vao tong tien. Ma da dung: dich vu tu choi kem ly do ro rang ('ma da duoc su dung'), khong tru tien.</t>
        </is>
      </c>
      <c r="J18" s="7" t="n"/>
      <c r="K18" s="7" t="n"/>
    </row>
    <row r="19" ht="46" customHeight="1">
      <c r="A19" s="7" t="n">
        <v>17</v>
      </c>
      <c r="B19" s="7" t="inlineStr">
        <is>
          <t>INT-11-SC1</t>
        </is>
      </c>
      <c r="C19" s="7" t="inlineStr">
        <is>
          <t>Dich vu hoa don VAT</t>
        </is>
      </c>
      <c r="D19" s="7" t="inlineStr">
        <is>
          <t>CO-07, OQ-19</t>
        </is>
      </c>
      <c r="E19" s="7" t="inlineStr">
        <is>
          <t>Functional</t>
        </is>
      </c>
      <c r="F19" s="7" t="inlineStr">
        <is>
          <t>Dich vu hoa don VAT nhan va luu dung thong tin xuat hoa don khi khach bat yeu cau.</t>
        </is>
      </c>
      <c r="G19" s="7" t="inlineStr">
        <is>
          <t>App &lt;-&gt; VAT Invoice Service</t>
        </is>
      </c>
      <c r="H19" s="7" t="inlineStr">
        <is>
          <t>Khach bat toggle yeu cau xuat hoa don VAT va nhap day du thong tin cong ty/ma so thue.</t>
        </is>
      </c>
      <c r="I19" s="7" t="inlineStr">
        <is>
          <t>Thong tin duoc gui dung sang dich vu VAT va gan dung voi don hang tuong ung; quy tac VAT co thay doi trong To-Be hay khong van la OQ-19/QnA-19 - test case nay chi xac minh luong du lieu, khong xac minh quy tac thue chi tiet.</t>
        </is>
      </c>
      <c r="J19" s="7" t="inlineStr">
        <is>
          <t>QnA-19</t>
        </is>
      </c>
      <c r="K19" s="7" t="n"/>
    </row>
    <row r="20" ht="46" customHeight="1">
      <c r="A20" s="7" t="n">
        <v>18</v>
      </c>
      <c r="B20" s="7" t="inlineStr">
        <is>
          <t>INT-12-SC1</t>
        </is>
      </c>
      <c r="C20" s="7" t="inlineStr">
        <is>
          <t>Delivery Partner &amp; Locker Network</t>
        </is>
      </c>
      <c r="D20" s="7" t="inlineStr">
        <is>
          <t>CT-10, OQ-23</t>
        </is>
      </c>
      <c r="E20" s="7" t="inlineStr">
        <is>
          <t>Functional</t>
        </is>
      </c>
      <c r="F20" s="7" t="inlineStr">
        <is>
          <t>He thong Delivery Partner tra ve dung trang thai locker (con cho / het cho) cho ca 2 loai locker gan nha va tai store.</t>
        </is>
      </c>
      <c r="G20" s="7" t="inlineStr">
        <is>
          <t>App &lt;-&gt; Delivery Partner / Locker Network</t>
        </is>
      </c>
      <c r="H20" s="7" t="inlineStr">
        <is>
          <t>1 locker gan nha con cho, 1 locker tai store da het cho.</t>
        </is>
      </c>
      <c r="I20" s="7" t="inlineStr">
        <is>
          <t>App hien dung trang thai tung locker theo phan hoi tu Delivery Partner; khach khong chon duoc locker da het cho.</t>
        </is>
      </c>
      <c r="J20" s="7" t="inlineStr">
        <is>
          <t>QnA-23, QnA-31</t>
        </is>
      </c>
      <c r="K20" s="7" t="inlineStr">
        <is>
          <t>Quy tac day du (gia, thoi gian giu, no-show) van cho LOTTE MART (OQ-23/QnA-23).</t>
        </is>
      </c>
    </row>
    <row r="21" ht="46" customHeight="1">
      <c r="A21" s="7" t="n">
        <v>19</v>
      </c>
      <c r="B21" s="7" t="inlineStr">
        <is>
          <t>INT-13-SC1</t>
        </is>
      </c>
      <c r="C21" s="7" t="inlineStr">
        <is>
          <t>Dich vu phan giai dia chi &amp; vung dich vu (Geo/Service-zone)</t>
        </is>
      </c>
      <c r="D21" s="7" t="inlineStr">
        <is>
          <t>HP-04, BRL-10, BRL-11, BRL-12</t>
        </is>
      </c>
      <c r="E21" s="7" t="inlineStr">
        <is>
          <t>Functional</t>
        </is>
      </c>
      <c r="F21" s="7" t="inlineStr">
        <is>
          <t>Dich vu phan giai vung dich vu tra ve dung 1 trong 4 trang thai loai tru theo khoang cach dia chi-store.</t>
        </is>
      </c>
      <c r="G21" s="7" t="inlineStr">
        <is>
          <t>App &lt;-&gt; Geo/Service-zone Resolution Service</t>
        </is>
      </c>
      <c r="H21" s="7" t="inlineStr">
        <is>
          <t>4 dia chi mau roi vao dung 4 khoang (3-5km, 10-15km, khu Next-day, ngoai moi vung).</t>
        </is>
      </c>
      <c r="I21" s="7" t="inlineStr">
        <is>
          <t>Dich vu tra ve dung 1 trong 4 nhan (60-Minute+Standard / Standard only / Next-day only / not-served) khong chong cheo, phan anh dung cau hinh rieng cua tung store (ban kinh co the khac nhau giua cac store).</t>
        </is>
      </c>
      <c r="J21" s="7" t="inlineStr">
        <is>
          <t>QnA-09</t>
        </is>
      </c>
      <c r="K21" s="7" t="inlineStr">
        <is>
          <t>Vung Next-day co du toan bo VN hay chua van la OQ-09/QnA-09.</t>
        </is>
      </c>
    </row>
    <row r="22" ht="46" customHeight="1">
      <c r="A22" s="7" t="n">
        <v>20</v>
      </c>
      <c r="B22" s="7" t="inlineStr">
        <is>
          <t>INT-13-SC2</t>
        </is>
      </c>
      <c r="C22" s="7" t="inlineStr">
        <is>
          <t>Dich vu phan giai dia chi &amp; vung dich vu (Geo/Service-zone)</t>
        </is>
      </c>
      <c r="D22" s="7" t="inlineStr">
        <is>
          <t>CT-07, BRL-24</t>
        </is>
      </c>
      <c r="E22" s="7" t="inlineStr">
        <is>
          <t>Integration</t>
        </is>
      </c>
      <c r="F22" s="7" t="inlineStr">
        <is>
          <t>Khi doi store trong Cart, dich vu phai tra ve ca 2 nhom anh huong (san pham tu Catalog Service, dich vu/slot tu Service-zone Resolution) dong bo trong cung 1 lan goi de app gop thanh 1 canh bao.</t>
        </is>
      </c>
      <c r="G22" s="7" t="inlineStr">
        <is>
          <t>App &lt;-&gt; Service-zone Resolution + Catalog Service</t>
        </is>
      </c>
      <c r="H22" s="7" t="inlineStr">
        <is>
          <t>Gio hang co san pham va dich vu deu bi anh huong khi doi store.</t>
        </is>
      </c>
      <c r="I22" s="7" t="inlineStr">
        <is>
          <t>2 nguon du lieu (san pham tu Catalog, dich vu/slot tu Service-zone) phai duoc tong hop DUNG va DU truoc khi app hien 1 dialog canh bao gop - khong hien 2 dialog rieng do goi API lech thoi diem.</t>
        </is>
      </c>
      <c r="J22" s="7" t="inlineStr">
        <is>
          <t>QnA-25</t>
        </is>
      </c>
      <c r="K22" s="7" t="n"/>
    </row>
    <row r="23" ht="46" customHeight="1">
      <c r="A23" s="7" t="n">
        <v>21</v>
      </c>
      <c r="B23" s="7" t="inlineStr">
        <is>
          <t>INT-14-SC1</t>
        </is>
      </c>
      <c r="C23" s="7" t="inlineStr">
        <is>
          <t>Security - Gioi han thu OTP/PIN</t>
        </is>
      </c>
      <c r="D23" s="7" t="inlineStr">
        <is>
          <t>NFR-01, LI-06, BR-11</t>
        </is>
      </c>
      <c r="E23" s="7" t="inlineStr">
        <is>
          <t>Security</t>
        </is>
      </c>
      <c r="F23" s="7" t="inlineStr">
        <is>
          <t>Gioi han thu sai OTP/PIN duoc thuc thi tren SERVER (khong chi tren client) de tranh bypass bang cach sua request tren thiet bi.</t>
        </is>
      </c>
      <c r="G23" s="7" t="inlineStr">
        <is>
          <t>App &lt;-&gt; Security/Auth Service (server-side)</t>
        </is>
      </c>
      <c r="H23" s="7" t="inlineStr">
        <is>
          <t>Da nhap sai PIN/OTP vuot qua gioi han cau hinh (gia tri N dang cho OQ-03).</t>
        </is>
      </c>
      <c r="I23" s="7" t="inlineStr">
        <is>
          <t>Ngay ca khi client bi can thiep de gui lai request thu them, SERVER van tu choi va yeu cau xac thuc lai bang OTP - gioi han khong duoc thuc thi CHI o phia client.</t>
        </is>
      </c>
      <c r="J23" s="7" t="inlineStr">
        <is>
          <t>QnA-03</t>
        </is>
      </c>
      <c r="K23" s="7" t="inlineStr">
        <is>
          <t>Con so N chinh xac va co che khoa van la OQ-03/QnA-03; test nay xac minh viec thuc thi phia server bat ke gia tri N cuoi cung la bao nhieu.</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
  <sheetViews>
    <sheetView showGridLines="0" workbookViewId="0">
      <pane ySplit="2" topLeftCell="A3" activePane="bottomLeft" state="frozen"/>
      <selection pane="bottomLeft" activeCell="A1" sqref="A1"/>
    </sheetView>
  </sheetViews>
  <sheetFormatPr baseColWidth="8" defaultRowHeight="15"/>
  <cols>
    <col width="22" customWidth="1" min="1" max="1"/>
    <col width="18" customWidth="1" min="2" max="2"/>
    <col width="34" customWidth="1" min="3" max="3"/>
    <col width="20" customWidth="1" min="4" max="4"/>
    <col width="12" customWidth="1" min="5" max="5"/>
    <col width="38" customWidth="1" min="6" max="6"/>
    <col width="30" customWidth="1" min="7" max="7"/>
    <col width="48" customWidth="1" min="8" max="8"/>
    <col width="26" customWidth="1" min="9" max="9"/>
    <col width="48" customWidth="1" min="10" max="10"/>
    <col width="10" customWidth="1" min="11" max="11"/>
    <col width="14" customWidth="1" min="12" max="12"/>
    <col width="12" customWidth="1" min="13" max="13"/>
    <col width="10" customWidth="1" min="14" max="14"/>
    <col width="12" customWidth="1" min="15" max="15"/>
    <col width="12" customWidth="1" min="16" max="16"/>
    <col width="40" customWidth="1" min="17" max="17"/>
    <col width="50" customWidth="1" min="18" max="18"/>
  </cols>
  <sheetData>
    <row r="1">
      <c r="A1" s="1" t="inlineStr">
        <is>
          <t>Simplify Checkout — Integration Detailed Test Cases</t>
        </is>
      </c>
    </row>
    <row r="2">
      <c r="A2" s="6" t="inlineStr">
        <is>
          <t>Test Case ID</t>
        </is>
      </c>
      <c r="B2" s="6" t="inlineStr">
        <is>
          <t>Parent Scenario ID</t>
        </is>
      </c>
      <c r="C2" s="6" t="inlineStr">
        <is>
          <t>Module</t>
        </is>
      </c>
      <c r="D2" s="6" t="inlineStr">
        <is>
          <t>REQ ID (SRS)</t>
        </is>
      </c>
      <c r="E2" s="6" t="inlineStr">
        <is>
          <t>Test Case Type</t>
        </is>
      </c>
      <c r="F2" s="6" t="inlineStr">
        <is>
          <t>Test Case Title</t>
        </is>
      </c>
      <c r="G2" s="6" t="inlineStr">
        <is>
          <t>Preconditions</t>
        </is>
      </c>
      <c r="H2" s="6" t="inlineStr">
        <is>
          <t>Test Steps</t>
        </is>
      </c>
      <c r="I2" s="6" t="inlineStr">
        <is>
          <t>Test Data</t>
        </is>
      </c>
      <c r="J2" s="6" t="inlineStr">
        <is>
          <t>Expected Result</t>
        </is>
      </c>
      <c r="K2" s="6" t="inlineStr">
        <is>
          <t>Priority</t>
        </is>
      </c>
      <c r="L2" s="6" t="inlineStr">
        <is>
          <t>Actual Result</t>
        </is>
      </c>
      <c r="M2" s="6" t="inlineStr">
        <is>
          <t>Pass/Fail Status</t>
        </is>
      </c>
      <c r="N2" s="6" t="inlineStr">
        <is>
          <t>Tester</t>
        </is>
      </c>
      <c r="O2" s="6" t="inlineStr">
        <is>
          <t>Test Date</t>
        </is>
      </c>
      <c r="P2" s="6" t="inlineStr">
        <is>
          <t>QnA Ref</t>
        </is>
      </c>
      <c r="Q2" s="6" t="inlineStr">
        <is>
          <t>Comments</t>
        </is>
      </c>
      <c r="R2" s="6" t="inlineStr">
        <is>
          <t>Ghi chu Review (QC)</t>
        </is>
      </c>
    </row>
    <row r="3" ht="70" customHeight="1">
      <c r="A3" s="7" t="inlineStr">
        <is>
          <t>INT-01-SC1-TC1</t>
        </is>
      </c>
      <c r="B3" s="7" t="inlineStr">
        <is>
          <t>INT-01-SC1</t>
        </is>
      </c>
      <c r="C3" s="7" t="inlineStr">
        <is>
          <t>Cong OTP Zalo/SMS</t>
        </is>
      </c>
      <c r="D3" s="7" t="inlineStr">
        <is>
          <t>SU-03, BRL-14</t>
        </is>
      </c>
      <c r="E3" s="7" t="inlineStr">
        <is>
          <t>Functional</t>
        </is>
      </c>
      <c r="F3" s="7" t="inlineStr">
        <is>
          <t>Zalo that bai gui OTP khong tu dong fallback sang SMS</t>
        </is>
      </c>
      <c r="G3" s="7" t="inlineStr">
        <is>
          <t>Da nhap SDT hop le, chon kenh Zalo, cong Zalo duoc gia lap tra ve loi gui.</t>
        </is>
      </c>
      <c r="H3" s="7" t="inlineStr">
        <is>
          <t>1. Nhap SDT, chon kenh Zalo (mac dinh), bam gui OTP.
2. Gia lap Zalo Gateway tra ve loi/khong giao duoc tin.
3. Quan sat trang thai app trong suot thoi gian dem nguoc Resend.
4. Sau khi het dem nguoc, kiem tra CO nut/tuy chon doi kenh sang SMS hay khong.
5. Chon doi kenh sang SMS, xac nhan OTP moi duoc gui qua SMS.</t>
        </is>
      </c>
      <c r="I3" s="7" t="inlineStr">
        <is>
          <t>SDT test: 0912345678. Zalo Gateway: gia lap tra ve loi.</t>
        </is>
      </c>
      <c r="J3" s="7" t="inlineStr">
        <is>
          <t>Buoc 3: app KHONG tu dong goi SMS Gateway trong luc dem nguoc. Buoc 5: chi khi khach CHU DONG doi kenh, request moi duoc gui qua SMS Gateway.</t>
        </is>
      </c>
      <c r="K3" s="7" t="inlineStr">
        <is>
          <t>High</t>
        </is>
      </c>
      <c r="L3" s="8" t="n"/>
      <c r="M3" s="8" t="inlineStr">
        <is>
          <t>Not Run</t>
        </is>
      </c>
      <c r="N3" s="8" t="n"/>
      <c r="O3" s="8" t="n"/>
      <c r="P3" s="7" t="inlineStr">
        <is>
          <t>QnA-08</t>
        </is>
      </c>
      <c r="Q3" s="7" t="n"/>
      <c r="R3" s="7" t="n"/>
    </row>
    <row r="4" ht="70" customHeight="1">
      <c r="A4" s="7" t="inlineStr">
        <is>
          <t>INT-01-SC2-TC1</t>
        </is>
      </c>
      <c r="B4" s="7" t="inlineStr">
        <is>
          <t>INT-01-SC2</t>
        </is>
      </c>
      <c r="C4" s="7" t="inlineStr">
        <is>
          <t>Cong OTP Zalo/SMS</t>
        </is>
      </c>
      <c r="D4" s="7" t="inlineStr">
        <is>
          <t>NFR-01, BRL-15</t>
        </is>
      </c>
      <c r="E4" s="7" t="inlineStr">
        <is>
          <t>Boundary</t>
        </is>
      </c>
      <c r="F4" s="7" t="inlineStr">
        <is>
          <t>Cong OTP tu choi khi vuot qua so lan yeu cau trong 1 khoang thoi gian</t>
        </is>
      </c>
      <c r="G4" s="7" t="inlineStr">
        <is>
          <t>Da gui OTP nhieu lan lien tiep cho cung 1 SDT trong thoi gian ngan (gia lap vuot muc gioi han rate-limit).</t>
        </is>
      </c>
      <c r="H4" s="7" t="inlineStr">
        <is>
          <t>1. Bam Resend/gui OTP lien tiep nhieu lan (vuot qua muc gioi han gia dinh, vi du 5 lan/10 phut).
2. Quan sat phan hoi tu Cong OTP o lan vuot gioi han.</t>
        </is>
      </c>
      <c r="I4" s="7" t="inlineStr">
        <is>
          <t>SDT test, so lan gui thu: vuot muc gioi han gia dinh (gia tri chinh thuc cho OQ-03).</t>
        </is>
      </c>
      <c r="J4" s="7" t="inlineStr">
        <is>
          <t>Cong OTP tra ve loi rate-limit ro rang (khong phai loi he thong chung chung); app hien thong bao huong dan khach cho them thoi gian.</t>
        </is>
      </c>
      <c r="K4" s="7" t="inlineStr">
        <is>
          <t>Medium</t>
        </is>
      </c>
      <c r="L4" s="8" t="n"/>
      <c r="M4" s="8" t="inlineStr">
        <is>
          <t>Not Run</t>
        </is>
      </c>
      <c r="N4" s="8" t="n"/>
      <c r="O4" s="8" t="n"/>
      <c r="P4" s="7" t="inlineStr">
        <is>
          <t>QnA-03</t>
        </is>
      </c>
      <c r="Q4" s="7" t="inlineStr">
        <is>
          <t>Muc gioi han cu the se duoc cap nhat lai khi OQ-03/QnA-03 co cau tra loi chinh thuc.</t>
        </is>
      </c>
      <c r="R4" s="9" t="inlineStr">
        <is>
          <t>Con so 'vuot muc gioi han gui OTP' trong test nay dang la gia dinh de viet cho co vi du de hinh dung, CHUA phai con so chinh thuc. Khi co cau tra loi QnA-03 tu Security/Dev thi phai sua lai dung con so that.</t>
        </is>
      </c>
    </row>
    <row r="5" ht="70" customHeight="1">
      <c r="A5" s="7" t="inlineStr">
        <is>
          <t>INT-02-SC1-TC1</t>
        </is>
      </c>
      <c r="B5" s="7" t="inlineStr">
        <is>
          <t>INT-02-SC1</t>
        </is>
      </c>
      <c r="C5" s="7" t="inlineStr">
        <is>
          <t>Cong thanh toan &amp; BNPL</t>
        </is>
      </c>
      <c r="D5" s="7" t="inlineStr">
        <is>
          <t>CO-06, BRL-33</t>
        </is>
      </c>
      <c r="E5" s="7" t="inlineStr">
        <is>
          <t>Functional</t>
        </is>
      </c>
      <c r="F5" s="7" t="inlineStr">
        <is>
          <t>Badge khuyen mai hien dung rieng cho tung phuong thuc thanh toan</t>
        </is>
      </c>
      <c r="G5" s="7" t="inlineStr">
        <is>
          <t>MoMo dang co khuyen mai 'Giam 20.000d', ZaloPay dang co 'Giam 3.000d', The va BNPL khong co khuyen mai.</t>
        </is>
      </c>
      <c r="H5" s="7" t="inlineStr">
        <is>
          <t>1. Vao man Phuong thuc thanh toan tai Checkout.
2. Quan sat badge tren tung phuong thuc.
3. Chon MoMo, xac nhan badge ap dung dung cho MoMo.
4. Doi sang ZaloPay, xac nhan badge doi dung theo ZaloPay.</t>
        </is>
      </c>
      <c r="I5" s="7" t="inlineStr">
        <is>
          <t>MoMo: badge 'Giam 20.000d'. ZaloPay: badge 'Giam 3.000d'. The, BNPL: khong badge.</t>
        </is>
      </c>
      <c r="J5" s="7" t="inlineStr">
        <is>
          <t>Moi phuong thuc hien dung badge cua rieng no; khi doi phuong thuc, badge cap nhat dung theo lua chon moi, khong giu badge cua phuong thuc truoc.</t>
        </is>
      </c>
      <c r="K5" s="7" t="inlineStr">
        <is>
          <t>Medium</t>
        </is>
      </c>
      <c r="L5" s="8" t="n"/>
      <c r="M5" s="8" t="inlineStr">
        <is>
          <t>Not Run</t>
        </is>
      </c>
      <c r="N5" s="8" t="n"/>
      <c r="O5" s="8" t="n"/>
      <c r="P5" s="7" t="n"/>
      <c r="Q5" s="7" t="n"/>
      <c r="R5" s="7" t="n"/>
    </row>
    <row r="6" ht="70" customHeight="1">
      <c r="A6" s="7" t="inlineStr">
        <is>
          <t>INT-02-SC2-TC1</t>
        </is>
      </c>
      <c r="B6" s="7" t="inlineStr">
        <is>
          <t>INT-02-SC2</t>
        </is>
      </c>
      <c r="C6" s="7" t="inlineStr">
        <is>
          <t>Cong thanh toan &amp; BNPL</t>
        </is>
      </c>
      <c r="D6" s="7" t="inlineStr">
        <is>
          <t>CO-10, NFR-04</t>
        </is>
      </c>
      <c r="E6" s="7" t="inlineStr">
        <is>
          <t>Exception</t>
        </is>
      </c>
      <c r="F6" s="7" t="inlineStr">
        <is>
          <t>Timeout tu cong thanh toan khong tao don trung lap va giu nguyen du lieu Checkout</t>
        </is>
      </c>
      <c r="G6" s="7" t="inlineStr">
        <is>
          <t>Don hang hop le, gia lap Payment Gateway timeout khi bam Dat hang.</t>
        </is>
      </c>
      <c r="H6" s="7" t="inlineStr">
        <is>
          <t>1. Dien du thong tin Checkout (dia chi, san pham, coupon, diem, phuong thuc thanh toan).
2. Bam Dat hang, gia lap Payment Gateway khong phan hoi (timeout).
3. Quan sat thong bao loi.
4. Bam Dat hang LAI lan 2 (gia lap gateway phan hoi thanh cong lan nay).
5. Kiem tra so luong don hang duoc tao trong OMS.</t>
        </is>
      </c>
      <c r="I6" s="7" t="inlineStr">
        <is>
          <t>Don hang mau da ap dung 1 coupon + 1000 diem.</t>
        </is>
      </c>
      <c r="J6" s="7" t="inlineStr">
        <is>
          <t>Buoc 3: thong bao loi ro rang, cho phep thu lai. Buoc 5: CHI DUNG 1 don hang duoc tao trong OMS (khong bi tao 2 don do request bi gui lai) va toan bo coupon/diem da ap dung van con nguyen o lan thu 2.</t>
        </is>
      </c>
      <c r="K6" s="7" t="inlineStr">
        <is>
          <t>High</t>
        </is>
      </c>
      <c r="L6" s="8" t="n"/>
      <c r="M6" s="8" t="inlineStr">
        <is>
          <t>Not Run</t>
        </is>
      </c>
      <c r="N6" s="8" t="n"/>
      <c r="O6" s="8" t="n"/>
      <c r="P6" s="7" t="n"/>
      <c r="Q6" s="7" t="n"/>
      <c r="R6" s="7" t="n"/>
    </row>
    <row r="7" ht="70" customHeight="1">
      <c r="A7" s="7" t="inlineStr">
        <is>
          <t>INT-03-SC1-TC1</t>
        </is>
      </c>
      <c r="B7" s="7" t="inlineStr">
        <is>
          <t>INT-03-SC1</t>
        </is>
      </c>
      <c r="C7" s="7" t="inlineStr">
        <is>
          <t>OMS/DMS - Slot Capacity &amp; Next-day</t>
        </is>
      </c>
      <c r="D7" s="7" t="inlineStr">
        <is>
          <t>CT-08</t>
        </is>
      </c>
      <c r="E7" s="7" t="inlineStr">
        <is>
          <t>Functional</t>
        </is>
      </c>
      <c r="F7" s="7" t="inlineStr">
        <is>
          <t>So slot 60-Minute con lai duoc cap nhat real-time tu OMS/DMS, dung canh bao trong Cart</t>
        </is>
      </c>
      <c r="G7" s="7" t="inlineStr">
        <is>
          <t>Store test cau hinh 3 slot 60-Minute con lai cho khung gio dang xet.</t>
        </is>
      </c>
      <c r="H7" s="7" t="inlineStr">
        <is>
          <t>1. Mo Cart, quan sat so slot con lai hien thi (3).
2. Gia lap (tu 1 thiet bi/tai khoan khac) dat 2 don lien tiep chiem 2 slot.
3. Lam moi Cart tren thiet bi dang test, quan sat so slot con lai va canh bao (neu co).</t>
        </is>
      </c>
      <c r="I7" s="7" t="inlineStr">
        <is>
          <t>Slot ban dau: 3. Sau 2 don khac: con lai 1 (bang nguong canh bao).</t>
        </is>
      </c>
      <c r="J7" s="7" t="inlineStr">
        <is>
          <t>Sau buoc 2, Cart tren thiet bi dang test phai phan anh dung con lai 1 slot va HIEN canh bao sap het cho (khong bi cache/le du lieu).</t>
        </is>
      </c>
      <c r="K7" s="7" t="inlineStr">
        <is>
          <t>Medium</t>
        </is>
      </c>
      <c r="L7" s="8" t="n"/>
      <c r="M7" s="8" t="inlineStr">
        <is>
          <t>Not Run</t>
        </is>
      </c>
      <c r="N7" s="8" t="n"/>
      <c r="O7" s="8" t="n"/>
      <c r="P7" s="7" t="inlineStr">
        <is>
          <t>QnA-12</t>
        </is>
      </c>
      <c r="Q7" s="7" t="n"/>
      <c r="R7" s="7" t="n"/>
    </row>
    <row r="8" ht="70" customHeight="1">
      <c r="A8" s="7" t="inlineStr">
        <is>
          <t>INT-03-SC2-TC1</t>
        </is>
      </c>
      <c r="B8" s="7" t="inlineStr">
        <is>
          <t>INT-03-SC2</t>
        </is>
      </c>
      <c r="C8" s="7" t="inlineStr">
        <is>
          <t>OMS/DMS - Slot Capacity &amp; Next-day</t>
        </is>
      </c>
      <c r="D8" s="7" t="inlineStr">
        <is>
          <t>CT-08, BRL-21</t>
        </is>
      </c>
      <c r="E8" s="7" t="inlineStr">
        <is>
          <t>Functional</t>
        </is>
      </c>
      <c r="F8" s="7" t="inlineStr">
        <is>
          <t>Slot duoc giai phong tu dong khi don duoc danh dau san sang giao</t>
        </is>
      </c>
      <c r="G8" s="7" t="inlineStr">
        <is>
          <t>1 slot dang o trang thai Closed do 1 don chiem het cho.</t>
        </is>
      </c>
      <c r="H8" s="7" t="inlineStr">
        <is>
          <t>1. Xac nhan slot X dang Closed (het cho).
2. Gia lap Store Operations danh dau don chiem slot X la 'ready for delivery' trong OMS.
3. Lam moi Cart/man chon slot, quan sat trang thai slot X.</t>
        </is>
      </c>
      <c r="I8" s="7" t="inlineStr">
        <is>
          <t>Slot X: Closed truoc buoc 2.</t>
        </is>
      </c>
      <c r="J8" s="7" t="inlineStr">
        <is>
          <t>Ngay sau buoc 2, slot X TU DONG chuyen ve Open (neu con dung capacity), khong can thao tac thu cong nao tu phia khach hay QC.</t>
        </is>
      </c>
      <c r="K8" s="7" t="inlineStr">
        <is>
          <t>Medium</t>
        </is>
      </c>
      <c r="L8" s="8" t="n"/>
      <c r="M8" s="8" t="inlineStr">
        <is>
          <t>Not Run</t>
        </is>
      </c>
      <c r="N8" s="8" t="n"/>
      <c r="O8" s="8" t="n"/>
      <c r="P8" s="7" t="n"/>
      <c r="Q8" s="7" t="n"/>
      <c r="R8" s="7" t="n"/>
    </row>
    <row r="9" ht="70" customHeight="1">
      <c r="A9" s="7" t="inlineStr">
        <is>
          <t>INT-04-SC1-TC1</t>
        </is>
      </c>
      <c r="B9" s="7" t="inlineStr">
        <is>
          <t>INT-04-SC1</t>
        </is>
      </c>
      <c r="C9" s="7" t="inlineStr">
        <is>
          <t>OMS - Tiep nhan don hang (Place Order)</t>
        </is>
      </c>
      <c r="D9" s="7" t="inlineStr">
        <is>
          <t>CO-10</t>
        </is>
      </c>
      <c r="E9" s="7" t="inlineStr">
        <is>
          <t>Functional</t>
        </is>
      </c>
      <c r="F9" s="7" t="inlineStr">
        <is>
          <t>Du lieu don hang gui sang OMS khop chinh xac voi tom tat thanh toan da hien thi</t>
        </is>
      </c>
      <c r="G9" s="7" t="inlineStr">
        <is>
          <t>Don hang: 3 SKU, 1 coupon san pham (-10.000d), 500 diem da dung (-500d), phi giao hang 16.000d.</t>
        </is>
      </c>
      <c r="H9" s="7" t="inlineStr">
        <is>
          <t>1. Hoan tat Checkout voi du lieu mau, ghi lai TOAN BO cac dong trong tom tat thanh toan.
2. Bam Dat hang.
3. Truy van ban ghi don hang trong OMS (qua cong cu QC/log duoc cap quyen).
4. Doi chieu tung truong voi tom tat da ghi o buoc 1.</t>
        </is>
      </c>
      <c r="I9" s="7" t="inlineStr">
        <is>
          <t>3 SKU mau, coupon -10.000d, diem -500d, phi giao hang 16.000d.</t>
        </is>
      </c>
      <c r="J9" s="7" t="inlineStr">
        <is>
          <t>Tat ca cac truong trong OMS (danh sach SKU, gia, coupon, diem, phi) KHOP CHINH XAC 1-1 voi tom tat thanh toan da hien tren app - khong lech du 1 dong.</t>
        </is>
      </c>
      <c r="K9" s="7" t="inlineStr">
        <is>
          <t>High</t>
        </is>
      </c>
      <c r="L9" s="8" t="n"/>
      <c r="M9" s="8" t="inlineStr">
        <is>
          <t>Not Run</t>
        </is>
      </c>
      <c r="N9" s="8" t="n"/>
      <c r="O9" s="8" t="n"/>
      <c r="P9" s="7" t="n"/>
      <c r="Q9" s="7" t="n"/>
      <c r="R9" s="9" t="inlineStr">
        <is>
          <t>Buoc 3 dang ghi chung chung la 'qua cong cu QC de truy van log OMS' - nen ghi ro TEN cong cu/nguoi chiu trach nhiem cap quyen truy van, de nguoi thuc thi test biet lam the nao, tranh moi nguoi hieu khac nhau.</t>
        </is>
      </c>
    </row>
    <row r="10" ht="70" customHeight="1">
      <c r="A10" s="7" t="inlineStr">
        <is>
          <t>INT-04-SC2-TC1</t>
        </is>
      </c>
      <c r="B10" s="7" t="inlineStr">
        <is>
          <t>INT-04-SC2</t>
        </is>
      </c>
      <c r="C10" s="7" t="inlineStr">
        <is>
          <t>OMS - Tiep nhan don hang (Place Order)</t>
        </is>
      </c>
      <c r="D10" s="7" t="inlineStr">
        <is>
          <t>CO-10, BR-09</t>
        </is>
      </c>
      <c r="E10" s="7" t="inlineStr">
        <is>
          <t>Negative</t>
        </is>
      </c>
      <c r="F10" s="7" t="inlineStr">
        <is>
          <t>OMS tu choi don do het hang giua luc thanh toan dua khach ve Cart voi du lieu da cap nhat</t>
        </is>
      </c>
      <c r="G10" s="7" t="inlineStr">
        <is>
          <t>1 SKU trong don duoc gia lap het hang dung luc khach bam Dat hang.</t>
        </is>
      </c>
      <c r="H10" s="7" t="inlineStr">
        <is>
          <t>1. Chuan bi don co SKU-Z sap het hang (con 1 don vi).
2. Gia lap 1 giao dich khac mua het SKU-Z ngay truoc khi khach bam Dat hang.
3. Khach bam Dat hang.
4. Quan sat phan hoi tu OMS va man hinh ke tiep.</t>
        </is>
      </c>
      <c r="I10" s="7" t="inlineStr">
        <is>
          <t>SKU-Z: con 1 don vi, bi mua het boi giao dich khac ngay truoc do.</t>
        </is>
      </c>
      <c r="J10" s="7" t="inlineStr">
        <is>
          <t>OMS tu choi xac nhan don, tra ve ly do (SKU-Z het hang); app hien thong bao ro va dua khach ve Cart, SKU-Z da duoc cap nhat trang thai het hang, cac SKU/coupon/diem/phuong thuc thanh toan khac van con nguyen.</t>
        </is>
      </c>
      <c r="K10" s="7" t="inlineStr">
        <is>
          <t>High</t>
        </is>
      </c>
      <c r="L10" s="8" t="n"/>
      <c r="M10" s="8" t="inlineStr">
        <is>
          <t>Not Run</t>
        </is>
      </c>
      <c r="N10" s="8" t="n"/>
      <c r="O10" s="8" t="n"/>
      <c r="P10" s="7" t="n"/>
      <c r="Q10" s="7" t="n"/>
      <c r="R10" s="7" t="n"/>
    </row>
    <row r="11" ht="70" customHeight="1">
      <c r="A11" s="7" t="inlineStr">
        <is>
          <t>INT-05-SC1-TC1</t>
        </is>
      </c>
      <c r="B11" s="7" t="inlineStr">
        <is>
          <t>INT-05-SC1</t>
        </is>
      </c>
      <c r="C11" s="7" t="inlineStr">
        <is>
          <t>Dich vu cau hinh Store - Danh muc/Gia/Ton kho</t>
        </is>
      </c>
      <c r="D11" s="7" t="inlineStr">
        <is>
          <t>BRL-01</t>
        </is>
      </c>
      <c r="E11" s="7" t="inlineStr">
        <is>
          <t>Functional</t>
        </is>
      </c>
      <c r="F11" s="7" t="inlineStr">
        <is>
          <t>Doi store render lai dung bo 3 danh muc/gia/ton kho, khong sot du lieu store cu</t>
        </is>
      </c>
      <c r="G11" s="7" t="inlineStr">
        <is>
          <t>Dang xem Homepage voi Store A, co danh sach san pham va gia rieng cua Store A.</t>
        </is>
      </c>
      <c r="H11" s="7" t="inlineStr">
        <is>
          <t>1. Ghi nhan 3-5 SKU cung gia cua chung tai Store A.
2. Doi sang Store B (co gia/danh muc khac).
3. Kiem tra lai chinh 3-5 SKU do: gia, tinh trang con hang, co con xuat hien khong.</t>
        </is>
      </c>
      <c r="I11" s="7" t="inlineStr">
        <is>
          <t>Store A, Store B: cau hinh gia/danh muc khac nhau ro ret cho it nhat 1 SKU chung va 1 SKU chi co o Store A.</t>
        </is>
      </c>
      <c r="J11" s="7" t="inlineStr">
        <is>
          <t>Sau khi doi sang Store B: gia hien thi la gia CUA STORE B (khong con la gia Store A); SKU chi co o Store A khong con xuat hien trong danh muc Store B.</t>
        </is>
      </c>
      <c r="K11" s="7" t="inlineStr">
        <is>
          <t>High</t>
        </is>
      </c>
      <c r="L11" s="8" t="n"/>
      <c r="M11" s="8" t="inlineStr">
        <is>
          <t>Not Run</t>
        </is>
      </c>
      <c r="N11" s="8" t="n"/>
      <c r="O11" s="8" t="n"/>
      <c r="P11" s="7" t="n"/>
      <c r="Q11" s="7" t="n"/>
      <c r="R11" s="7" t="n"/>
    </row>
    <row r="12" ht="70" customHeight="1">
      <c r="A12" s="7" t="inlineStr">
        <is>
          <t>INT-05-SC2-TC1</t>
        </is>
      </c>
      <c r="B12" s="7" t="inlineStr">
        <is>
          <t>INT-05-SC2</t>
        </is>
      </c>
      <c r="C12" s="7" t="inlineStr">
        <is>
          <t>Dich vu cau hinh Store - Danh muc/Gia/Ton kho</t>
        </is>
      </c>
      <c r="D12" s="7" t="inlineStr">
        <is>
          <t>CT-07, BRL-24</t>
        </is>
      </c>
      <c r="E12" s="7" t="inlineStr">
        <is>
          <t>Functional</t>
        </is>
      </c>
      <c r="F12" s="7" t="inlineStr">
        <is>
          <t>Doi store trong Cart tra ve dung danh sach SKU bi anh huong de gop thanh 1 canh bao</t>
        </is>
      </c>
      <c r="G12" s="7" t="inlineStr">
        <is>
          <t>Gio hang co 5 SKU; doi sang Store C: SKU-1 het hang, SKU-2 doi gia, 3 SKU con lai khong doi.</t>
        </is>
      </c>
      <c r="H12" s="7" t="inlineStr">
        <is>
          <t>1. Mo sheet doi store trong Cart, chon Store C.
2. Quan sat danh sach SKU duoc neu trong canh bao.
3. Doi chieu voi du lieu da chuan bi (SKU-1, SKU-2 phai co mat; 3 SKU con lai KHONG duoc liet ke la anh huong).</t>
        </is>
      </c>
      <c r="I12" s="7" t="inlineStr">
        <is>
          <t>SKU-1: het hang tai Store C. SKU-2: gia khac tai Store C. SKU-3,4,5: khong doi.</t>
        </is>
      </c>
      <c r="J12" s="7" t="inlineStr">
        <is>
          <t>Canh bao CHI liet ke dung SKU-1 (het hang) va SKU-2 (doi gia); khong bao thieu, khong bao thua SKU nao trong 5 SKU cua gio hang.</t>
        </is>
      </c>
      <c r="K12" s="7" t="inlineStr">
        <is>
          <t>High</t>
        </is>
      </c>
      <c r="L12" s="8" t="n"/>
      <c r="M12" s="8" t="inlineStr">
        <is>
          <t>Not Run</t>
        </is>
      </c>
      <c r="N12" s="8" t="n"/>
      <c r="O12" s="8" t="n"/>
      <c r="P12" s="7" t="inlineStr">
        <is>
          <t>QnA-25</t>
        </is>
      </c>
      <c r="Q12" s="7" t="n"/>
      <c r="R12" s="7" t="n"/>
    </row>
    <row r="13" ht="70" customHeight="1">
      <c r="A13" s="7" t="inlineStr">
        <is>
          <t>INT-06-SC1-TC1</t>
        </is>
      </c>
      <c r="B13" s="7" t="inlineStr">
        <is>
          <t>INT-06-SC1</t>
        </is>
      </c>
      <c r="C13" s="7" t="inlineStr">
        <is>
          <t>Biometric / Device Security Ticket</t>
        </is>
      </c>
      <c r="D13" s="7" t="inlineStr">
        <is>
          <t>NFR-02</t>
        </is>
      </c>
      <c r="E13" s="7" t="inlineStr">
        <is>
          <t>Security</t>
        </is>
      </c>
      <c r="F13" s="7" t="inlineStr">
        <is>
          <t>Dang nhap sinh trac hoc tai khoan thu 2 tren cung thiet bi canh bao truoc khi ghi de ticket</t>
        </is>
      </c>
      <c r="G13" s="7" t="inlineStr">
        <is>
          <t>Thiet bi test da co bio ticket dang hoat dong cua Tai khoan A.</t>
        </is>
      </c>
      <c r="H13" s="7" t="inlineStr">
        <is>
          <t>1. Dang xuat Tai khoan A (khong tat sinh trac hoc rieng).
2. Dang nhap Tai khoan B bang SDT+PIN, den buoc loi moi bat sinh trac hoc.
3. Bat sinh trac hoc cho Tai khoan B tren cung thiet bi.
4. Quan sat canh bao (neu co) truoc khi xac nhan.
5. Sau khi xac nhan, thu dang nhap lai bang Face ID/van tay tren thiet bi - kiem tra tai khoan nao duoc dang nhap.</t>
        </is>
      </c>
      <c r="I13" s="7" t="inlineStr">
        <is>
          <t>Tai khoan A, Tai khoan B tren cung 1 thiet bi vat ly.</t>
        </is>
      </c>
      <c r="J13" s="7" t="inlineStr">
        <is>
          <t>Buoc 4: he thong PHAI hien canh bao ro rang ('thiet bi nay dang lien ket sinh trac hoc voi 1 tai khoan khac, tiep tuc se thay the') truoc khi ghi de. Buoc 5: sinh trac hoc tren thiet bi gio dang nhap Tai khoan B, Tai khoan A khong con dang nhap duoc bang sinh trac hoc tren thiet bi nay.</t>
        </is>
      </c>
      <c r="K13" s="7" t="inlineStr">
        <is>
          <t>High</t>
        </is>
      </c>
      <c r="L13" s="8" t="n"/>
      <c r="M13" s="8" t="inlineStr">
        <is>
          <t>Not Run</t>
        </is>
      </c>
      <c r="N13" s="8" t="n"/>
      <c r="O13" s="8" t="n"/>
      <c r="P13" s="7" t="inlineStr">
        <is>
          <t>QnA-07, QnA-11</t>
        </is>
      </c>
      <c r="Q13" s="7" t="inlineStr">
        <is>
          <t>Xac nhan lai voi Dev khi co ket luan chinh thuc cho OQ-07/OQ-11.</t>
        </is>
      </c>
      <c r="R13" s="7" t="n"/>
    </row>
    <row r="14" ht="70" customHeight="1">
      <c r="A14" s="7" t="inlineStr">
        <is>
          <t>INT-07-SC1-TC1</t>
        </is>
      </c>
      <c r="B14" s="7" t="inlineStr">
        <is>
          <t>INT-07-SC1</t>
        </is>
      </c>
      <c r="C14" s="7" t="inlineStr">
        <is>
          <t>Session / Auth Token</t>
        </is>
      </c>
      <c r="D14" s="7" t="inlineStr">
        <is>
          <t>HP-07</t>
        </is>
      </c>
      <c r="E14" s="7" t="inlineStr">
        <is>
          <t>Exception</t>
        </is>
      </c>
      <c r="F14" s="7" t="inlineStr">
        <is>
          <t>Token het han giua chung chuyen ve trang thai Guest, khong crash, yeu cau dang nhap lai dung luc</t>
        </is>
      </c>
      <c r="G14" s="7" t="inlineStr">
        <is>
          <t>Dang dang nhap, dang duyet Cart binh thuong.</t>
        </is>
      </c>
      <c r="H14" s="7" t="inlineStr">
        <is>
          <t>1. Gia lap token phien het han (vi du sua/xoa token luu cuc bo hoac cho het TTL trong moi truong test).
2. Thuc hien 1 hanh dong can xac thuc (vi du mo lai Cart hoac Add to Cart).
3. Quan sat phan hoi cua app.</t>
        </is>
      </c>
      <c r="I14" s="7" t="inlineStr">
        <is>
          <t>Token het han duoc gia lap trong moi truong test/staging.</t>
        </is>
      </c>
      <c r="J14" s="7" t="inlineStr">
        <is>
          <t>App KHONG crash va KHONG lap vo han loi; chuyen ve trang thai Guest, hien lai login gate khi cham vao hanh dong can xac thuc (Add to Cart/mo Cart), giong het hanh vi cua 1 Guest chua tung dang nhap.</t>
        </is>
      </c>
      <c r="K14" s="7" t="inlineStr">
        <is>
          <t>High</t>
        </is>
      </c>
      <c r="L14" s="8" t="n"/>
      <c r="M14" s="8" t="inlineStr">
        <is>
          <t>Not Run</t>
        </is>
      </c>
      <c r="N14" s="8" t="n"/>
      <c r="O14" s="8" t="n"/>
      <c r="P14" s="7" t="inlineStr">
        <is>
          <t>QnA-04</t>
        </is>
      </c>
      <c r="Q14" s="7" t="n"/>
      <c r="R14" s="7" t="n"/>
    </row>
    <row r="15" ht="70" customHeight="1">
      <c r="A15" s="7" t="inlineStr">
        <is>
          <t>INT-08-SC1-TC1</t>
        </is>
      </c>
      <c r="B15" s="7" t="inlineStr">
        <is>
          <t>INT-08-SC1</t>
        </is>
      </c>
      <c r="C15" s="7" t="inlineStr">
        <is>
          <t>Coupon &amp; Khuyen mai Engine</t>
        </is>
      </c>
      <c r="D15" s="7" t="inlineStr">
        <is>
          <t>BRL-32</t>
        </is>
      </c>
      <c r="E15" s="7" t="inlineStr">
        <is>
          <t>Functional</t>
        </is>
      </c>
      <c r="F15" s="7" t="inlineStr">
        <is>
          <t>Engine tu dong ap dung ca coupon giao hang va coupon san pham, tra ve dung so tien cho tung nhom</t>
        </is>
      </c>
      <c r="G15" s="7" t="inlineStr">
        <is>
          <t>Vi co 1 coupon giao hang (-15.000d) va 1 coupon san pham (-10% 1 SKU gia 200.000d) deu hop le cho don hang hien tai.</t>
        </is>
      </c>
      <c r="H15" s="7" t="inlineStr">
        <is>
          <t>1. Mo Cart voi don hang du dieu kien ca 2 coupon.
2. Quan sat coupon co duoc TU DONG ap dung khong (khong can khach chon tay).
3. Kiem tra so tien giam cua tung nhom (giao hang / san pham) hien rieng biet.</t>
        </is>
      </c>
      <c r="I15" s="7" t="inlineStr">
        <is>
          <t>Coupon giao hang: -15.000d. Coupon san pham: -10% tren SKU 200.000d (= -20.000d).</t>
        </is>
      </c>
      <c r="J15" s="7" t="inlineStr">
        <is>
          <t>Ca 2 coupon duoc AP DUNG TU DONG; nhom giao hang hien dung -15.000d, nhom san pham hien dung -20.000d, khong bi tron thanh 1 dong duy nhat va khong bi ap dung sai chieu.</t>
        </is>
      </c>
      <c r="K15" s="7" t="inlineStr">
        <is>
          <t>Medium</t>
        </is>
      </c>
      <c r="L15" s="8" t="n"/>
      <c r="M15" s="8" t="inlineStr">
        <is>
          <t>Not Run</t>
        </is>
      </c>
      <c r="N15" s="8" t="n"/>
      <c r="O15" s="8" t="n"/>
      <c r="P15" s="7" t="inlineStr">
        <is>
          <t>QnA-17</t>
        </is>
      </c>
      <c r="Q15" s="7" t="n"/>
      <c r="R15" s="7" t="n"/>
    </row>
    <row r="16" ht="70" customHeight="1">
      <c r="A16" s="7" t="inlineStr">
        <is>
          <t>INT-08-SC2-TC1</t>
        </is>
      </c>
      <c r="B16" s="7" t="inlineStr">
        <is>
          <t>INT-08-SC2</t>
        </is>
      </c>
      <c r="C16" s="7" t="inlineStr">
        <is>
          <t>Coupon &amp; Khuyen mai Engine</t>
        </is>
      </c>
      <c r="D16" s="7" t="inlineStr">
        <is>
          <t>CT-03, BRL-19</t>
        </is>
      </c>
      <c r="E16" s="7" t="inlineStr">
        <is>
          <t>Boundary</t>
        </is>
      </c>
      <c r="F16" s="7" t="inlineStr">
        <is>
          <t>Freeship threshold 150.000d duoc tinh lai real-time ngay khi them san pham du nguong</t>
        </is>
      </c>
      <c r="G16" s="7" t="inlineStr">
        <is>
          <t>Gio hang dang o 130.000d, dich vu Standard, chua freeship.</t>
        </is>
      </c>
      <c r="H16" s="7" t="inlineStr">
        <is>
          <t>1. Quan sat phi giao hang hien tai (co gia tri, chua 0d).
2. Them 1 san pham 20.000d vao gio (dua tong = 150.000d).
3. Quan sat lai phi giao hang NGAY sau khi them, khong thao tac gi khac.</t>
        </is>
      </c>
      <c r="I16" s="7" t="inlineStr">
        <is>
          <t>Gio hang: 130.000d -&gt; them SKU 20.000d -&gt; 150.000d.</t>
        </is>
      </c>
      <c r="J16" s="7" t="inlineStr">
        <is>
          <t>Ngay sau buoc 2 (khong can F5 hay roi man hinh), phi giao hang Standard TU DONG chuyen ve 0d va thanh tien do freeship bao da dat nguong.</t>
        </is>
      </c>
      <c r="K16" s="7" t="inlineStr">
        <is>
          <t>Medium</t>
        </is>
      </c>
      <c r="L16" s="8" t="n"/>
      <c r="M16" s="8" t="inlineStr">
        <is>
          <t>Not Run</t>
        </is>
      </c>
      <c r="N16" s="8" t="n"/>
      <c r="O16" s="8" t="n"/>
      <c r="P16" s="7" t="n"/>
      <c r="Q16" s="7" t="n"/>
      <c r="R16" s="7" t="n"/>
    </row>
    <row r="17" ht="70" customHeight="1">
      <c r="A17" s="7" t="inlineStr">
        <is>
          <t>INT-09-SC1-TC1</t>
        </is>
      </c>
      <c r="B17" s="7" t="inlineStr">
        <is>
          <t>INT-09-SC1</t>
        </is>
      </c>
      <c r="C17" s="7" t="inlineStr">
        <is>
          <t>Loyalty &amp; Diem thuong Engine</t>
        </is>
      </c>
      <c r="D17" s="7" t="inlineStr">
        <is>
          <t>BRL-27</t>
        </is>
      </c>
      <c r="E17" s="7" t="inlineStr">
        <is>
          <t>Functional</t>
        </is>
      </c>
      <c r="F17" s="7" t="inlineStr">
        <is>
          <t>Diem thuong cho khung gio point-earning duoc cong dung va khop giua client va engine</t>
        </is>
      </c>
      <c r="G17" s="7" t="inlineStr">
        <is>
          <t>Chon khung gio 18:00-20:00 (1 trong cac khung point-earning theo BRL-27).</t>
        </is>
      </c>
      <c r="H17" s="7" t="inlineStr">
        <is>
          <t>1. O buoc chon slot, chon khung 18:00-20:00.
2. Quan sat thong diep/badge diem thuong hien tren app (vi du '+X diem').
3. Tiep tuc den Checkout, kiem tra 'diem du kien' trong tom tat thanh toan co cong dung X diem tu buoc 2 khong.</t>
        </is>
      </c>
      <c r="I17" s="7" t="inlineStr">
        <is>
          <t>Khung gio point-earning: 18:00-20:00.</t>
        </is>
      </c>
      <c r="J17" s="7" t="inlineStr">
        <is>
          <t>So diem hien o Cart (buoc 2) va so diem du kien o Checkout (buoc 3) phai KHOP NHAU va khop voi gia tri engine backend tra ve (khong phai so hard-code rieng tren client).</t>
        </is>
      </c>
      <c r="K17" s="7" t="inlineStr">
        <is>
          <t>Low</t>
        </is>
      </c>
      <c r="L17" s="8" t="n"/>
      <c r="M17" s="8" t="inlineStr">
        <is>
          <t>Not Run</t>
        </is>
      </c>
      <c r="N17" s="8" t="n"/>
      <c r="O17" s="8" t="n"/>
      <c r="P17" s="7" t="inlineStr">
        <is>
          <t>QnA-36</t>
        </is>
      </c>
      <c r="Q17" s="7" t="inlineStr">
        <is>
          <t>Con so cu the (vi du 10.000 diem) can doi chieu voi gia tri that cua engine, khong lay tu Figma lam chuan.</t>
        </is>
      </c>
      <c r="R17" s="7" t="n"/>
    </row>
    <row r="18" ht="70" customHeight="1">
      <c r="A18" s="7" t="inlineStr">
        <is>
          <t>INT-10-SC1-TC1</t>
        </is>
      </c>
      <c r="B18" s="7" t="inlineStr">
        <is>
          <t>INT-10-SC1</t>
        </is>
      </c>
      <c r="C18" s="7" t="inlineStr">
        <is>
          <t>GotIt / Gift Card Service</t>
        </is>
      </c>
      <c r="D18" s="7" t="inlineStr">
        <is>
          <t>CO-04</t>
        </is>
      </c>
      <c r="E18" s="7" t="inlineStr">
        <is>
          <t>Functional</t>
        </is>
      </c>
      <c r="F18" s="7" t="inlineStr">
        <is>
          <t>Ma gift card da su dung bi tu choi ro rang, khong tru tien</t>
        </is>
      </c>
      <c r="G18" s="7" t="inlineStr">
        <is>
          <t>1 ma gift card da duoc dung het cho 1 don truoc do.</t>
        </is>
      </c>
      <c r="H18" s="7" t="inlineStr">
        <is>
          <t>1. Nhap ma gift card da dung truoc do vao o ma qua tang.
2. Bam ap dung.
3. Quan sat phan hoi.</t>
        </is>
      </c>
      <c r="I18" s="7" t="inlineStr">
        <is>
          <t>Ma test: GIFT-USED-01 (da duoc dung).</t>
        </is>
      </c>
      <c r="J18" s="7" t="inlineStr">
        <is>
          <t>Dich vu GotIt tra ve loi 'ma da duoc su dung', khong co so tien nao bi tru khoi tong don hang, khach co the nhap ma khac.</t>
        </is>
      </c>
      <c r="K18" s="7" t="inlineStr">
        <is>
          <t>Medium</t>
        </is>
      </c>
      <c r="L18" s="8" t="n"/>
      <c r="M18" s="8" t="inlineStr">
        <is>
          <t>Not Run</t>
        </is>
      </c>
      <c r="N18" s="8" t="n"/>
      <c r="O18" s="8" t="n"/>
      <c r="P18" s="7" t="n"/>
      <c r="Q18" s="7" t="n"/>
      <c r="R18" s="7" t="n"/>
    </row>
    <row r="19" ht="70" customHeight="1">
      <c r="A19" s="7" t="inlineStr">
        <is>
          <t>INT-11-SC1-TC1</t>
        </is>
      </c>
      <c r="B19" s="7" t="inlineStr">
        <is>
          <t>INT-11-SC1</t>
        </is>
      </c>
      <c r="C19" s="7" t="inlineStr">
        <is>
          <t>Dich vu hoa don VAT</t>
        </is>
      </c>
      <c r="D19" s="7" t="inlineStr">
        <is>
          <t>CO-07</t>
        </is>
      </c>
      <c r="E19" s="7" t="inlineStr">
        <is>
          <t>Functional</t>
        </is>
      </c>
      <c r="F19" s="7" t="inlineStr">
        <is>
          <t>Thong tin xuat hoa don VAT duoc gui dung va gan dung voi ma don hang</t>
        </is>
      </c>
      <c r="G19" s="7" t="inlineStr">
        <is>
          <t>Bat yeu cau xuat hoa don, nhap ten cong ty + ma so thue hop le.</t>
        </is>
      </c>
      <c r="H19" s="7" t="inlineStr">
        <is>
          <t>1. Bat toggle 'Yeu cau xuat hoa don VAT'.
2. Nhap ten cong ty, ma so thue, dia chi cong ty.
3. Hoan tat Dat hang.
4. Truy van (qua cong cu QC) ban ghi hoa don da gui sang VAT Invoice Service, doi chieu voi ma don hang vua tao.</t>
        </is>
      </c>
      <c r="I19" s="7" t="inlineStr">
        <is>
          <t>Ten cong ty: Cong ty TNHH ABC. MST: 0312345678.</t>
        </is>
      </c>
      <c r="J19" s="7" t="inlineStr">
        <is>
          <t>Thong tin hoa don duoc dich vu VAT nhan dung, gan dung ma don hang tuong ung - khong bi that lac hay gan nham don khac.</t>
        </is>
      </c>
      <c r="K19" s="7" t="inlineStr">
        <is>
          <t>Medium</t>
        </is>
      </c>
      <c r="L19" s="8" t="n"/>
      <c r="M19" s="8" t="inlineStr">
        <is>
          <t>Not Run</t>
        </is>
      </c>
      <c r="N19" s="8" t="n"/>
      <c r="O19" s="8" t="n"/>
      <c r="P19" s="7" t="inlineStr">
        <is>
          <t>QnA-19</t>
        </is>
      </c>
      <c r="Q19" s="7" t="n"/>
      <c r="R19" s="7" t="n"/>
    </row>
    <row r="20" ht="70" customHeight="1">
      <c r="A20" s="7" t="inlineStr">
        <is>
          <t>INT-12-SC1-TC1</t>
        </is>
      </c>
      <c r="B20" s="7" t="inlineStr">
        <is>
          <t>INT-12-SC1</t>
        </is>
      </c>
      <c r="C20" s="7" t="inlineStr">
        <is>
          <t>Delivery Partner &amp; Locker Network</t>
        </is>
      </c>
      <c r="D20" s="7" t="inlineStr">
        <is>
          <t>CT-10</t>
        </is>
      </c>
      <c r="E20" s="7" t="inlineStr">
        <is>
          <t>Functional</t>
        </is>
      </c>
      <c r="F20" s="7" t="inlineStr">
        <is>
          <t>Trang thai con cho/het cho cua locker duoc phan anh dung tu Delivery Partner</t>
        </is>
      </c>
      <c r="G20" s="7" t="inlineStr">
        <is>
          <t>1 locker gan nha con 2 cho trong, 1 locker tai store da het cho.</t>
        </is>
      </c>
      <c r="H20" s="7" t="inlineStr">
        <is>
          <t>1. Mo man chon locker gan nha, quan sat trang thai.
2. Mo man chon locker tai store (da het cho), thu chon.
3. Quan sat phan hoi.</t>
        </is>
      </c>
      <c r="I20" s="7" t="inlineStr">
        <is>
          <t>Locker A (gan nha): con 2 cho. Locker B (tai store): 0 cho con.</t>
        </is>
      </c>
      <c r="J20" s="7" t="inlineStr">
        <is>
          <t>Locker A hien 'con cho', chon duoc binh thuong. Locker B hien 'het cho'/disabled, KHONG chon duoc, tranh dat trung vao 1 locker da day.</t>
        </is>
      </c>
      <c r="K20" s="7" t="inlineStr">
        <is>
          <t>Medium</t>
        </is>
      </c>
      <c r="L20" s="8" t="n"/>
      <c r="M20" s="8" t="inlineStr">
        <is>
          <t>Not Run</t>
        </is>
      </c>
      <c r="N20" s="8" t="n"/>
      <c r="O20" s="8" t="n"/>
      <c r="P20" s="7" t="inlineStr">
        <is>
          <t>QnA-23</t>
        </is>
      </c>
      <c r="Q20" s="7" t="n"/>
      <c r="R20" s="7" t="n"/>
    </row>
    <row r="21" ht="70" customHeight="1">
      <c r="A21" s="7" t="inlineStr">
        <is>
          <t>INT-13-SC1-TC1</t>
        </is>
      </c>
      <c r="B21" s="7" t="inlineStr">
        <is>
          <t>INT-13-SC1</t>
        </is>
      </c>
      <c r="C21" s="7" t="inlineStr">
        <is>
          <t>Dich vu phan giai dia chi &amp; vung dich vu (Geo/Service-zone)</t>
        </is>
      </c>
      <c r="D21" s="7" t="inlineStr">
        <is>
          <t>HP-04</t>
        </is>
      </c>
      <c r="E21" s="7" t="inlineStr">
        <is>
          <t>Boundary</t>
        </is>
      </c>
      <c r="F21" s="7" t="inlineStr">
        <is>
          <t>Dich vu phan giai vung dich vu tra ve dung 1 trong 4 trang thai cho tung khoang cach mau</t>
        </is>
      </c>
      <c r="G21" s="7" t="inlineStr">
        <is>
          <t>4 dia chi mau: 4km (60-Minute+Standard), 12km (Standard only), thuoc khu Next-day, ngoai moi vung cau hinh.</t>
        </is>
      </c>
      <c r="H21" s="7" t="inlineStr">
        <is>
          <t>1. Nhap lan luot tung dia chi mau va quan sat ket qua tra ve tren header/Homepage.
2. Doi chieu voi ban kinh cau hinh cua store dang chon.</t>
        </is>
      </c>
      <c r="I21" s="7" t="inlineStr">
        <is>
          <t>4 dia chi mau khop dung 4 nguong BRL-10/11/12 cua store test.</t>
        </is>
      </c>
      <c r="J21" s="7" t="inlineStr">
        <is>
          <t>Dung 4km -&gt; 60-Minute+Standard; 12km -&gt; chi Standard; khu Next-day -&gt; chi ngay giao; ngoai moi vung -&gt; khong ngay/gio, chi thong bao + CTA doi dia chi. Khong co truong hop lan giua 2 trang thai.</t>
        </is>
      </c>
      <c r="K21" s="7" t="inlineStr">
        <is>
          <t>High</t>
        </is>
      </c>
      <c r="L21" s="8" t="n"/>
      <c r="M21" s="8" t="inlineStr">
        <is>
          <t>Not Run</t>
        </is>
      </c>
      <c r="N21" s="8" t="n"/>
      <c r="O21" s="8" t="n"/>
      <c r="P21" s="7" t="inlineStr">
        <is>
          <t>QnA-09</t>
        </is>
      </c>
      <c r="Q21" s="7" t="n"/>
      <c r="R21" s="7" t="n"/>
    </row>
    <row r="22" ht="70" customHeight="1">
      <c r="A22" s="7" t="inlineStr">
        <is>
          <t>INT-13-SC2-TC1</t>
        </is>
      </c>
      <c r="B22" s="7" t="inlineStr">
        <is>
          <t>INT-13-SC2</t>
        </is>
      </c>
      <c r="C22" s="7" t="inlineStr">
        <is>
          <t>Dich vu phan giai dia chi &amp; vung dich vu (Geo/Service-zone)</t>
        </is>
      </c>
      <c r="D22" s="7" t="inlineStr">
        <is>
          <t>CT-07</t>
        </is>
      </c>
      <c r="E22" s="7" t="inlineStr">
        <is>
          <t>Integration</t>
        </is>
      </c>
      <c r="F22" s="7" t="inlineStr">
        <is>
          <t>Du lieu tu Catalog Service va Service-zone Service duoc tong hop dong bo truoc khi hien 1 canh bao gop</t>
        </is>
      </c>
      <c r="G22" s="7" t="inlineStr">
        <is>
          <t>Doi store trong Cart anh huong ca san pham (tu Catalog) va dich vu/slot (tu Service-zone).</t>
        </is>
      </c>
      <c r="H22" s="7" t="inlineStr">
        <is>
          <t>1. Chon store moi gay anh huong ca 2 nhom.
2. Quan sat thoi diem dialog canh bao xuat hien - phai la SAU KHI ca 2 nguon du lieu da tra ve, khong hien dialog 'thieu' truoc roi cap nhat them sau.
3. Kiem tra noi dung dialog co du ca thong tin san pham lan dich vu/slot ngay lan hien dau tien.</t>
        </is>
      </c>
      <c r="I22" s="7" t="inlineStr">
        <is>
          <t>Store gay anh huong dong thoi ca 2 nhom du lieu.</t>
        </is>
      </c>
      <c r="J22" s="7" t="inlineStr">
        <is>
          <t>Dialog canh bao CHI hien 1 lan, DAY DU thong tin ca 2 nhom ngay tu dau - khong co hien tuong dialog hien thieu du lieu roi cap nhat/nhay lai.</t>
        </is>
      </c>
      <c r="K22" s="7" t="inlineStr">
        <is>
          <t>Medium</t>
        </is>
      </c>
      <c r="L22" s="8" t="n"/>
      <c r="M22" s="8" t="inlineStr">
        <is>
          <t>Not Run</t>
        </is>
      </c>
      <c r="N22" s="8" t="n"/>
      <c r="O22" s="8" t="n"/>
      <c r="P22" s="7" t="inlineStr">
        <is>
          <t>QnA-25</t>
        </is>
      </c>
      <c r="Q22" s="7" t="n"/>
      <c r="R22" s="7" t="n"/>
    </row>
    <row r="23" ht="70" customHeight="1">
      <c r="A23" s="7" t="inlineStr">
        <is>
          <t>INT-14-SC1-TC1</t>
        </is>
      </c>
      <c r="B23" s="7" t="inlineStr">
        <is>
          <t>INT-14-SC1</t>
        </is>
      </c>
      <c r="C23" s="7" t="inlineStr">
        <is>
          <t>Security - Gioi han thu OTP/PIN</t>
        </is>
      </c>
      <c r="D23" s="7" t="inlineStr">
        <is>
          <t>NFR-01, LI-06</t>
        </is>
      </c>
      <c r="E23" s="7" t="inlineStr">
        <is>
          <t>Security</t>
        </is>
      </c>
      <c r="F23" s="7" t="inlineStr">
        <is>
          <t>Server tu choi request xac thuc them ngay ca khi client bi can thiep de bo qua gioi han</t>
        </is>
      </c>
      <c r="G23" s="7" t="inlineStr">
        <is>
          <t>Da vuot qua so lan thu sai PIN gioi han (server-side) cho 1 tai khoan test.</t>
        </is>
      </c>
      <c r="H23" s="7" t="inlineStr">
        <is>
          <t>1. Thuc hien du so lan thu sai PIN toi gioi han qua UI binh thuong (tai khoan bi khoa tam thoi tren server).
2. Dung cong cu QC (vi du Postman/API client duoc cap quyen) gui THANG 1 request xac thuc PIN toi API backend, bo qua UI app.
3. Quan sat phan hoi cua server.</t>
        </is>
      </c>
      <c r="I23" s="7" t="inlineStr">
        <is>
          <t>Tai khoan test da bi khoa server-side sau khi vuot gioi han.</t>
        </is>
      </c>
      <c r="J23" s="7" t="inlineStr">
        <is>
          <t>Server TU CHOI request o buoc 2 (tra ve loi khoa tai khoan/yeu cau OTP) bat ke request den tu UI chinh thuc hay goi truc tiep API - gioi han khong duoc thuc thi CHI o phia client.</t>
        </is>
      </c>
      <c r="K23" s="7" t="inlineStr">
        <is>
          <t>High</t>
        </is>
      </c>
      <c r="L23" s="8" t="n"/>
      <c r="M23" s="8" t="inlineStr">
        <is>
          <t>Not Run</t>
        </is>
      </c>
      <c r="N23" s="8" t="n"/>
      <c r="O23" s="8" t="n"/>
      <c r="P23" s="7" t="inlineStr">
        <is>
          <t>QnA-03</t>
        </is>
      </c>
      <c r="Q23" s="7" t="n"/>
      <c r="R23" s="7" t="n"/>
    </row>
  </sheetData>
  <mergeCells count="1">
    <mergeCell ref="A1:R1"/>
  </mergeCells>
  <dataValidations count="1">
    <dataValidation sqref="M3:M23" showDropDown="0" showInputMessage="0" showErrorMessage="0" allowBlank="1" type="list">
      <formula1>"Pass,Fail,Blocked,N/A,Not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
  <sheetViews>
    <sheetView showGridLines="0" workbookViewId="0">
      <pane ySplit="3" topLeftCell="A4" activePane="bottomLeft" state="frozen"/>
      <selection pane="bottomLeft" activeCell="A1" sqref="A1"/>
    </sheetView>
  </sheetViews>
  <sheetFormatPr baseColWidth="8" defaultRowHeight="15"/>
  <cols>
    <col width="10" customWidth="1" min="1" max="1"/>
    <col width="42" customWidth="1" min="2" max="2"/>
    <col width="42" customWidth="1" min="3" max="3"/>
    <col width="34" customWidth="1" min="4" max="4"/>
    <col width="26" customWidth="1" min="5" max="5"/>
    <col width="12" customWidth="1" min="6" max="6"/>
    <col width="40" customWidth="1" min="7" max="7"/>
    <col width="70" customWidth="1" min="8" max="8"/>
    <col width="40" customWidth="1" min="9" max="9"/>
    <col width="60" customWidth="1" min="10" max="10"/>
    <col width="14" customWidth="1" min="11" max="11"/>
    <col width="12" customWidth="1" min="12" max="12"/>
    <col width="10" customWidth="1" min="13" max="13"/>
    <col width="12" customWidth="1" min="14" max="14"/>
    <col width="12" customWidth="1" min="15" max="15"/>
    <col width="46" customWidth="1" min="16" max="16"/>
  </cols>
  <sheetData>
    <row r="1">
      <c r="A1" s="1" t="inlineStr">
        <is>
          <t>Simplify Checkout — Kich ban Test XUYEN SUOT (tu luc mo app den luc dat hang xong)</t>
        </is>
      </c>
    </row>
    <row r="2" ht="44" customHeight="1">
      <c r="A2" s="10" t="inlineStr">
        <is>
          <t>Cac test case duoi day mo phong DUNG hanh trinh cua 1 khach hang thuc te, di qua NHIEU man hinh/nhieu buoc lien tiep - khac voi 2 sheet Test Cases o tren chi test TUNG MAN HINH rieng le. Muc dich: bat duoc nhung loi chi xuat hien khi CHUYEN TIEP giua cac buoc (vi du: mat du lieu khi dang ky giua chung, mat gio hang khi phien dang nhap het han...).</t>
        </is>
      </c>
    </row>
    <row r="3">
      <c r="A3" s="6" t="inlineStr">
        <is>
          <t>E2E ID</t>
        </is>
      </c>
      <c r="B3" s="6" t="inlineStr">
        <is>
          <t>Ten hanh trinh (de hieu)</t>
        </is>
      </c>
      <c r="C3" s="6" t="inlineStr">
        <is>
          <t>Nguoi dung / Tinh huong</t>
        </is>
      </c>
      <c r="D3" s="6" t="inlineStr">
        <is>
          <t>Cac man hinh / buoc di qua</t>
        </is>
      </c>
      <c r="E3" s="6" t="inlineStr">
        <is>
          <t>Loai test</t>
        </is>
      </c>
      <c r="F3" s="6" t="inlineStr">
        <is>
          <t>Do uu tien</t>
        </is>
      </c>
      <c r="G3" s="6" t="inlineStr">
        <is>
          <t>Dieu kien truoc khi bat dau</t>
        </is>
      </c>
      <c r="H3" s="6" t="inlineStr">
        <is>
          <t>Cac buoc thuc hien (chi tiet)</t>
        </is>
      </c>
      <c r="I3" s="6" t="inlineStr">
        <is>
          <t>Du lieu test</t>
        </is>
      </c>
      <c r="J3" s="6" t="inlineStr">
        <is>
          <t>Ket qua mong doi</t>
        </is>
      </c>
      <c r="K3" s="6" t="inlineStr">
        <is>
          <t>Actual Result</t>
        </is>
      </c>
      <c r="L3" s="6" t="inlineStr">
        <is>
          <t>Pass/Fail Status</t>
        </is>
      </c>
      <c r="M3" s="6" t="inlineStr">
        <is>
          <t>Tester</t>
        </is>
      </c>
      <c r="N3" s="6" t="inlineStr">
        <is>
          <t>Ngay test</t>
        </is>
      </c>
      <c r="O3" s="6" t="inlineStr">
        <is>
          <t>QnA lien quan</t>
        </is>
      </c>
      <c r="P3" s="6" t="inlineStr">
        <is>
          <t>Ghi chu</t>
        </is>
      </c>
    </row>
    <row r="4" ht="190" customHeight="1">
      <c r="A4" s="7" t="inlineStr">
        <is>
          <t>E2E-01</t>
        </is>
      </c>
      <c r="B4" s="7" t="inlineStr">
        <is>
          <t>Khach hang moi mua lan dau - tu luc mo app den luc dat hang xong</t>
        </is>
      </c>
      <c r="C4" s="7" t="inlineStr">
        <is>
          <t>Khach chua tung dung app, chua co tai khoan (Guest -&gt; tu tao tai khoan moi giua chung)</t>
        </is>
      </c>
      <c r="D4" s="7" t="inlineStr">
        <is>
          <t>Onboarding -&gt; Homepage -&gt; Login gate -&gt; Dang ky -&gt; Gio hang -&gt; Thanh toan</t>
        </is>
      </c>
      <c r="E4" s="7" t="inlineStr">
        <is>
          <t>Luong chinh (phai chay dung tu dau den cuoi)</t>
        </is>
      </c>
      <c r="F4" s="7" t="inlineStr">
        <is>
          <t>Cao nhat</t>
        </is>
      </c>
      <c r="G4" s="7" t="inlineStr">
        <is>
          <t>App vua cai xong, chua co du lieu gi (chua chon ngon ngu, chua chon store, chua co tai khoan).</t>
        </is>
      </c>
      <c r="H4" s="7" t="inlineStr">
        <is>
          <t>1. Mo app lan dau tien, thay man chon ngon ngu - chon 'Tieng Viet', bam Tiep tuc.
2. App xin 3 quyen (theo doi hoat dong, thong bao, vi tri) - bam Dong y (Allow) ca 3 quyen.
3. Vi da cho phep dinh vi, app tu chon san store gan nhat (LOTTE Mart Nam Sai Gon) - bam Tiep tuc de xac nhan dung store nay.
4. Xem qua 3 man gioi thieu ngan, bam 'Start shopping' o man cuoi cung.
5. Vao den Trang chu - kiem tra thay dung ten store da chon, chua co dia chi giao hang.
6. Bam vao dong 'Choose delivery address', nhap dia chi giao hang (dung dinh vi roi bo sung so nha), luu lai.
7. Kiem tra o dau trang thay dung dia chi vua luu va co goi y thoi gian giao hang.
8. Chon 1 san pham bat ky, bam 'Add to Cart'.
9. Vi chua co tai khoan, app chan lai va hien man hinh yeu cau Dang ky/Dang nhap - chon 'Dang ky khach hang moi'.
10. Nhap so dien thoai, giu kenh nhan ma la Zalo (mac dinh), bam Gui ma.
11. Nhap dung ma OTP nhan duoc.
12. Dat mat khau PIN gom 6 so, nhap lai lan 2 cho khop.
13. Dien day du thong tin ca nhan (ho ten, gioi tinh, ngay sinh, quoc tich, store dang ky), tick dong y Dieu khoan su dung, bam 'Tao tai khoan'.
14. Kiem tra: tai khoan duoc tao xong, app TU DONG dang nhap luon (khong bat dang nhap lai lan nua).
15. Kiem tra: san pham da bam Add to Cart o buoc 8 GIO DA CO SAN trong gio hang (khong can bam Add to Cart lai tu dau).
16. Kiem tra: dia chi da tao luc con la khach vang lai (buoc 6) gio da xuat hien trong tai khoan moi, dang duoc chon lam dia chi giao hang.
17. Mo gio hang, chon hinh thuc giao hang Standard, chon 1 khung gio giao hang bat ky.
18. Bam 'Proceed to Checkout' de qua buoc thanh toan.
19. O man Thanh toan, kiem tra dia chi/store/khung gio/san pham hien dung nhu da chon o Gio hang (khong sua truc tiep duoc).
20. Chon phuong thuc thanh toan (vi du MoMo).
21. Bam 'Dat hang'.
22. Kiem tra: don hang duoc dat thanh cong, co hien ma don hang/man xac nhan.</t>
        </is>
      </c>
      <c r="I4" s="7" t="inlineStr">
        <is>
          <t>So dien thoai moi (chua dang ky): 0912340001. Ma OTP hop le tu moi truong test. PIN: 123456. San pham dat mua: bat ky SKU con hang.</t>
        </is>
      </c>
      <c r="J4" s="7" t="inlineStr">
        <is>
          <t>Toan bo hanh trinh tu luc mo app lan dau den khi dat hang xong phai chay LIEN MACH, khong loi, khong bi mat du lieu o bat ky buoc chuyen tiep nao. Quan trong nhat: (a) san pham da chon truoc khi dang ky phai tu dong nam trong gio hang sau khi dang ky xong, (b) dia chi da tao luc con la khach vang lai phai tu dong chuyen qua tai khoan moi, (c) khong phai dang nhap lai sau khi tao tai khoan.</t>
        </is>
      </c>
      <c r="K4" s="8" t="n"/>
      <c r="L4" s="8" t="inlineStr">
        <is>
          <t>Not Run</t>
        </is>
      </c>
      <c r="M4" s="8" t="n"/>
      <c r="N4" s="8" t="n"/>
      <c r="O4" s="7" t="n"/>
      <c r="P4" s="7" t="inlineStr">
        <is>
          <t>Day la kich ban quan trong nhat trong toan bo bo test - neu kich ban nay fail o bat ky buoc nao, uu tien sua truoc tien.</t>
        </is>
      </c>
    </row>
    <row r="5" ht="190" customHeight="1">
      <c r="A5" s="7" t="inlineStr">
        <is>
          <t>E2E-02</t>
        </is>
      </c>
      <c r="B5" s="7" t="inlineStr">
        <is>
          <t>Khach quen (da co tai khoan) mua hang, chon giao 60 phut, thanh toan MoMo</t>
        </is>
      </c>
      <c r="C5" s="7" t="inlineStr">
        <is>
          <t>Khach da tung dang ky tai khoan tu truoc, lan nay chi can Dang nhap (khong phai Dang ky)</t>
        </is>
      </c>
      <c r="D5" s="7" t="inlineStr">
        <is>
          <t>Homepage -&gt; Login gate -&gt; Dang nhap -&gt; Gio hang (60-Minute) -&gt; Thanh toan</t>
        </is>
      </c>
      <c r="E5" s="7" t="inlineStr">
        <is>
          <t>Luong chinh (bien the: khach cu, giao nhanh)</t>
        </is>
      </c>
      <c r="F5" s="7" t="inlineStr">
        <is>
          <t>Cao</t>
        </is>
      </c>
      <c r="G5" s="7" t="inlineStr">
        <is>
          <t>Tai khoan Member da co san, da tung mua hang truoc do (co du lieu de he thong goi y khung gio quen thuoc). Dia chi da luu nam trong ban kinh 60 phut cua store.</t>
        </is>
      </c>
      <c r="H5" s="7" t="inlineStr">
        <is>
          <t>1. Mo app, vao thang Trang chu (khong phai lan dau nen khong qua man chon ngon ngu/quyen nua).
2. Kiem tra dia chi da luu tu truoc van hien dung, thay co bang thong bao co the giao trong 60 phut.
3. Chon 1 san pham, bam 'Add to Cart'.
4. App chan lai, hien man Dang nhap/Dang ky - lan nay chon 'Dang nhap' (khong Dang ky).
5. Nhap so dien thoai da dang ky.
6. Neu thiet bi co bat Face ID/van tay thi xac thuc bang sinh trac hoc; neu khong thi nhap PIN 6 so.
7. Kiem tra: dang nhap xong, san pham o buoc 3 da tu dong nam trong gio hang.
8. Mo gio hang, chuyen tu Standard sang chon dich vu 'Giao trong 60 phut'.
9. Kiem tra dong phi giao hang 60 phut hien ra (phi rieng, khac Standard).
10. Chon 1 khung gio giao hang con trong.
11. Bam 'Proceed to Checkout'.
12. O man Thanh toan, chon phuong thuc thanh toan la MoMo.
13. Bam 'Dat hang'.
14. Kiem tra don hang dat thanh cong, dung phi giao 60 phut da tinh o buoc 9.</t>
        </is>
      </c>
      <c r="I5" s="7" t="inlineStr">
        <is>
          <t>Tai khoan Member co san: SDT 0911112222, PIN 123456. Dia chi da luu: cach store 4km (trong vung 60-Minute).</t>
        </is>
      </c>
      <c r="J5" s="7" t="inlineStr">
        <is>
          <t>Toan bo luong phai chay xuyen suot, dang nhap (khong phai dang ky) cung phai resume dung san pham da chon truoc do; phi giao 60 phut phai duoc tinh dung va giu nguyen den luc dat hang xong.</t>
        </is>
      </c>
      <c r="K5" s="8" t="n"/>
      <c r="L5" s="8" t="inlineStr">
        <is>
          <t>Not Run</t>
        </is>
      </c>
      <c r="M5" s="8" t="n"/>
      <c r="N5" s="8" t="n"/>
      <c r="O5" s="7" t="n"/>
      <c r="P5" s="7" t="n"/>
    </row>
    <row r="6" ht="190" customHeight="1">
      <c r="A6" s="7" t="inlineStr">
        <is>
          <t>E2E-03</t>
        </is>
      </c>
      <c r="B6" s="7" t="inlineStr">
        <is>
          <t>Dang mua thi doi store giua chung, gio hang bi anh huong nhung van dat hang xong duoc</t>
        </is>
      </c>
      <c r="C6" s="7" t="inlineStr">
        <is>
          <t>Khach da dang nhap, dang o Gio hang thi doi sang 1 store khac lam anh huong san pham/dich vu</t>
        </is>
      </c>
      <c r="D6" s="7" t="inlineStr">
        <is>
          <t>Homepage -&gt; Gio hang -&gt; Doi store trong Cart -&gt; Thanh toan</t>
        </is>
      </c>
      <c r="E6" s="7" t="inlineStr">
        <is>
          <t>Luong bat thuong hay gap (doi y giua chung)</t>
        </is>
      </c>
      <c r="F6" s="7" t="inlineStr">
        <is>
          <t>Cao</t>
        </is>
      </c>
      <c r="G6" s="7" t="inlineStr">
        <is>
          <t>Khach da dang nhap, gio hang co san 3 san pham va da chon dich vu Standard.</t>
        </is>
      </c>
      <c r="H6" s="7" t="inlineStr">
        <is>
          <t>1. Mo gio hang, kiem tra co 3 san pham va dich vu Standard nhu du kien.
2. Bam vao ten store hien tai de mo danh sach doi store.
3. Chon 1 store khac ma biet truoc se lam 1 san pham het hang va lam mat dich vu 60-Minute (neu dang co).
4. Kiem tra: he thong hien 1 hop thong bao GOP duy nhat, liet ke ro nhung gi se bi anh huong (san pham nao het hang/doi gia, dich vu nao bi mat).
5. Bam 'Continue' de dong y doi store.
6. Kiem tra: san pham bi het hang duoc chuyen sang 1 nhom rieng (khong con nam chung voi cac san pham khac), 2 san pham con lai van con nguyen va van chon duoc de mua tiep.
7. Kiem tra dich vu giao hang da duoc goi y lai cho phu hop voi store moi.
8. Bam 'Proceed to Checkout'.
9. O man Thanh toan, kiem tra chi con dung 2 san pham (san pham het hang khong tinh vao don).
10. Chon phuong thuc thanh toan, bam 'Dat hang'.
11. Kiem tra don hang dat thanh cong voi dung 2 san pham va dung store moi.</t>
        </is>
      </c>
      <c r="I6" s="7" t="inlineStr">
        <is>
          <t>Gio hang ban dau: SKU-1, SKU-2, SKU-3. Store moi lam SKU-3 het hang.</t>
        </is>
      </c>
      <c r="J6" s="7" t="inlineStr">
        <is>
          <t>Viec doi store giua chung khong duoc lam sap ung dung hay mat toan bo gio hang - chi nhung gi thuc su bi anh huong moi thay doi, phan con lai van mua duoc binh thuong cho den luc dat hang xong.</t>
        </is>
      </c>
      <c r="K6" s="8" t="n"/>
      <c r="L6" s="8" t="inlineStr">
        <is>
          <t>Not Run</t>
        </is>
      </c>
      <c r="M6" s="8" t="n"/>
      <c r="N6" s="8" t="n"/>
      <c r="O6" s="7" t="inlineStr">
        <is>
          <t>QnA-25</t>
        </is>
      </c>
      <c r="P6" s="7" t="inlineStr">
        <is>
          <t>Bo cuc chi tiet cua hop thong bao gop van dang cho UX xac nhan (QnA-25) - test nay tap trung vao KET QUA CUOI CUNG (dat hang duoc, dung san pham), khong xet giao dien chi tiet cua hop thong bao.</t>
        </is>
      </c>
    </row>
    <row r="7" ht="190" customHeight="1">
      <c r="A7" s="7" t="inlineStr">
        <is>
          <t>E2E-04</t>
        </is>
      </c>
      <c r="B7" s="7" t="inlineStr">
        <is>
          <t>Mua don hang nang (cong kenh) phai giao ngay xa hon (T+4) va co phu phi</t>
        </is>
      </c>
      <c r="C7" s="7" t="inlineStr">
        <is>
          <t>Khach da dang nhap, gio hang co 1 san pham nang duoc gan nhan 'cong kenh'</t>
        </is>
      </c>
      <c r="D7" s="7" t="inlineStr">
        <is>
          <t>Homepage -&gt; Gio hang -&gt; Chon ngay giao (Next-day/bulky) -&gt; Thanh toan</t>
        </is>
      </c>
      <c r="E7" s="7" t="inlineStr">
        <is>
          <t>Luong bat thuong hay gap (don hang dac biet)</t>
        </is>
      </c>
      <c r="F7" s="7" t="inlineStr">
        <is>
          <t>Cao</t>
        </is>
      </c>
      <c r="G7" s="7" t="inlineStr">
        <is>
          <t>Dia chi giao hang nam trong khu vuc giao Next-day (o xa, khong con Standard/60-Minute). Gio hang co 1 san pham nang duoc danh dau la 'hang cong kenh'.</t>
        </is>
      </c>
      <c r="H7" s="7" t="inlineStr">
        <is>
          <t>1. Mo gio hang, kiem tra dia chi dang dung chi con hien dich vu Next-day (khong con Standard/60-Minute).
2. Mo buoc chon ngay giao hang.
3. Kiem tra: vi co san pham cong kenh trong gio, cac ngay gan (som hon 4 ngay toi) deu bi mo/khong chon duoc - ngay som nhat co the chon la 4 ngay sau.
4. Kiem tra man hinh co ghi ro san pham nao la ly do khien don hang bi coi la cong kenh.
5. Chon 1 ngay giao hop le (tu ngay thu 4 tro di).
6. Kiem tra trong phan tinh tien co xuat hien 1 dong phu phi rieng cho 'hang cong kenh' (cong them vao phi giao hang binh thuong).
7. Bam 'Proceed to Checkout'.
8. O man Thanh toan, kiem tra lai dong phu phi hang cong kenh van con day du, dung nhu da thay o Gio hang.
9. Chon phuong thuc thanh toan, bam 'Dat hang'.
10. Kiem tra don hang dat thanh cong, tong tien co tinh dung phu phi hang cong kenh.</t>
        </is>
      </c>
      <c r="I7" s="7" t="inlineStr">
        <is>
          <t>San pham cong kenh: 1 SKU nang hon 15kg (hoac duoc gan nhan 'bulky'). Dia chi: thuoc khu vuc giao Next-day.</t>
        </is>
      </c>
      <c r="J7" s="7" t="inlineStr">
        <is>
          <t>Don hang cong kenh phai bi day ngay giao xa hon (tu 2 ngay len 4 ngay) va phai co phu phi rieng, khong duoc mien phi du gio hang co du dieu kien mien phi giao hang thong thuong. Thong tin nay phai duoc giu nguyen tu Gio hang sang den luc Dat hang xong.</t>
        </is>
      </c>
      <c r="K7" s="8" t="n"/>
      <c r="L7" s="8" t="inlineStr">
        <is>
          <t>Not Run</t>
        </is>
      </c>
      <c r="M7" s="8" t="n"/>
      <c r="N7" s="8" t="n"/>
      <c r="O7" s="7" t="n"/>
      <c r="P7" s="7" t="n"/>
    </row>
    <row r="8" ht="190" customHeight="1">
      <c r="A8" s="7" t="inlineStr">
        <is>
          <t>E2E-05</t>
        </is>
      </c>
      <c r="B8" s="7" t="inlineStr">
        <is>
          <t>Dung cung luc: ma giam gia + the qua tang + diem thuong + mua truoc tra sau, kiem tra tong tien cuoi cung tinh dung</t>
        </is>
      </c>
      <c r="C8" s="7" t="inlineStr">
        <is>
          <t>Khach da dang nhap, muon dung het cac loai uu dai cung 1 luc de xem tong tien co tinh dung khong</t>
        </is>
      </c>
      <c r="D8" s="7" t="inlineStr">
        <is>
          <t>Gio hang -&gt; Thanh toan (dung nhieu loai giam gia cung luc)</t>
        </is>
      </c>
      <c r="E8" s="7" t="inlineStr">
        <is>
          <t>Luong dung nhieu tinh nang cung luc (de bat loi tinh tien)</t>
        </is>
      </c>
      <c r="F8" s="7" t="inlineStr">
        <is>
          <t>Cao</t>
        </is>
      </c>
      <c r="G8" s="7" t="inlineStr">
        <is>
          <t>Gio hang co san pham tong 500.000d. Tai khoan co san: 1 ma giam gia van chuyen, 1 ma giam gia san pham, con du diem thuong, va co the chon Mua truoc tra sau (BNPL).</t>
        </is>
      </c>
      <c r="H8" s="7" t="inlineStr">
        <is>
          <t>1. Mo gio hang, kiem tra ca 2 ma giam gia (van chuyen + san pham) da duoc TU DONG ap dung san.
2. Bam 'Proceed to Checkout'.
3. O man Thanh toan, kiem tra lai ca 2 ma giam gia van con nguyen, hien thanh 2 dong rieng biet (khong bi gop chung).
4. Nhap them 1 ma the qua tang (GotIt) hop le, bam ap dung.
5. Kiem tra tien duoc tru dung so tien cua the qua tang.
6. Bam 'Dung toan bo diem' de dung het diem thuong dang co.
7. Kiem tra tien tiep tuc duoc tru dung theo so diem da dung.
8. Chon phuong thuc thanh toan la 'Mua truoc tra sau' (BNPL).
9. Cuon xem bang tong ket cuoi cung - cong lai TAT CA cac dong (gia goc, phi giao hang, giam gia van chuyen, giam gia san pham, the qua tang, diem da dung) bang tay de kiem tra so tien cuoi cung co dung khong.
10. Bam 'Dat hang'.
11. Kiem tra don hang dat thanh cong voi dung so tien da tinh o buoc 9 (khong bi lech dong nao).</t>
        </is>
      </c>
      <c r="I8" s="7" t="inlineStr">
        <is>
          <t>Gio hang: 500.000d. Ma giam gia van chuyen: -15.000d. Ma giam gia san pham: -20.000d. The qua tang: -50.000d. Diem thuong dung het: -10.000d (vi du).</t>
        </is>
      </c>
      <c r="J8" s="7" t="inlineStr">
        <is>
          <t>Khi dung nhieu loai giam gia cung luc, MOI loai phai duoc tru dung, khong bi tinh trung 2 lan hay bi mat 1 loai nao do; so tien cuoi cung tren man xac nhan dat hang phai khop chinh xac voi phep tinh tay.</t>
        </is>
      </c>
      <c r="K8" s="8" t="n"/>
      <c r="L8" s="8" t="inlineStr">
        <is>
          <t>Not Run</t>
        </is>
      </c>
      <c r="M8" s="8" t="n"/>
      <c r="N8" s="8" t="n"/>
      <c r="O8" s="7" t="inlineStr">
        <is>
          <t>QnA-17</t>
        </is>
      </c>
      <c r="P8" s="7" t="inlineStr">
        <is>
          <t>Danh muc day du cac loai khuyen mai van dang cho BA xac nhan (QnA-17) - test nay chi kiem tra CACH TINH TOAN cong/tru co dung logic khong, khong xet het moi loai khuyen mai co the co trong tuong lai.</t>
        </is>
      </c>
    </row>
    <row r="9" ht="190" customHeight="1">
      <c r="A9" s="7" t="inlineStr">
        <is>
          <t>E2E-06</t>
        </is>
      </c>
      <c r="B9" s="7" t="inlineStr">
        <is>
          <t>Khach dang xem hang, bi chan dang nhap thi bam Huy, xem tiep, roi quay lai dang nhap va mua binh thuong</t>
        </is>
      </c>
      <c r="C9" s="7" t="inlineStr">
        <is>
          <t>Khach vang lai (Guest), lan dau bam Huy khong dang nhap, lan sau moi dang nhap that su</t>
        </is>
      </c>
      <c r="D9" s="7" t="inlineStr">
        <is>
          <t>Homepage -&gt; Login gate (Huy) -&gt; Xem tiep -&gt; Login gate (dang nhap that) -&gt; Gio hang -&gt; Thanh toan</t>
        </is>
      </c>
      <c r="E9" s="7" t="inlineStr">
        <is>
          <t>Luong bat thuong hay gap (doi y, huy roi quay lai)</t>
        </is>
      </c>
      <c r="F9" s="7" t="inlineStr">
        <is>
          <t>Trung binh</t>
        </is>
      </c>
      <c r="G9" s="7" t="inlineStr">
        <is>
          <t>Khach vang lai, chua dang nhap, dang xem san pham tren Trang chu.</t>
        </is>
      </c>
      <c r="H9" s="7" t="inlineStr">
        <is>
          <t>1. Chon san pham A, bam 'Add to Cart'.
2. Man hinh yeu cau dang nhap hien ra - lan nay bam 'Huy' (khong dang nhap).
3. Kiem tra: quay lai dung trang dang xem, san pham A KHONG nam trong gio hang.
4. Tiep tuc xem vai san pham khac binh thuong (khong bi anh huong gi).
5. Quay lai chon san pham A nhu cu, bam 'Add to Cart' lan nua.
6. Lan nay man hinh dang nhap hien ra, chon 'Dang nhap', nhap SDT + PIN dung.
7. Kiem tra: dang nhap thanh cong, san pham A GIO DA CO trong gio hang (vi lan nay khong huy nua).
8. Mo gio hang, chon dich vu giao hang va khung gio.
9. Bam 'Proceed to Checkout', chon phuong thuc thanh toan, bam 'Dat hang'.
10. Kiem tra don hang dat thanh cong.</t>
        </is>
      </c>
      <c r="I9" s="7" t="inlineStr">
        <is>
          <t>San pham A: bat ky SKU con hang. Tai khoan Member da co san.</t>
        </is>
      </c>
      <c r="J9" s="7" t="inlineStr">
        <is>
          <t>Bam Huy o lan dau khong duoc lam mat du lieu dang xem hay gay loi gi; sau khi quay lai dang nhap that su, moi thu phai chay tiep binh thuong nhu chua he co lan Huy truoc do.</t>
        </is>
      </c>
      <c r="K9" s="8" t="n"/>
      <c r="L9" s="8" t="inlineStr">
        <is>
          <t>Not Run</t>
        </is>
      </c>
      <c r="M9" s="8" t="n"/>
      <c r="N9" s="8" t="n"/>
      <c r="O9" s="7" t="n"/>
      <c r="P9" s="7" t="n"/>
    </row>
    <row r="10" ht="190" customHeight="1">
      <c r="A10" s="7" t="inlineStr">
        <is>
          <t>E2E-07</t>
        </is>
      </c>
      <c r="B10" s="7" t="inlineStr">
        <is>
          <t>Quen mat khau PIN ngay giua luc dang mua hang, phai doi PIN moi roi mua tiep</t>
        </is>
      </c>
      <c r="C10" s="7" t="inlineStr">
        <is>
          <t>Khach da co tai khoan nhung quen PIN ngay luc dang dang nhap de mua hang</t>
        </is>
      </c>
      <c r="D10" s="7" t="inlineStr">
        <is>
          <t>Login gate -&gt; Quen PIN -&gt; Dat PIN moi -&gt; Gio hang -&gt; Thanh toan</t>
        </is>
      </c>
      <c r="E10" s="7" t="inlineStr">
        <is>
          <t>Luong bat thuong hay gap (quen mat khau)</t>
        </is>
      </c>
      <c r="F10" s="7" t="inlineStr">
        <is>
          <t>Trung binh</t>
        </is>
      </c>
      <c r="G10" s="7" t="inlineStr">
        <is>
          <t>Khach da co tai khoan, dang o buoc dang nhap (bi chan boi login gate khi bam Add to Cart), nhung KHONG NHO PIN.</t>
        </is>
      </c>
      <c r="H10" s="7" t="inlineStr">
        <is>
          <t>1. Bam 'Add to Cart' tren 1 san pham, bi chan boi man dang nhap.
2. Chon 'Dang nhap', nhap SDT, roi nhap SAI PIN (vi quen mat khau).
3. Bam 'Quen PIN'.
4. He thong gui ma OTP de xac nhan - nhap dung ma OTP.
5. Dat PIN moi (nhap 2 lan cho khop), bam Luu.
6. Kiem tra: sau khi doi PIN xong, TU DONG duoc dang nhap luon (khong phai nhap PIN moi lai lan nua).
7. Kiem tra: san pham da bam Add to Cart o buoc 1 GIO DA CO trong gio hang (khong bi mat vi qua trinh quen PIN).
8. Mo gio hang, chon dich vu va khung gio giao hang.
9. Bam 'Proceed to Checkout', chon phuong thuc thanh toan, bam 'Dat hang'.
10. Kiem tra don hang dat thanh cong.</t>
        </is>
      </c>
      <c r="I10" s="7" t="inlineStr">
        <is>
          <t>Tai khoan test: SDT 0911119999, PIN cu (da quen): 555555, PIN moi dat lai: 777777.</t>
        </is>
      </c>
      <c r="J10" s="7" t="inlineStr">
        <is>
          <t>Viec quen PIN va phai doi PIN moi KHONG duoc lam gian doan y dinh mua hang ban dau - sau khi doi PIN xong phai tu dong quay lai dung cho dang do (san pham da chon van con trong gio) roi moi hoan tat don hang.</t>
        </is>
      </c>
      <c r="K10" s="8" t="n"/>
      <c r="L10" s="8" t="inlineStr">
        <is>
          <t>Not Run</t>
        </is>
      </c>
      <c r="M10" s="8" t="n"/>
      <c r="N10" s="8" t="n"/>
      <c r="O10" s="7" t="n"/>
      <c r="P10" s="7" t="n"/>
    </row>
    <row r="11" ht="190" customHeight="1">
      <c r="A11" s="7" t="inlineStr">
        <is>
          <t>E2E-08</t>
        </is>
      </c>
      <c r="B11" s="7" t="inlineStr">
        <is>
          <t>Chon qua nhieu san pham (hon 30 mon), phai bo bot moi thanh toan duoc</t>
        </is>
      </c>
      <c r="C11" s="7" t="inlineStr">
        <is>
          <t>Khach da dang nhap, mua sam nhieu, chon vuot qua 30 san pham trong 1 don</t>
        </is>
      </c>
      <c r="D11" s="7" t="inlineStr">
        <is>
          <t>Gio hang (vuot gioi han 30 san pham) -&gt; Bo bot -&gt; Thanh toan</t>
        </is>
      </c>
      <c r="E11" s="7" t="inlineStr">
        <is>
          <t>Luong bat thuong hay gap (gio hang qua nhieu mon)</t>
        </is>
      </c>
      <c r="F11" s="7" t="inlineStr">
        <is>
          <t>Trung binh</t>
        </is>
      </c>
      <c r="G11" s="7" t="inlineStr">
        <is>
          <t>Gio hang co san 35 san pham co the chon mua.</t>
        </is>
      </c>
      <c r="H11" s="7" t="inlineStr">
        <is>
          <t>1. Mo gio hang, bam 'Chon tat ca' (chon het 35 san pham).
2. Kiem tra: hien thong bao loi noi ro chi duoc toi da 30 san pham cho 1 don, va nut 'Thanh toan' khong bam duoc.
3. Bo chon bot cac san pham cho den khi con dung 30 san pham.
4. Kiem tra: thong bao loi bien mat, nut 'Thanh toan' bam duoc binh thuong.
5. Bam 'Proceed to Checkout'.
6. O man Thanh toan, dem lai kiem tra dung 30 san pham (khong thieu, khong du).
7. Chon phuong thuc thanh toan, bam 'Dat hang'.
8. Kiem tra don hang dat thanh cong voi dung 30 san pham.</t>
        </is>
      </c>
      <c r="I11" s="7" t="inlineStr">
        <is>
          <t>35 san pham mau co san trong gio hang.</t>
        </is>
      </c>
      <c r="J11" s="7" t="inlineStr">
        <is>
          <t>Khach phai duoc huong dan ro rang de tu bo bot xuong dung gioi han cho phep, va sau khi da dung gioi han thi moi thu phai hoat dong binh thuong, dat hang thanh cong voi dung so luong da chon.</t>
        </is>
      </c>
      <c r="K11" s="8" t="n"/>
      <c r="L11" s="8" t="inlineStr">
        <is>
          <t>Not Run</t>
        </is>
      </c>
      <c r="M11" s="8" t="n"/>
      <c r="N11" s="8" t="n"/>
      <c r="O11" s="7" t="n"/>
      <c r="P11" s="7" t="n"/>
    </row>
    <row r="12" ht="190" customHeight="1">
      <c r="A12" s="7" t="inlineStr">
        <is>
          <t>E2E-09</t>
        </is>
      </c>
      <c r="B12" s="7" t="inlineStr">
        <is>
          <t>Dia chi khong giao duoc, doi sang dia chi khac hoac chuyen sang Tu den lay</t>
        </is>
      </c>
      <c r="C12" s="7" t="inlineStr">
        <is>
          <t>Khach da dang nhap, dia chi dang chon nam ngoai vung giao hang cua moi store</t>
        </is>
      </c>
      <c r="D12" s="7" t="inlineStr">
        <is>
          <t>Homepage (dia chi ngoai vung) -&gt; Doi dia chi hoac chon Tu den lay -&gt; Thanh toan</t>
        </is>
      </c>
      <c r="E12" s="7" t="inlineStr">
        <is>
          <t>Luong bat thuong hay gap (dia chi khong giao duoc)</t>
        </is>
      </c>
      <c r="F12" s="7" t="inlineStr">
        <is>
          <t>Trung binh</t>
        </is>
      </c>
      <c r="G12" s="7" t="inlineStr">
        <is>
          <t>Khach da dang nhap, da chon 1 dia chi nam ngoai vung phuc vu cua moi store (khong co Standard, khong co Next-day).</t>
        </is>
      </c>
      <c r="H12" s="7" t="inlineStr">
        <is>
          <t>1. Mo Trang chu, kiem tra thay dong thong bao 'khong duoc phuc vu' thay vi gio giao hang, kem nut doi dia chi.
2. Thu bam vao danh muc san pham - xac nhan van xem duoc binh thuong (chi rieng giao hang bi anh huong).
3. Bam nut doi dia chi, chon 1 dia chi khac da luu ma co the giao duoc.
4. Kiem tra: gio giao hang xuat hien lai binh thuong cho dia chi moi.
5. Chon san pham, them vao gio hang.
6. Mo gio hang, xac nhan dia chi moi va dich vu giao hang dung nhu vua chon.
7. (Kiem tra them mot cach khac) Quay lai dia chi cu (khong giao duoc), lan nay o Gio hang chuyen sang tab 'Tu den lay' thay vi giao hang.
8. Chon store va khung gio den lay.
9. Bam 'Proceed to Checkout', chon phuong thuc thanh toan, bam 'Dat hang'.
10. Kiem tra don hang dat thanh cong (theo huong da chon o buoc 6 hoac buoc 8).</t>
        </is>
      </c>
      <c r="I12" s="7" t="inlineStr">
        <is>
          <t>Dia chi khong giao duoc: 1 dia chi ngoai moi vung cau hinh. Dia chi thay the: 1 dia chi hop le trong vung Standard.</t>
        </is>
      </c>
      <c r="J12" s="7" t="inlineStr">
        <is>
          <t>Dia chi khong giao duoc khong duoc chan toan bo trai nghiem mua hang - khach van xem duoc san pham va van co it nhat 2 cach de tiep tuc mua: doi sang dia chi khac, hoac chuyen sang tu den lay tai store.</t>
        </is>
      </c>
      <c r="K12" s="8" t="n"/>
      <c r="L12" s="8" t="inlineStr">
        <is>
          <t>Not Run</t>
        </is>
      </c>
      <c r="M12" s="8" t="n"/>
      <c r="N12" s="8" t="n"/>
      <c r="O12" s="7" t="n"/>
      <c r="P12" s="7" t="n"/>
    </row>
    <row r="13" ht="190" customHeight="1">
      <c r="A13" s="7" t="inlineStr">
        <is>
          <t>E2E-10</t>
        </is>
      </c>
      <c r="B13" s="7" t="inlineStr">
        <is>
          <t>Dang thanh toan thi bi dang xuat bat ngo (phien het han), phai dang nhap lai va tiep tuc dat hang</t>
        </is>
      </c>
      <c r="C13" s="7" t="inlineStr">
        <is>
          <t>Khach da dang nhap, dang o buoc Thanh toan thi phien dang nhap bi het han giua chung</t>
        </is>
      </c>
      <c r="D13" s="7" t="inlineStr">
        <is>
          <t>Gio hang -&gt; Thanh toan -&gt; (phien het han) -&gt; Dang nhap lai -&gt; Hoan tat Thanh toan</t>
        </is>
      </c>
      <c r="E13" s="7" t="inlineStr">
        <is>
          <t>Luong loi he thong hay gap (mat phien dang nhap)</t>
        </is>
      </c>
      <c r="F13" s="7" t="inlineStr">
        <is>
          <t>Cao</t>
        </is>
      </c>
      <c r="G13" s="7" t="inlineStr">
        <is>
          <t>Khach da dang nhap, da chuan bi xong don hang (dia chi, san pham, dich vu, khuyen mai) va dang o man Thanh toan. Gia lap phien dang nhap het han ngay luc nay (vi du: cho lau khong thao tac, hoac gia lap tu moi truong test).</t>
        </is>
      </c>
      <c r="H13" s="7" t="inlineStr">
        <is>
          <t>1. Chuan bi day du 1 don hang o man Thanh toan (chua bam Dat hang).
2. Gia lap phien dang nhap het han (vi du: doi/xoa token dang nhap trong moi truong test).
3. Bam 'Dat hang'.
4. Kiem tra: he thong KHONG bi dung/treo, ma yeu cau dang nhap lai (giong nhu 1 khach vang lai).
5. Dang nhap lai bang dung tai khoan cu (SDT + PIN hoac sinh trac hoc).
6. Kiem tra sau khi dang nhap lai: gio hang va cac lua chon (dia chi, san pham, khuyen mai) VAN CON NGUYEN, khong phai lam lai tu dau.
7. Bam 'Dat hang' lai lan nua.
8. Kiem tra don hang dat thanh cong, va CHI CO 1 don duoc tao (khong bi tao 2 don trung nhau do bam Dat hang 2 lan).</t>
        </is>
      </c>
      <c r="I13" s="7" t="inlineStr">
        <is>
          <t>Tai khoan test da chuan bi don hang day du truoc khi gia lap het phien.</t>
        </is>
      </c>
      <c r="J13" s="7" t="inlineStr">
        <is>
          <t>Mat phien dang nhap giua chung khong duoc lam mat gio hang hay cac lua chon da chuan bi; khach chi can dang nhap lai la tiep tuc duoc ngay, va tuyet doi khong duoc tao ra 2 don hang trung nhau.</t>
        </is>
      </c>
      <c r="K13" s="8" t="n"/>
      <c r="L13" s="8" t="inlineStr">
        <is>
          <t>Not Run</t>
        </is>
      </c>
      <c r="M13" s="8" t="n"/>
      <c r="N13" s="8" t="n"/>
      <c r="O13" s="7" t="inlineStr">
        <is>
          <t>QnA-04</t>
        </is>
      </c>
      <c r="P13" s="7" t="inlineStr">
        <is>
          <t>Gia dinh 've phien het han thi coi nhu Guest' dang cho Security/Dev xac nhan chinh thuc (QnA-04) - test nay xac minh hanh vi HIEN TAI co dung nhu de xuat khong.</t>
        </is>
      </c>
    </row>
    <row r="14" ht="190" customHeight="1">
      <c r="A14" s="7" t="inlineStr">
        <is>
          <t>E2E-11</t>
        </is>
      </c>
      <c r="B14" s="7" t="inlineStr">
        <is>
          <t>Mua theo kieu Tu den lay tai store, tra tien mat (danh cho khach hang than thiet)</t>
        </is>
      </c>
      <c r="C14" s="7" t="inlineStr">
        <is>
          <t>Khach da dang nhap, thuoc hang thanh vien cao (Platinum), chon lay hang tai store va tra tien mat</t>
        </is>
      </c>
      <c r="D14" s="7" t="inlineStr">
        <is>
          <t>Gio hang (Tu den lay) -&gt; Thanh toan -&gt; Tra tien mat tai store</t>
        </is>
      </c>
      <c r="E14" s="7" t="inlineStr">
        <is>
          <t>Luong bien the (Pickup + tien mat)</t>
        </is>
      </c>
      <c r="F14" s="7" t="inlineStr">
        <is>
          <t>Trung binh</t>
        </is>
      </c>
      <c r="G14" s="7" t="inlineStr">
        <is>
          <t>Tai khoan Member thuoc hang Platinum. Gio hang co san pham co the den lay tai store.</t>
        </is>
      </c>
      <c r="H14" s="7" t="inlineStr">
        <is>
          <t>1. Mo gio hang, chuyen sang tab 'Tu den lay'.
2. Nhap ten va so dien thoai nguoi se den lay hang (co the khac voi tai khoan dang dang nhap).
3. Chon store se den lay va chon khung gio den lay.
4. Bam 'Proceed to Checkout'.
5. O man Thanh toan, kiem tra khong co dong phi giao hang nao (vi la tu den lay, khong ai giao tan noi).
6. Kiem tra trong danh sach phuong thuc thanh toan CO xuat hien tuy chon 'Tra tien mat tai cua hang' (vi tai khoan la Platinum).
7. Chon 'Tra tien mat tai cua hang'.
8. Bam 'Dat hang'.
9. Kiem tra don hang dat thanh cong, ghi ro hinh thuc thanh toan la tien mat va thong tin nguoi den lay hang dung nhu da nhap o buoc 2.</t>
        </is>
      </c>
      <c r="I14" s="7" t="inlineStr">
        <is>
          <t>Tai khoan Platinum co san. Nguoi den lay: Nguyen Van C / 0933334444 (khac chu tai khoan).</t>
        </is>
      </c>
      <c r="J14" s="7" t="inlineStr">
        <is>
          <t>Toan bo luong tu den lay + tra tien mat phai chay dung, khong bi tinh nham phi giao hang, va thong tin nguoi den lay phai duoc giu dung nhu da nhap (khong bi thay bang thong tin tai khoan).</t>
        </is>
      </c>
      <c r="K14" s="8" t="n"/>
      <c r="L14" s="8" t="inlineStr">
        <is>
          <t>Not Run</t>
        </is>
      </c>
      <c r="M14" s="8" t="n"/>
      <c r="N14" s="8" t="n"/>
      <c r="O14" s="7" t="n"/>
      <c r="P14" s="7" t="n"/>
    </row>
    <row r="15" ht="190" customHeight="1">
      <c r="A15" s="7" t="inlineStr">
        <is>
          <t>E2E-12</t>
        </is>
      </c>
      <c r="B15" s="7" t="inlineStr">
        <is>
          <t>San pham vua het hang dung luc bam Dat hang, phai duoc bao va cho sua lai don truoc khi dat lai</t>
        </is>
      </c>
      <c r="C15" s="7" t="inlineStr">
        <is>
          <t>Khach da chuan bi xong don hang, nhung dung luc bam Dat hang thi 1 san pham vua bi nguoi khac mua het</t>
        </is>
      </c>
      <c r="D15" s="7" t="inlineStr">
        <is>
          <t>Gio hang -&gt; Thanh toan -&gt; Dat hang (bi tu choi) -&gt; Sua lai -&gt; Dat hang lai</t>
        </is>
      </c>
      <c r="E15" s="7" t="inlineStr">
        <is>
          <t>Luong loi thuong gap luc dong khach mua cung luc</t>
        </is>
      </c>
      <c r="F15" s="7" t="inlineStr">
        <is>
          <t>Cao</t>
        </is>
      </c>
      <c r="G15" s="7" t="inlineStr">
        <is>
          <t>Don hang co 3 san pham, trong do 1 san pham (SKU-Z) chi con dung 1 mon trong kho. Gia lap co 1 nguoi khac mua het SKU-Z ngay truoc khi khach nay bam Dat hang.</t>
        </is>
      </c>
      <c r="H15" s="7" t="inlineStr">
        <is>
          <t>1. Chuan bi xong don hang voi 3 san pham (bao gom SKU-Z) o man Thanh toan.
2. Gia lap: 1 nguoi khac vua mua het SKU-Z (kho ve 0) ngay TRUOC khi khach bam Dat hang.
3. Khach bam 'Dat hang'.
4. Kiem tra: he thong TU CHOI dat don, bao ro ly do (SKU-Z da het hang), va dua khach ve lai Gio hang.
5. Kiem tra o Gio hang: SKU-Z da duoc chuyen sang trang thai het hang / nhom rieng, 2 san pham con lai van con nguyen.
6. Xoa SKU-Z khoi gio hang (hoac doi sang san pham thay the neu he thong co goi y).
7. Bam 'Proceed to Checkout' lai.
8. Kiem tra cac lua chon truoc do (dia chi, dich vu, khuyen mai) VAN CON NGUYEN, khong phai chon lai tu dau.
9. Bam 'Dat hang' lai lan nua.
10. Kiem tra lan nay dat hang thanh cong voi dung 2 san pham con lai.</t>
        </is>
      </c>
      <c r="I15" s="7" t="inlineStr">
        <is>
          <t>Don hang: SKU-X, SKU-Y (con hang), SKU-Z (het hang dung luc dat hang).</t>
        </is>
      </c>
      <c r="J15" s="7" t="inlineStr">
        <is>
          <t>Khi co san pham het hang dung luc dat hang, khach phai duoc bao ro rang va dua ve sua lai don (khong duoc bao loi chung chung hay lam mat toan bo thong tin da chuan bi); sau khi sua xong phai dat hang lai duoc ngay ma khong phai lam lai tu dau.</t>
        </is>
      </c>
      <c r="K15" s="8" t="n"/>
      <c r="L15" s="8" t="inlineStr">
        <is>
          <t>Not Run</t>
        </is>
      </c>
      <c r="M15" s="8" t="n"/>
      <c r="N15" s="8" t="n"/>
      <c r="O15" s="7" t="n"/>
      <c r="P15" s="7" t="n"/>
    </row>
  </sheetData>
  <mergeCells count="2">
    <mergeCell ref="A1:P1"/>
    <mergeCell ref="A2:P2"/>
  </mergeCells>
  <dataValidations count="1">
    <dataValidation sqref="L4:L15" showDropDown="0" showInputMessage="0" showErrorMessage="0" allowBlank="1" type="list">
      <formula1>"Pass,Fail,Blocked,N/A,Not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26" customWidth="1" min="1" max="1"/>
    <col width="34" customWidth="1" min="2" max="2"/>
    <col width="60" customWidth="1" min="3" max="3"/>
    <col width="50" customWidth="1" min="4" max="4"/>
    <col width="14" customWidth="1" min="5" max="5"/>
  </cols>
  <sheetData>
    <row r="1">
      <c r="A1" s="1" t="inlineStr">
        <is>
          <t>Review - Danh sach van de can luu y (Gaps &amp; Issues)</t>
        </is>
      </c>
    </row>
    <row r="2">
      <c r="A2" s="11" t="inlineStr">
        <is>
          <t>Cac diem duoc phat hien khi review lai bo test case so voi SRS - khong phai loi ai ca, ma la nhung cho can lam ro/bo sung them.</t>
        </is>
      </c>
    </row>
    <row r="3">
      <c r="A3" s="6" t="inlineStr">
        <is>
          <t>Loai (Type)</t>
        </is>
      </c>
      <c r="B3" s="6" t="inlineStr">
        <is>
          <t>Khu vuc / Yeu cau lien quan</t>
        </is>
      </c>
      <c r="C3" s="6" t="inlineStr">
        <is>
          <t>Phat hien (chi tiet)</t>
        </is>
      </c>
      <c r="D3" s="6" t="inlineStr">
        <is>
          <t>De xuat xu ly (Suggested Action)</t>
        </is>
      </c>
      <c r="E3" s="6" t="inlineStr">
        <is>
          <t>Muc do (Severity)</t>
        </is>
      </c>
    </row>
    <row r="4" ht="70" customHeight="1">
      <c r="A4" s="7" t="inlineStr">
        <is>
          <t>Thieu Test Case (Incomplete Coverage)</t>
        </is>
      </c>
      <c r="B4" s="7" t="inlineStr">
        <is>
          <t>Toan bo luong Checkout (tu mo app den dat hang)</t>
        </is>
      </c>
      <c r="C4" s="7" t="inlineStr">
        <is>
          <t>Truoc khi review, toan bo 74 test case chuc nang chi test TUNG MAN HINH rieng le (vi du: chi test man Dang ky, chi test man Gio hang...). KHONG co test case nao di XUYEN SUOT tu luc mo app den luc dat hang thanh cong - nen cac loi xay ra khi CHUYEN TIEP giua cac buoc (vi du: san pham dinh mua bi mat khi dang dang ky giua chung) se khong bi phat hien.</t>
        </is>
      </c>
      <c r="D4" s="7" t="inlineStr">
        <is>
          <t>Da bo sung 12 test case xuyen suot (end-to-end) moi trong sheet 'E2E Checkout Test Cases' - xem chi tiet trong sheet do.</t>
        </is>
      </c>
      <c r="E4" s="12" t="inlineStr">
        <is>
          <t>Cao</t>
        </is>
      </c>
    </row>
    <row r="5" ht="70" customHeight="1">
      <c r="A5" s="7" t="inlineStr">
        <is>
          <t>Thieu kich ban (Missing Edge Case)</t>
        </is>
      </c>
      <c r="B5" s="7" t="inlineStr">
        <is>
          <t>Nhap so dien thoai (man Dang ky va Dang nhap)</t>
        </is>
      </c>
      <c r="C5" s="7" t="inlineStr">
        <is>
          <t>Chua co test nao kiem tra khi khach GO SAI DINH DANG so dien thoai (vi du go qua it so, go co chu xen vao, thieu so dau). Hien tai chi test truong hop so DA DUOC DANG KY hoac CHUA DUOC DANG KY, chua test truong hop go SAI KIEU SO ngay tu dau.</t>
        </is>
      </c>
      <c r="D5" s="7" t="inlineStr">
        <is>
          <t>Bo sung 2 test negative don gian: 1 cai o man Dang ky, 1 cai o man Dang nhap, go so dien thoai sai dinh dang va kiem tra thong bao loi.</t>
        </is>
      </c>
      <c r="E5" s="7" t="inlineStr">
        <is>
          <t>Trung binh</t>
        </is>
      </c>
    </row>
    <row r="6" ht="70" customHeight="1">
      <c r="A6" s="7" t="inlineStr">
        <is>
          <t>Thieu kich ban (Missing Edge Case)</t>
        </is>
      </c>
      <c r="B6" s="7" t="inlineStr">
        <is>
          <t>Nhap ma OTP (man Dang ky va Dang nhap)</t>
        </is>
      </c>
      <c r="C6" s="7" t="inlineStr">
        <is>
          <t>Chi co test cho truong hop go DUNG OTP va test go SAI qua nhieu lan (bi khoa). Con thieu test co ban nhat: go SAI OTP dung 1 lan (chua bi khoa) - xem thong bao loi co de hieu khong, co cho go lai ngay khong.</t>
        </is>
      </c>
      <c r="D6" s="7" t="inlineStr">
        <is>
          <t>Bo sung test 'go sai OTP 1 lan' cho ca man Dang ky va Dang nhap.</t>
        </is>
      </c>
      <c r="E6" s="7" t="inlineStr">
        <is>
          <t>Trung binh</t>
        </is>
      </c>
    </row>
    <row r="7" ht="70" customHeight="1">
      <c r="A7" s="7" t="inlineStr">
        <is>
          <t>Thieu kich ban (Missing Edge Case)</t>
        </is>
      </c>
      <c r="B7" s="7" t="inlineStr">
        <is>
          <t>Gio hang toi da 30 san pham (CT-05, BRL-31)</t>
        </is>
      </c>
      <c r="C7" s="7" t="inlineStr">
        <is>
          <t>Test hien tai chi test luc DU RA (35 san pham) va luc DA GIAM XUONG duoi 30, chua test dung LUC CHAM MOC 30 san pham (khong hon khong kem) xem nut Thanh toan co bam duoc binh thuong khong.</t>
        </is>
      </c>
      <c r="D7" s="7" t="inlineStr">
        <is>
          <t>Bo sung 1 buoc kiem tra dung luc gio hang co dung 30 san pham.</t>
        </is>
      </c>
      <c r="E7" s="7" t="inlineStr">
        <is>
          <t>Thap</t>
        </is>
      </c>
    </row>
    <row r="8" ht="70" customHeight="1">
      <c r="A8" s="7" t="inlineStr">
        <is>
          <t>Thieu kich ban (Missing Edge Case)</t>
        </is>
      </c>
      <c r="B8" s="7" t="inlineStr">
        <is>
          <t>Man Thanh toan noi chung</t>
        </is>
      </c>
      <c r="C8" s="7" t="inlineStr">
        <is>
          <t>Chua co test nao kiem tra khi gio hang KHONG CON san pham nao (vi du vua xoa het) thi co vao duoc man Thanh toan khong, hay bi chan lai tu Gio hang.</t>
        </is>
      </c>
      <c r="D8" s="7" t="inlineStr">
        <is>
          <t>Bo sung 1 test: gio hang rong (0 san pham) thi khong the vao Thanh toan (hoac xac nhan lai voi BA hanh vi mong muon truoc khi viet test).</t>
        </is>
      </c>
      <c r="E8" s="7" t="inlineStr">
        <is>
          <t>Trung binh</t>
        </is>
      </c>
    </row>
    <row r="9" ht="70" customHeight="1">
      <c r="A9" s="7" t="inlineStr">
        <is>
          <t>Yeu cau chua ro (Requirement Ambiguity)</t>
        </is>
      </c>
      <c r="B9" s="7" t="inlineStr">
        <is>
          <t>Ma OTP (SU-03)</t>
        </is>
      </c>
      <c r="C9" s="7" t="inlineStr">
        <is>
          <t>SRS chi noi ve thoi gian CHO de duoc bam Gui lai ma (Resend countdown), nhung KHONG noi ro chinh ma OTP do co hieu luc trong bao lau truoc khi tu het han (vi du 5 phut? 10 phut?).</t>
        </is>
      </c>
      <c r="D9" s="7" t="inlineStr">
        <is>
          <t>Hoi BA/Dev: ma OTP tu het han sau bao nhieu phut ke tu luc gui, doc lap voi thoi gian cho Gui lai.</t>
        </is>
      </c>
      <c r="E9" s="7" t="inlineStr">
        <is>
          <t>Trung binh</t>
        </is>
      </c>
    </row>
    <row r="10" ht="70" customHeight="1">
      <c r="A10" s="7" t="inlineStr">
        <is>
          <t>Yeu cau chua ro (Requirement Ambiguity)</t>
        </is>
      </c>
      <c r="B10" s="7" t="inlineStr">
        <is>
          <t>Tim kiem store (ONB-05, SCR-ONB-03)</t>
        </is>
      </c>
      <c r="C10" s="7" t="inlineStr">
        <is>
          <t>SRS khong mo ta man hinh se hien gi khi khach go ten store/quan KHONG TON TAI (danh sach loc ra 0 ket qua) - de trong tron hay co dong chu bao 'khong tim thay'?</t>
        </is>
      </c>
      <c r="D10" s="7" t="inlineStr">
        <is>
          <t>Xac nhan voi UX/Design giao dien 'khong co ket qua' cho o tim kiem store, roi cap nhat lai test case tim kiem.</t>
        </is>
      </c>
      <c r="E10" s="7" t="inlineStr">
        <is>
          <t>Thap</t>
        </is>
      </c>
    </row>
    <row r="11" ht="70" customHeight="1">
      <c r="A11" s="7" t="inlineStr">
        <is>
          <t>Mau thuan (Contradiction)</t>
        </is>
      </c>
      <c r="B11" s="7" t="inlineStr">
        <is>
          <t>Phi giao hang theo khung gio (CT-08, BRL-19, BRL-27)</t>
        </is>
      </c>
      <c r="C11" s="7" t="inlineStr">
        <is>
          <t>Da ghi trong QnA-33 tu lan lam viec truoc - nhac lai o day vi day la mau thuan anh huong TRUC TIEP den rat nhieu test case tinh tien Gio hang/Thanh toan (ca test don le lan test E2E deu dung so lieu gia dinh cho phan nay), can BA tra loi som.</t>
        </is>
      </c>
      <c r="D11" s="7" t="inlineStr">
        <is>
          <t>Theo doi QnA-33; ngay khi co cau tra loi, phai cap nhat lai TAT CA test case co lien quan den tinh phi giao hang theo khung gio (bao gom ca cac test E2E moi).</t>
        </is>
      </c>
      <c r="E11" s="12" t="inlineStr">
        <is>
          <t>Cao</t>
        </is>
      </c>
    </row>
    <row r="12" ht="70" customHeight="1">
      <c r="A12" s="7" t="inlineStr">
        <is>
          <t>Khong co Test Case (No Test Case)</t>
        </is>
      </c>
      <c r="B12" s="7" t="inlineStr">
        <is>
          <t>Cac yeu cau phi chuc nang - toc do, chiu tai (NFR-01..05)</t>
        </is>
      </c>
      <c r="C12" s="7" t="inlineStr">
        <is>
          <t>SRS co nhac den 5 yeu cau phi chuc nang nhung khong neu con so do duoc cu the nao (vi du: phan hoi trong bao nhieu giay, chiu duoc bao nhieu nguoi dung cung luc) nen KHONG THE viet test case do toc do/chiu tai mot cach co can cu - day khong phai loi cua bo test case, ma la do yeu cau dau vao con thieu con so.</t>
        </is>
      </c>
      <c r="D12" s="7" t="inlineStr">
        <is>
          <t>KHONG tu bia con so - hoi BA/PO xem co muc tieu cu the ve toc do phan hoi hay so nguoi dung dong thoi hay khong, truoc khi viet test do hieu nang.</t>
        </is>
      </c>
      <c r="E12" s="7" t="inlineStr">
        <is>
          <t>Thap</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0"/>
  <sheetViews>
    <sheetView showGridLines="0" workbookViewId="0">
      <selection activeCell="A1" sqref="A1"/>
    </sheetView>
  </sheetViews>
  <sheetFormatPr baseColWidth="8" defaultRowHeight="15"/>
  <cols>
    <col width="46" customWidth="1" min="1" max="1"/>
    <col width="14" customWidth="1" min="2" max="2"/>
    <col width="4" customWidth="1" min="3" max="3"/>
    <col width="46" customWidth="1" min="4" max="4"/>
    <col width="14" customWidth="1" min="5" max="5"/>
  </cols>
  <sheetData>
    <row r="1">
      <c r="A1" s="1" t="inlineStr">
        <is>
          <t>Aggregate Summary — Combined Test Suite (Functional + Integration + E2E)</t>
        </is>
      </c>
    </row>
    <row r="3">
      <c r="A3" s="5" t="inlineStr">
        <is>
          <t>Overall Totals</t>
        </is>
      </c>
    </row>
    <row r="4">
      <c r="A4" t="inlineStr">
        <is>
          <t>Total Scenarios (Functional + Integration)</t>
        </is>
      </c>
      <c r="B4">
        <f>COUNTA('Functional Test Scenarios'!$B$3:$B$74)+COUNTA('Integration Test Scenarios'!$B$3:$B$23)</f>
        <v/>
      </c>
    </row>
    <row r="5">
      <c r="A5" t="inlineStr">
        <is>
          <t>Total Test Cases (Functional + Integration)</t>
        </is>
      </c>
      <c r="B5">
        <f>COUNTA('Functional Test Cases'!$A$3:$A$76)+COUNTA('Integration Test Cases'!$A$3:$A$23)</f>
        <v/>
      </c>
    </row>
    <row r="6">
      <c r="A6" t="inlineStr">
        <is>
          <t>Total E2E Test Cases (xuyen suot)</t>
        </is>
      </c>
      <c r="B6">
        <f>COUNTA('E2E Checkout Test Cases'!$A$4:$A$15)</f>
        <v/>
      </c>
    </row>
    <row r="7">
      <c r="A7" t="inlineStr">
        <is>
          <t>Tong cong TAT CA test case (Functional + Integration + E2E)</t>
        </is>
      </c>
      <c r="B7">
        <f>B5+B6</f>
        <v/>
      </c>
    </row>
    <row r="8">
      <c r="A8" t="inlineStr">
        <is>
          <t>So van de can luu y phat hien khi review (Gaps &amp; Issues)</t>
        </is>
      </c>
      <c r="B8">
        <f>COUNTA('Danh sach van de can luu y'!$A$4:$A$12)</f>
        <v/>
      </c>
    </row>
    <row r="10">
      <c r="A10" s="3" t="inlineStr">
        <is>
          <t>Functional Test Cases — By Test Result</t>
        </is>
      </c>
      <c r="D10" s="3" t="inlineStr">
        <is>
          <t>Integration Test Cases — By Test Result</t>
        </is>
      </c>
    </row>
    <row r="11">
      <c r="A11" t="inlineStr">
        <is>
          <t>Pass</t>
        </is>
      </c>
      <c r="B11">
        <f>COUNTIF('Functional Test Cases'!$M$3:$M$76,"Pass")</f>
        <v/>
      </c>
      <c r="D11" t="inlineStr">
        <is>
          <t>Pass</t>
        </is>
      </c>
      <c r="E11">
        <f>COUNTIF('Integration Test Cases'!$M$3:$M$23,"Pass")</f>
        <v/>
      </c>
    </row>
    <row r="12">
      <c r="A12" t="inlineStr">
        <is>
          <t>Fail</t>
        </is>
      </c>
      <c r="B12">
        <f>COUNTIF('Functional Test Cases'!$M$3:$M$76,"Fail")</f>
        <v/>
      </c>
      <c r="D12" t="inlineStr">
        <is>
          <t>Fail</t>
        </is>
      </c>
      <c r="E12">
        <f>COUNTIF('Integration Test Cases'!$M$3:$M$23,"Fail")</f>
        <v/>
      </c>
    </row>
    <row r="13">
      <c r="A13" t="inlineStr">
        <is>
          <t>Blocked</t>
        </is>
      </c>
      <c r="B13">
        <f>COUNTIF('Functional Test Cases'!$M$3:$M$76,"Blocked")</f>
        <v/>
      </c>
      <c r="D13" t="inlineStr">
        <is>
          <t>Blocked</t>
        </is>
      </c>
      <c r="E13">
        <f>COUNTIF('Integration Test Cases'!$M$3:$M$23,"Blocked")</f>
        <v/>
      </c>
    </row>
    <row r="14">
      <c r="A14" t="inlineStr">
        <is>
          <t>N/A</t>
        </is>
      </c>
      <c r="B14">
        <f>COUNTIF('Functional Test Cases'!$M$3:$M$76,"N/A")</f>
        <v/>
      </c>
      <c r="D14" t="inlineStr">
        <is>
          <t>N/A</t>
        </is>
      </c>
      <c r="E14">
        <f>COUNTIF('Integration Test Cases'!$M$3:$M$23,"N/A")</f>
        <v/>
      </c>
    </row>
    <row r="15">
      <c r="A15" t="inlineStr">
        <is>
          <t>Not Run</t>
        </is>
      </c>
      <c r="B15">
        <f>COUNTIF('Functional Test Cases'!$M$3:$M$76,"Not Run")</f>
        <v/>
      </c>
      <c r="D15" t="inlineStr">
        <is>
          <t>Not Run</t>
        </is>
      </c>
      <c r="E15">
        <f>COUNTIF('Integration Test Cases'!$M$3:$M$23,"Not Run")</f>
        <v/>
      </c>
    </row>
    <row r="16">
      <c r="A16" t="inlineStr">
        <is>
          <t>Total</t>
        </is>
      </c>
      <c r="B16">
        <f>SUM(B11:B15)</f>
        <v/>
      </c>
      <c r="D16" t="inlineStr">
        <is>
          <t>Total</t>
        </is>
      </c>
      <c r="E16">
        <f>SUM(E11:E15)</f>
        <v/>
      </c>
    </row>
    <row r="17">
      <c r="A17" t="inlineStr">
        <is>
          <t>Total Scenarios</t>
        </is>
      </c>
      <c r="B17">
        <f>COUNTA('Functional Test Scenarios'!$B$3:$B$74)</f>
        <v/>
      </c>
      <c r="D17" t="inlineStr">
        <is>
          <t>Total Scenarios</t>
        </is>
      </c>
      <c r="E17">
        <f>COUNTA('Integration Test Scenarios'!$B$3:$B$23)</f>
        <v/>
      </c>
    </row>
    <row r="18">
      <c r="A18" t="inlineStr">
        <is>
          <t>Total Test Cases</t>
        </is>
      </c>
      <c r="B18">
        <f>COUNTA('Functional Test Cases'!$A$3:$A$76)</f>
        <v/>
      </c>
      <c r="D18" t="inlineStr">
        <is>
          <t>Total Test Cases</t>
        </is>
      </c>
      <c r="E18">
        <f>COUNTA('Integration Test Cases'!$A$3:$A$23)</f>
        <v/>
      </c>
    </row>
    <row r="19">
      <c r="A19" t="inlineStr">
        <is>
          <t>Co ghi chu Review (can luu y)</t>
        </is>
      </c>
      <c r="B19">
        <f>COUNTIF('Functional Test Cases'!$R$3:$R$76,"?*")</f>
        <v/>
      </c>
      <c r="D19" t="inlineStr">
        <is>
          <t>Co ghi chu Review (can luu y)</t>
        </is>
      </c>
      <c r="E19">
        <f>COUNTIF('Integration Test Cases'!$R$3:$R$23,"?*")</f>
        <v/>
      </c>
    </row>
    <row r="20">
      <c r="A20" t="inlineStr">
        <is>
          <t>Lien quan 1 QnA con mo (Linked to Open QnA item)</t>
        </is>
      </c>
      <c r="B20">
        <f>COUNTIF('Functional Test Cases'!$P$3:$P$76,"QnA*")</f>
        <v/>
      </c>
      <c r="D20" t="inlineStr">
        <is>
          <t>Lien quan 1 QnA con mo (Linked to Open QnA item)</t>
        </is>
      </c>
      <c r="E20">
        <f>COUNTIF('Integration Test Cases'!$P$3:$P$23,"QnA*")</f>
        <v/>
      </c>
    </row>
    <row r="22">
      <c r="A22" s="3" t="inlineStr">
        <is>
          <t>Functional — By Capability Area</t>
        </is>
      </c>
    </row>
    <row r="23">
      <c r="A23" t="inlineStr">
        <is>
          <t>ONB - Onboarding</t>
        </is>
      </c>
      <c r="B23">
        <f>COUNTIF('Functional Test Scenarios'!$D$3:$D$74,"ONB - Onboarding")</f>
        <v/>
      </c>
    </row>
    <row r="24">
      <c r="A24" t="inlineStr">
        <is>
          <t>HP - Homepage &amp; Login Gate</t>
        </is>
      </c>
      <c r="B24">
        <f>COUNTIF('Functional Test Scenarios'!$D$3:$D$74,"HP - Homepage &amp; Login Gate")</f>
        <v/>
      </c>
    </row>
    <row r="25">
      <c r="A25" t="inlineStr">
        <is>
          <t>SU - Signup</t>
        </is>
      </c>
      <c r="B25">
        <f>COUNTIF('Functional Test Scenarios'!$D$3:$D$74,"SU - Signup")</f>
        <v/>
      </c>
    </row>
    <row r="26">
      <c r="A26" t="inlineStr">
        <is>
          <t>LI - Login</t>
        </is>
      </c>
      <c r="B26">
        <f>COUNTIF('Functional Test Scenarios'!$D$3:$D$74,"LI - Login")</f>
        <v/>
      </c>
    </row>
    <row r="27">
      <c r="A27" t="inlineStr">
        <is>
          <t>CT - Cart</t>
        </is>
      </c>
      <c r="B27">
        <f>COUNTIF('Functional Test Scenarios'!$D$3:$D$74,"CT - Cart")</f>
        <v/>
      </c>
    </row>
    <row r="28">
      <c r="A28" t="inlineStr">
        <is>
          <t>CO - Checkout</t>
        </is>
      </c>
      <c r="B28">
        <f>COUNTIF('Functional Test Scenarios'!$D$3:$D$74,"CO - Checkout")</f>
        <v/>
      </c>
    </row>
    <row r="29">
      <c r="A29" t="inlineStr">
        <is>
          <t>Total</t>
        </is>
      </c>
      <c r="B29">
        <f>SUM(B23:B28)</f>
        <v/>
      </c>
    </row>
    <row r="31">
      <c r="A31" s="3" t="inlineStr">
        <is>
          <t>Integration — By Module</t>
        </is>
      </c>
    </row>
    <row r="32">
      <c r="A32" t="inlineStr">
        <is>
          <t>Cong OTP Zalo/SMS</t>
        </is>
      </c>
      <c r="B32">
        <f>COUNTIF('Integration Test Scenarios'!$C$3:$C$23,"Cong OTP Zalo/SMS")</f>
        <v/>
      </c>
    </row>
    <row r="33">
      <c r="A33" t="inlineStr">
        <is>
          <t>Cong thanh toan &amp; BNPL</t>
        </is>
      </c>
      <c r="B33">
        <f>COUNTIF('Integration Test Scenarios'!$C$3:$C$23,"Cong thanh toan &amp; BNPL")</f>
        <v/>
      </c>
    </row>
    <row r="34">
      <c r="A34" t="inlineStr">
        <is>
          <t>OMS/DMS - Slot Capacity &amp; Next-day</t>
        </is>
      </c>
      <c r="B34">
        <f>COUNTIF('Integration Test Scenarios'!$C$3:$C$23,"OMS/DMS - Slot Capacity &amp; Next-day")</f>
        <v/>
      </c>
    </row>
    <row r="35">
      <c r="A35" t="inlineStr">
        <is>
          <t>OMS - Tiep nhan don hang (Place Order)</t>
        </is>
      </c>
      <c r="B35">
        <f>COUNTIF('Integration Test Scenarios'!$C$3:$C$23,"OMS - Tiep nhan don hang (Place Order)")</f>
        <v/>
      </c>
    </row>
    <row r="36">
      <c r="A36" t="inlineStr">
        <is>
          <t>Dich vu cau hinh Store - Danh muc/Gia/Ton kho</t>
        </is>
      </c>
      <c r="B36">
        <f>COUNTIF('Integration Test Scenarios'!$C$3:$C$23,"Dich vu cau hinh Store - Danh muc/Gia/Ton kho")</f>
        <v/>
      </c>
    </row>
    <row r="37">
      <c r="A37" t="inlineStr">
        <is>
          <t>Biometric / Device Security Ticket</t>
        </is>
      </c>
      <c r="B37">
        <f>COUNTIF('Integration Test Scenarios'!$C$3:$C$23,"Biometric / Device Security Ticket")</f>
        <v/>
      </c>
    </row>
    <row r="38">
      <c r="A38" t="inlineStr">
        <is>
          <t>Session / Auth Token</t>
        </is>
      </c>
      <c r="B38">
        <f>COUNTIF('Integration Test Scenarios'!$C$3:$C$23,"Session / Auth Token")</f>
        <v/>
      </c>
    </row>
    <row r="39">
      <c r="A39" t="inlineStr">
        <is>
          <t>Coupon &amp; Khuyen mai Engine</t>
        </is>
      </c>
      <c r="B39">
        <f>COUNTIF('Integration Test Scenarios'!$C$3:$C$23,"Coupon &amp; Khuyen mai Engine")</f>
        <v/>
      </c>
    </row>
    <row r="40">
      <c r="A40" t="inlineStr">
        <is>
          <t>Loyalty &amp; Diem thuong Engine</t>
        </is>
      </c>
      <c r="B40">
        <f>COUNTIF('Integration Test Scenarios'!$C$3:$C$23,"Loyalty &amp; Diem thuong Engine")</f>
        <v/>
      </c>
    </row>
    <row r="41">
      <c r="A41" t="inlineStr">
        <is>
          <t>GotIt / Gift Card Service</t>
        </is>
      </c>
      <c r="B41">
        <f>COUNTIF('Integration Test Scenarios'!$C$3:$C$23,"GotIt / Gift Card Service")</f>
        <v/>
      </c>
    </row>
    <row r="42">
      <c r="A42" t="inlineStr">
        <is>
          <t>Dich vu hoa don VAT</t>
        </is>
      </c>
      <c r="B42">
        <f>COUNTIF('Integration Test Scenarios'!$C$3:$C$23,"Dich vu hoa don VAT")</f>
        <v/>
      </c>
    </row>
    <row r="43">
      <c r="A43" t="inlineStr">
        <is>
          <t>Delivery Partner &amp; Locker Network</t>
        </is>
      </c>
      <c r="B43">
        <f>COUNTIF('Integration Test Scenarios'!$C$3:$C$23,"Delivery Partner &amp; Locker Network")</f>
        <v/>
      </c>
    </row>
    <row r="44">
      <c r="A44" t="inlineStr">
        <is>
          <t>Dich vu phan giai dia chi &amp; vung dich vu (Geo/Service-zone)</t>
        </is>
      </c>
      <c r="B44">
        <f>COUNTIF('Integration Test Scenarios'!$C$3:$C$23,"Dich vu phan giai dia chi &amp; vung dich vu (Geo/Service-zone)")</f>
        <v/>
      </c>
    </row>
    <row r="45">
      <c r="A45" t="inlineStr">
        <is>
          <t>Security - Gioi han thu OTP/PIN</t>
        </is>
      </c>
      <c r="B45">
        <f>COUNTIF('Integration Test Scenarios'!$C$3:$C$23,"Security - Gioi han thu OTP/PIN")</f>
        <v/>
      </c>
    </row>
    <row r="46">
      <c r="A46" t="inlineStr">
        <is>
          <t>Total</t>
        </is>
      </c>
      <c r="B46">
        <f>SUM(B32:B45)</f>
        <v/>
      </c>
    </row>
    <row r="48">
      <c r="A48" s="3" t="inlineStr">
        <is>
          <t>Functional — By Test Case Type</t>
        </is>
      </c>
    </row>
    <row r="49">
      <c r="A49" t="inlineStr">
        <is>
          <t>Functional</t>
        </is>
      </c>
      <c r="B49">
        <f>COUNTIF('Functional Test Cases'!$E$3:$E$76,"Functional")</f>
        <v/>
      </c>
    </row>
    <row r="50">
      <c r="A50" t="inlineStr">
        <is>
          <t>Validation</t>
        </is>
      </c>
      <c r="B50">
        <f>COUNTIF('Functional Test Cases'!$E$3:$E$76,"Validation")</f>
        <v/>
      </c>
    </row>
    <row r="51">
      <c r="A51" t="inlineStr">
        <is>
          <t>Negative</t>
        </is>
      </c>
      <c r="B51">
        <f>COUNTIF('Functional Test Cases'!$E$3:$E$76,"Negative")</f>
        <v/>
      </c>
    </row>
    <row r="52">
      <c r="A52" t="inlineStr">
        <is>
          <t>Boundary</t>
        </is>
      </c>
      <c r="B52">
        <f>COUNTIF('Functional Test Cases'!$E$3:$E$76,"Boundary")</f>
        <v/>
      </c>
    </row>
    <row r="53">
      <c r="A53" t="inlineStr">
        <is>
          <t>Edge</t>
        </is>
      </c>
      <c r="B53">
        <f>COUNTIF('Functional Test Cases'!$E$3:$E$76,"Edge")</f>
        <v/>
      </c>
    </row>
    <row r="54">
      <c r="A54" t="inlineStr">
        <is>
          <t>Regression</t>
        </is>
      </c>
      <c r="B54">
        <f>COUNTIF('Functional Test Cases'!$E$3:$E$76,"Regression")</f>
        <v/>
      </c>
    </row>
    <row r="55">
      <c r="A55" t="inlineStr">
        <is>
          <t>Total</t>
        </is>
      </c>
      <c r="B55">
        <f>SUM(B49:B54)</f>
        <v/>
      </c>
    </row>
    <row r="57">
      <c r="A57" s="3" t="inlineStr">
        <is>
          <t>Integration — By Test Case Type</t>
        </is>
      </c>
    </row>
    <row r="58">
      <c r="A58" t="inlineStr">
        <is>
          <t>Functional</t>
        </is>
      </c>
      <c r="B58">
        <f>COUNTIF('Integration Test Cases'!$E$3:$E$23,"Functional")</f>
        <v/>
      </c>
    </row>
    <row r="59">
      <c r="A59" t="inlineStr">
        <is>
          <t>Boundary</t>
        </is>
      </c>
      <c r="B59">
        <f>COUNTIF('Integration Test Cases'!$E$3:$E$23,"Boundary")</f>
        <v/>
      </c>
    </row>
    <row r="60">
      <c r="A60" t="inlineStr">
        <is>
          <t>Negative</t>
        </is>
      </c>
      <c r="B60">
        <f>COUNTIF('Integration Test Cases'!$E$3:$E$23,"Negative")</f>
        <v/>
      </c>
    </row>
    <row r="61">
      <c r="A61" t="inlineStr">
        <is>
          <t>Exception</t>
        </is>
      </c>
      <c r="B61">
        <f>COUNTIF('Integration Test Cases'!$E$3:$E$23,"Exception")</f>
        <v/>
      </c>
    </row>
    <row r="62">
      <c r="A62" t="inlineStr">
        <is>
          <t>Security</t>
        </is>
      </c>
      <c r="B62">
        <f>COUNTIF('Integration Test Cases'!$E$3:$E$23,"Security")</f>
        <v/>
      </c>
    </row>
    <row r="63">
      <c r="A63" t="inlineStr">
        <is>
          <t>Integration</t>
        </is>
      </c>
      <c r="B63">
        <f>COUNTIF('Integration Test Cases'!$E$3:$E$23,"Integration")</f>
        <v/>
      </c>
    </row>
    <row r="64">
      <c r="A64" t="inlineStr">
        <is>
          <t>Total</t>
        </is>
      </c>
      <c r="B64">
        <f>SUM(B58:B63)</f>
        <v/>
      </c>
    </row>
    <row r="66">
      <c r="A66" s="3" t="inlineStr">
        <is>
          <t>Gaps &amp; Issues — By Severity</t>
        </is>
      </c>
    </row>
    <row r="67">
      <c r="A67" t="inlineStr">
        <is>
          <t>Cao</t>
        </is>
      </c>
      <c r="B67">
        <f>COUNTIF('Danh sach van de can luu y'!$E$4:$E$12,"Cao")</f>
        <v/>
      </c>
    </row>
    <row r="68">
      <c r="A68" t="inlineStr">
        <is>
          <t>Trung binh</t>
        </is>
      </c>
      <c r="B68">
        <f>COUNTIF('Danh sach van de can luu y'!$E$4:$E$12,"Trung binh")</f>
        <v/>
      </c>
    </row>
    <row r="69">
      <c r="A69" t="inlineStr">
        <is>
          <t>Thap</t>
        </is>
      </c>
      <c r="B69">
        <f>COUNTIF('Danh sach van de can luu y'!$E$4:$E$12,"Thap")</f>
        <v/>
      </c>
    </row>
    <row r="70">
      <c r="A70" t="inlineStr">
        <is>
          <t>Total</t>
        </is>
      </c>
      <c r="B70">
        <f>SUM(B67:B69)</f>
        <v/>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showGridLines="0" workbookViewId="0">
      <pane ySplit="2" topLeftCell="A3" activePane="bottomLeft" state="frozen"/>
      <selection pane="bottomLeft" activeCell="A1" sqref="A1"/>
    </sheetView>
  </sheetViews>
  <sheetFormatPr baseColWidth="8" defaultRowHeight="15"/>
  <cols>
    <col width="30" customWidth="1" min="1" max="1"/>
    <col width="60" customWidth="1" min="2" max="2"/>
    <col width="24" customWidth="1" min="3" max="3"/>
  </cols>
  <sheetData>
    <row r="1">
      <c r="A1" s="1" t="inlineStr">
        <is>
          <t>Integration Points Reference</t>
        </is>
      </c>
    </row>
    <row r="2">
      <c r="A2" s="6" t="inlineStr">
        <is>
          <t>System/Service</t>
        </is>
      </c>
      <c r="B2" s="6" t="inlineStr">
        <is>
          <t>Role in Simplify Checkout</t>
        </is>
      </c>
      <c r="C2" s="6" t="inlineStr">
        <is>
          <t>Modules Using It</t>
        </is>
      </c>
    </row>
    <row r="3" ht="40" customHeight="1">
      <c r="A3" s="7" t="inlineStr">
        <is>
          <t>Cong OTP Zalo/SMS</t>
        </is>
      </c>
      <c r="B3" s="7" t="inlineStr">
        <is>
          <t>Gui va xac thuc ma OTP cho Signup/Login/Quen PIN; Zalo la kenh mac dinh, SMS la kenh du phong thu cong (khong tu dong fallback).</t>
        </is>
      </c>
      <c r="C3" s="7" t="inlineStr">
        <is>
          <t>SU, LI</t>
        </is>
      </c>
    </row>
    <row r="4" ht="40" customHeight="1">
      <c r="A4" s="7" t="inlineStr">
        <is>
          <t>Cong thanh toan &amp; BNPL (MoMo/ZaloPay/The/BNPL)</t>
        </is>
      </c>
      <c r="B4" s="7" t="inlineStr">
        <is>
          <t>Xu ly thanh toan, tra ve khuyen mai rieng theo tung phuong thuc, xac nhan Dat hang.</t>
        </is>
      </c>
      <c r="C4" s="7" t="inlineStr">
        <is>
          <t>CO</t>
        </is>
      </c>
    </row>
    <row r="5" ht="40" customHeight="1">
      <c r="A5" s="7" t="inlineStr">
        <is>
          <t>OMS/DMS (slot capacity &amp; Next-day config)</t>
        </is>
      </c>
      <c r="B5" s="7" t="inlineStr">
        <is>
          <t>So huu cau hinh slot 60-Minute/Standard/Next-day, canh bao sap het cho, giai phong slot khi don san sang giao.</t>
        </is>
      </c>
      <c r="C5" s="7" t="inlineStr">
        <is>
          <t>CT</t>
        </is>
      </c>
    </row>
    <row r="6" ht="40" customHeight="1">
      <c r="A6" s="7" t="inlineStr">
        <is>
          <t>OMS (tiep nhan don hang)</t>
        </is>
      </c>
      <c r="B6" s="7" t="inlineStr">
        <is>
          <t>Nhan va luu ban ghi don hang cuoi cung, xac nhan/tu choi don (het hang giua chung).</t>
        </is>
      </c>
      <c r="C6" s="7" t="inlineStr">
        <is>
          <t>CO</t>
        </is>
      </c>
    </row>
    <row r="7" ht="40" customHeight="1">
      <c r="A7" s="7" t="inlineStr">
        <is>
          <t>Dich vu cau hinh Store (Danh muc/Gia/Ton kho)</t>
        </is>
      </c>
      <c r="B7" s="7" t="inlineStr">
        <is>
          <t>Cung cap danh muc, gia, ton kho, ban kinh dich vu theo tung store; nguon du lieu chinh cho canh bao doi store.</t>
        </is>
      </c>
      <c r="C7" s="7" t="inlineStr">
        <is>
          <t>ONB, HP, CT</t>
        </is>
      </c>
    </row>
    <row r="8" ht="40" customHeight="1">
      <c r="A8" s="7" t="inlineStr">
        <is>
          <t>Biometric / Device Security Ticket</t>
        </is>
      </c>
      <c r="B8" s="7" t="inlineStr">
        <is>
          <t>Quan ly bio ticket Face ID/van tay, gioi han 1 ticket dang hoat dong/thiet bi.</t>
        </is>
      </c>
      <c r="C8" s="7" t="inlineStr">
        <is>
          <t>SU, LI</t>
        </is>
      </c>
    </row>
    <row r="9" ht="40" customHeight="1">
      <c r="A9" s="7" t="inlineStr">
        <is>
          <t>Session / Auth Token Service</t>
        </is>
      </c>
      <c r="B9" s="7" t="inlineStr">
        <is>
          <t>Cap phat va xac thuc token phien dang nhap; xu ly het han giua chung.</t>
        </is>
      </c>
      <c r="C9" s="7" t="inlineStr">
        <is>
          <t>HP, LI</t>
        </is>
      </c>
    </row>
    <row r="10" ht="40" customHeight="1">
      <c r="A10" s="7" t="inlineStr">
        <is>
          <t>Coupon &amp; Khuyen mai Engine</t>
        </is>
      </c>
      <c r="B10" s="7" t="inlineStr">
        <is>
          <t>Tu dong ap dung coupon giao hang/san pham, tinh tien do freeship real-time.</t>
        </is>
      </c>
      <c r="C10" s="7" t="inlineStr">
        <is>
          <t>CT, CO</t>
        </is>
      </c>
    </row>
    <row r="11" ht="40" customHeight="1">
      <c r="A11" s="7" t="inlineStr">
        <is>
          <t>Loyalty &amp; Diem thuong Engine</t>
        </is>
      </c>
      <c r="B11" s="7" t="inlineStr">
        <is>
          <t>Tinh diem du kien, diem thuong khung gio point-earning, ap dung diem giam gia.</t>
        </is>
      </c>
      <c r="C11" s="7" t="inlineStr">
        <is>
          <t>CT, CO</t>
        </is>
      </c>
    </row>
    <row r="12" ht="40" customHeight="1">
      <c r="A12" s="7" t="inlineStr">
        <is>
          <t>GotIt / Gift Card Service</t>
        </is>
      </c>
      <c r="B12" s="7" t="inlineStr">
        <is>
          <t>Xac thuc va quy doi ma qua tang/GotIt vao tong don hang.</t>
        </is>
      </c>
      <c r="C12" s="7" t="inlineStr">
        <is>
          <t>CO</t>
        </is>
      </c>
    </row>
    <row r="13" ht="40" customHeight="1">
      <c r="A13" s="7" t="inlineStr">
        <is>
          <t>Dich vu hoa don VAT</t>
        </is>
      </c>
      <c r="B13" s="7" t="inlineStr">
        <is>
          <t>Nhan va luu thong tin xuat hoa don VAT gan voi don hang.</t>
        </is>
      </c>
      <c r="C13" s="7" t="inlineStr">
        <is>
          <t>CO</t>
        </is>
      </c>
    </row>
    <row r="14" ht="40" customHeight="1">
      <c r="A14" s="7" t="inlineStr">
        <is>
          <t>Delivery Partner &amp; Locker Network</t>
        </is>
      </c>
      <c r="B14" s="7" t="inlineStr">
        <is>
          <t>Thuc thi giao hang 60-Minute/Standard/Next-day va quan ly trang thai locker gan nha/tai store.</t>
        </is>
      </c>
      <c r="C14" s="7" t="inlineStr">
        <is>
          <t>CT, CO</t>
        </is>
      </c>
    </row>
    <row r="15" ht="40" customHeight="1">
      <c r="A15" s="7" t="inlineStr">
        <is>
          <t>Dich vu phan giai dia chi &amp; vung dich vu (Geo/Service-zone)</t>
        </is>
      </c>
      <c r="B15" s="7" t="inlineStr">
        <is>
          <t>Xac dinh 1 trong 4 trang thai dich vu theo khoang cach dia chi-store; nguon du lieu cho uoc tinh giao hang.</t>
        </is>
      </c>
      <c r="C15" s="7" t="inlineStr">
        <is>
          <t>HP, CT</t>
        </is>
      </c>
    </row>
    <row r="16" ht="40" customHeight="1">
      <c r="A16" s="7" t="inlineStr">
        <is>
          <t>Security Service - Gioi han thu OTP/PIN</t>
        </is>
      </c>
      <c r="B16" s="7" t="inlineStr">
        <is>
          <t>Thuc thi phia server gioi han so lan thu sai OTP/PIN, doc lap voi client.</t>
        </is>
      </c>
      <c r="C16" s="7" t="inlineStr">
        <is>
          <t>SU, LI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2026-08-25T08:39:39Z</dcterms:created>
  <dcterms:modified xmlns:dcterms="http://purl.org/dc/terms/" xmlns:xsi="http://www.w3.org/2001/XMLSchema-instance" xsi:type="dcterms:W3CDTF">2026-08-25T08:39:39Z</dcterms:modified>
</cp:coreProperties>
</file>